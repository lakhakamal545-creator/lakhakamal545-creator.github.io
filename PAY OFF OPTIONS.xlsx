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5.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6.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7.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8.xml" ContentType="application/vnd.openxmlformats-officedocument.drawing+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9.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0.xml" ContentType="application/vnd.openxmlformats-officedocument.drawing+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D:\FM\RBS\"/>
    </mc:Choice>
  </mc:AlternateContent>
  <xr:revisionPtr revIDLastSave="0" documentId="13_ncr:1_{48489433-645E-4037-9592-D2F62F739B23}" xr6:coauthVersionLast="47" xr6:coauthVersionMax="47" xr10:uidLastSave="{00000000-0000-0000-0000-000000000000}"/>
  <bookViews>
    <workbookView xWindow="-108" yWindow="-108" windowWidth="23256" windowHeight="12456" tabRatio="914" firstSheet="15" activeTab="20" xr2:uid="{57A91E14-BD04-484B-BA89-C3C9BEB3ADD1}"/>
  </bookViews>
  <sheets>
    <sheet name="INDEX" sheetId="22" r:id="rId1"/>
    <sheet name="CE" sheetId="1" r:id="rId2"/>
    <sheet name="PE" sheetId="2" r:id="rId3"/>
    <sheet name="COVERED CALL " sheetId="4" r:id="rId4"/>
    <sheet name="PROTECTIVE PUT " sheetId="5" r:id="rId5"/>
    <sheet name="LONG COMBO" sheetId="6" r:id="rId6"/>
    <sheet name="PROTECTIVE CALL" sheetId="7" r:id="rId7"/>
    <sheet name="COVERED PUT" sheetId="8" r:id="rId8"/>
    <sheet name="LONG STRADDLE" sheetId="9" r:id="rId9"/>
    <sheet name="SHORT STRADDLE" sheetId="10" r:id="rId10"/>
    <sheet name=" LONG STRANGLE " sheetId="11" r:id="rId11"/>
    <sheet name="SHORT STRANGLE" sheetId="12" r:id="rId12"/>
    <sheet name="COLLAR" sheetId="13" r:id="rId13"/>
    <sheet name="BULL CALL SPREAD STRATEGY" sheetId="14" r:id="rId14"/>
    <sheet name="BULL PUT SPREAD STRATEGY" sheetId="15" r:id="rId15"/>
    <sheet name="BEAR CALL SPREAD STRATEGY" sheetId="16" r:id="rId16"/>
    <sheet name="BEAR PUT SPREAD" sheetId="17" r:id="rId17"/>
    <sheet name="LONG CALL BUTTERFLY" sheetId="18" r:id="rId18"/>
    <sheet name="LONG CALL CONDOR" sheetId="20" r:id="rId19"/>
    <sheet name="SHORT CALL BUTTERFLY" sheetId="19" r:id="rId20"/>
    <sheet name="SHORT CALL CONDOR" sheetId="21"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6" i="14" l="1"/>
  <c r="K36" i="14" s="1"/>
  <c r="J35"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37" i="14"/>
  <c r="K38" i="14"/>
  <c r="K39" i="14"/>
  <c r="K40" i="14"/>
  <c r="K41" i="14"/>
  <c r="K42" i="14"/>
  <c r="K43" i="14"/>
  <c r="K44" i="14"/>
  <c r="K45" i="14"/>
  <c r="K46" i="14"/>
  <c r="K47" i="14"/>
  <c r="K6" i="14"/>
  <c r="V7" i="10"/>
  <c r="W7" i="10"/>
  <c r="V8" i="10"/>
  <c r="W8" i="10"/>
  <c r="V9" i="10"/>
  <c r="X9" i="10" s="1"/>
  <c r="W9" i="10"/>
  <c r="V10" i="10"/>
  <c r="W10" i="10"/>
  <c r="V11" i="10"/>
  <c r="W11" i="10"/>
  <c r="V12" i="10"/>
  <c r="W12" i="10"/>
  <c r="U8" i="10"/>
  <c r="U9" i="10" s="1"/>
  <c r="U10" i="10" s="1"/>
  <c r="U11" i="10" s="1"/>
  <c r="U12" i="10" s="1"/>
  <c r="U7" i="10"/>
  <c r="V6" i="10"/>
  <c r="W6" i="10"/>
  <c r="V13" i="11"/>
  <c r="X13" i="11" s="1"/>
  <c r="W13" i="11"/>
  <c r="V14" i="11"/>
  <c r="X14" i="11" s="1"/>
  <c r="W14" i="11"/>
  <c r="V15" i="11"/>
  <c r="X15" i="11" s="1"/>
  <c r="W15" i="11"/>
  <c r="V16" i="11"/>
  <c r="W16" i="11"/>
  <c r="X16" i="11"/>
  <c r="U13" i="11"/>
  <c r="U14" i="11"/>
  <c r="U15" i="11"/>
  <c r="U16" i="11" s="1"/>
  <c r="V6" i="11"/>
  <c r="X6" i="11" s="1"/>
  <c r="W6" i="11"/>
  <c r="V7" i="11"/>
  <c r="W7" i="11"/>
  <c r="X7" i="11"/>
  <c r="V8" i="11"/>
  <c r="X8" i="11" s="1"/>
  <c r="W8" i="11"/>
  <c r="U7" i="11"/>
  <c r="U6" i="11" s="1"/>
  <c r="U8" i="11"/>
  <c r="W9" i="11"/>
  <c r="V9" i="11"/>
  <c r="U10" i="11"/>
  <c r="V10" i="11" s="1"/>
  <c r="M14" i="20"/>
  <c r="AB7" i="20"/>
  <c r="AC7" i="20"/>
  <c r="AB8" i="20"/>
  <c r="AC8" i="20"/>
  <c r="AD8" i="20"/>
  <c r="AE8" i="20"/>
  <c r="AF8" i="20"/>
  <c r="AB9" i="20"/>
  <c r="AF9" i="20" s="1"/>
  <c r="AC9" i="20"/>
  <c r="AD9" i="20"/>
  <c r="AE9" i="20"/>
  <c r="AB10" i="20"/>
  <c r="AC10" i="20"/>
  <c r="AD10" i="20"/>
  <c r="AE10" i="20"/>
  <c r="AF10" i="20"/>
  <c r="AB11" i="20"/>
  <c r="AF11" i="20" s="1"/>
  <c r="AC11" i="20"/>
  <c r="AD11" i="20"/>
  <c r="AE11" i="20"/>
  <c r="AB12" i="20"/>
  <c r="AF12" i="20" s="1"/>
  <c r="AC12" i="20"/>
  <c r="AD12" i="20"/>
  <c r="AE12" i="20"/>
  <c r="AB13" i="20"/>
  <c r="AC13" i="20"/>
  <c r="AD13" i="20"/>
  <c r="AE13" i="20"/>
  <c r="AF13" i="20"/>
  <c r="AB14" i="20"/>
  <c r="AF14" i="20" s="1"/>
  <c r="AC14" i="20"/>
  <c r="AD14" i="20"/>
  <c r="AE14" i="20"/>
  <c r="AB15" i="20"/>
  <c r="AC15" i="20"/>
  <c r="AD15" i="20"/>
  <c r="AE15" i="20"/>
  <c r="AF15" i="20"/>
  <c r="AB16" i="20"/>
  <c r="AC16" i="20"/>
  <c r="AD16" i="20"/>
  <c r="AE16" i="20"/>
  <c r="AF16" i="20"/>
  <c r="AB17" i="20"/>
  <c r="AF17" i="20" s="1"/>
  <c r="AC17" i="20"/>
  <c r="AD17" i="20"/>
  <c r="AE17" i="20"/>
  <c r="AB18" i="20"/>
  <c r="AC18" i="20"/>
  <c r="AD18" i="20"/>
  <c r="AE18" i="20"/>
  <c r="AF18" i="20"/>
  <c r="AB19" i="20"/>
  <c r="AF19" i="20" s="1"/>
  <c r="AC19" i="20"/>
  <c r="AD19" i="20"/>
  <c r="AE19" i="20"/>
  <c r="AB20" i="20"/>
  <c r="AF20" i="20" s="1"/>
  <c r="AC20" i="20"/>
  <c r="AD20" i="20"/>
  <c r="AE20" i="20"/>
  <c r="AB21" i="20"/>
  <c r="AC21" i="20"/>
  <c r="AD21" i="20"/>
  <c r="AE21" i="20"/>
  <c r="AF21" i="20"/>
  <c r="AB22" i="20"/>
  <c r="AF22" i="20" s="1"/>
  <c r="AC22" i="20"/>
  <c r="AD22" i="20"/>
  <c r="AE22" i="20"/>
  <c r="AB23" i="20"/>
  <c r="AC23" i="20"/>
  <c r="AD23" i="20"/>
  <c r="AE23" i="20"/>
  <c r="AF23" i="20"/>
  <c r="AB24" i="20"/>
  <c r="AC24" i="20"/>
  <c r="AD24" i="20"/>
  <c r="AE24" i="20"/>
  <c r="AF24" i="20"/>
  <c r="AB25" i="20"/>
  <c r="AF25" i="20" s="1"/>
  <c r="AC25" i="20"/>
  <c r="AD25" i="20"/>
  <c r="AE25" i="20"/>
  <c r="AB26" i="20"/>
  <c r="AC26" i="20"/>
  <c r="AD26" i="20"/>
  <c r="AE26" i="20"/>
  <c r="AF26" i="20"/>
  <c r="AB27" i="20"/>
  <c r="AF27" i="20" s="1"/>
  <c r="AC27" i="20"/>
  <c r="AD27" i="20"/>
  <c r="AE27" i="20"/>
  <c r="AB28" i="20"/>
  <c r="AF28" i="20" s="1"/>
  <c r="AC28" i="20"/>
  <c r="AD28" i="20"/>
  <c r="AE28" i="20"/>
  <c r="AB29" i="20"/>
  <c r="AC29" i="20"/>
  <c r="AD29" i="20"/>
  <c r="AE29" i="20"/>
  <c r="AF29" i="20"/>
  <c r="AB30" i="20"/>
  <c r="AF30" i="20" s="1"/>
  <c r="AC30" i="20"/>
  <c r="AD30" i="20"/>
  <c r="AE30" i="20"/>
  <c r="AB31" i="20"/>
  <c r="AC31" i="20"/>
  <c r="AD31" i="20"/>
  <c r="AE31" i="20"/>
  <c r="AF31" i="20"/>
  <c r="AB32" i="20"/>
  <c r="AC32" i="20"/>
  <c r="AD32" i="20"/>
  <c r="AE32" i="20"/>
  <c r="AF32" i="20"/>
  <c r="AB33" i="20"/>
  <c r="AF33" i="20" s="1"/>
  <c r="AC33" i="20"/>
  <c r="AD33" i="20"/>
  <c r="AE33" i="20"/>
  <c r="AB34" i="20"/>
  <c r="AC34" i="20"/>
  <c r="AD34" i="20"/>
  <c r="AE34" i="20"/>
  <c r="AF34" i="20"/>
  <c r="AB35" i="20"/>
  <c r="AF35" i="20" s="1"/>
  <c r="AC35" i="20"/>
  <c r="AD35" i="20"/>
  <c r="AE35" i="20"/>
  <c r="AB36" i="20"/>
  <c r="AF36" i="20" s="1"/>
  <c r="AC36" i="20"/>
  <c r="AD36" i="20"/>
  <c r="AE36" i="20"/>
  <c r="AB37" i="20"/>
  <c r="AC37" i="20"/>
  <c r="AD37" i="20"/>
  <c r="AE37" i="20"/>
  <c r="AF37" i="20"/>
  <c r="AB38" i="20"/>
  <c r="AF38" i="20" s="1"/>
  <c r="AC38" i="20"/>
  <c r="AD38" i="20"/>
  <c r="AE38" i="20"/>
  <c r="AB39" i="20"/>
  <c r="AC39" i="20"/>
  <c r="AD39" i="20"/>
  <c r="AE39" i="20"/>
  <c r="AF39" i="20"/>
  <c r="AB40" i="20"/>
  <c r="AC40" i="20"/>
  <c r="AD40" i="20"/>
  <c r="AE40" i="20"/>
  <c r="AF40" i="20"/>
  <c r="AB41" i="20"/>
  <c r="AF41" i="20" s="1"/>
  <c r="AC41" i="20"/>
  <c r="AD41" i="20"/>
  <c r="AE41" i="20"/>
  <c r="AB42" i="20"/>
  <c r="AC42" i="20"/>
  <c r="AD42" i="20"/>
  <c r="AE42" i="20"/>
  <c r="AF42" i="20"/>
  <c r="AB43" i="20"/>
  <c r="AF43" i="20" s="1"/>
  <c r="AC43" i="20"/>
  <c r="AD43" i="20"/>
  <c r="AE43" i="20"/>
  <c r="AB44" i="20"/>
  <c r="AF44" i="20" s="1"/>
  <c r="AC44" i="20"/>
  <c r="AD44" i="20"/>
  <c r="AE44" i="20"/>
  <c r="AB45" i="20"/>
  <c r="AC45" i="20"/>
  <c r="AD45" i="20"/>
  <c r="AE45" i="20"/>
  <c r="AF45" i="20"/>
  <c r="AB46" i="20"/>
  <c r="AF46" i="20" s="1"/>
  <c r="AC46" i="20"/>
  <c r="AD46" i="20"/>
  <c r="AE46" i="20"/>
  <c r="AB47" i="20"/>
  <c r="AC47" i="20"/>
  <c r="AD47" i="20"/>
  <c r="AE47" i="20"/>
  <c r="AF47" i="20"/>
  <c r="AB48" i="20"/>
  <c r="AC48" i="20"/>
  <c r="AD48" i="20"/>
  <c r="AE48" i="20"/>
  <c r="AF48" i="20"/>
  <c r="AB49" i="20"/>
  <c r="AF49" i="20" s="1"/>
  <c r="AC49" i="20"/>
  <c r="AD49" i="20"/>
  <c r="AE49" i="20"/>
  <c r="AB50" i="20"/>
  <c r="AC50" i="20"/>
  <c r="AD50" i="20"/>
  <c r="AE50" i="20"/>
  <c r="AF50" i="20"/>
  <c r="AB51" i="20"/>
  <c r="AF51" i="20" s="1"/>
  <c r="AC51" i="20"/>
  <c r="AD51" i="20"/>
  <c r="AE51" i="20"/>
  <c r="AF7" i="20"/>
  <c r="AE7" i="20"/>
  <c r="AD7" i="20"/>
  <c r="AA8" i="20"/>
  <c r="AE6" i="20"/>
  <c r="AD6" i="20"/>
  <c r="AC6" i="20"/>
  <c r="AB6" i="20"/>
  <c r="I8" i="21"/>
  <c r="J8" i="21"/>
  <c r="K8" i="21"/>
  <c r="L8" i="21"/>
  <c r="M8" i="21"/>
  <c r="I9" i="21"/>
  <c r="M9" i="21" s="1"/>
  <c r="J9" i="21"/>
  <c r="K9" i="21"/>
  <c r="L9" i="21"/>
  <c r="I10" i="21"/>
  <c r="J10" i="21"/>
  <c r="K10" i="21"/>
  <c r="L10" i="21"/>
  <c r="M10" i="21"/>
  <c r="I11" i="21"/>
  <c r="M11" i="21" s="1"/>
  <c r="J11" i="21"/>
  <c r="K11" i="21"/>
  <c r="L11" i="21"/>
  <c r="I12" i="21"/>
  <c r="M12" i="21" s="1"/>
  <c r="J12" i="21"/>
  <c r="K12" i="21"/>
  <c r="L12" i="21"/>
  <c r="I13" i="21"/>
  <c r="J13" i="21"/>
  <c r="K13" i="21"/>
  <c r="L13" i="21"/>
  <c r="M13" i="21"/>
  <c r="I14" i="21"/>
  <c r="M14" i="21" s="1"/>
  <c r="J14" i="21"/>
  <c r="K14" i="21"/>
  <c r="L14" i="21"/>
  <c r="I15" i="21"/>
  <c r="J15" i="21"/>
  <c r="K15" i="21"/>
  <c r="L15" i="21"/>
  <c r="M15" i="21"/>
  <c r="I16" i="21"/>
  <c r="J16" i="21"/>
  <c r="K16" i="21"/>
  <c r="L16" i="21"/>
  <c r="M16" i="21"/>
  <c r="I17" i="21"/>
  <c r="M17" i="21" s="1"/>
  <c r="J17" i="21"/>
  <c r="K17" i="21"/>
  <c r="L17" i="21"/>
  <c r="I18" i="21"/>
  <c r="J18" i="21"/>
  <c r="K18" i="21"/>
  <c r="L18" i="21"/>
  <c r="M18" i="21"/>
  <c r="I19" i="21"/>
  <c r="M19" i="21" s="1"/>
  <c r="J19" i="21"/>
  <c r="K19" i="21"/>
  <c r="L19" i="21"/>
  <c r="I20" i="21"/>
  <c r="M20" i="21" s="1"/>
  <c r="J20" i="21"/>
  <c r="K20" i="21"/>
  <c r="L20" i="21"/>
  <c r="I21" i="21"/>
  <c r="J21" i="21"/>
  <c r="K21" i="21"/>
  <c r="L21" i="21"/>
  <c r="M21" i="21"/>
  <c r="I22" i="21"/>
  <c r="M22" i="21" s="1"/>
  <c r="J22" i="21"/>
  <c r="K22" i="21"/>
  <c r="L22" i="21"/>
  <c r="I23" i="21"/>
  <c r="J23" i="21"/>
  <c r="K23" i="21"/>
  <c r="L23" i="21"/>
  <c r="M23" i="21"/>
  <c r="I24" i="21"/>
  <c r="J24" i="21"/>
  <c r="K24" i="21"/>
  <c r="L24" i="21"/>
  <c r="M24" i="21"/>
  <c r="I25" i="21"/>
  <c r="M25" i="21" s="1"/>
  <c r="J25" i="21"/>
  <c r="K25" i="21"/>
  <c r="L25" i="21"/>
  <c r="I26" i="21"/>
  <c r="J26" i="21"/>
  <c r="K26" i="21"/>
  <c r="L26" i="21"/>
  <c r="M26" i="21"/>
  <c r="I27" i="21"/>
  <c r="M27" i="21" s="1"/>
  <c r="J27" i="21"/>
  <c r="K27" i="21"/>
  <c r="L27" i="21"/>
  <c r="I28" i="21"/>
  <c r="M28" i="21" s="1"/>
  <c r="J28" i="21"/>
  <c r="K28" i="21"/>
  <c r="L28" i="21"/>
  <c r="I29" i="21"/>
  <c r="J29" i="21"/>
  <c r="K29" i="21"/>
  <c r="L29" i="21"/>
  <c r="M29" i="21"/>
  <c r="I30" i="21"/>
  <c r="M30" i="21" s="1"/>
  <c r="J30" i="21"/>
  <c r="K30" i="21"/>
  <c r="L30" i="21"/>
  <c r="I31" i="21"/>
  <c r="J31" i="21"/>
  <c r="K31" i="21"/>
  <c r="L31" i="21"/>
  <c r="M31" i="21"/>
  <c r="I32" i="21"/>
  <c r="J32" i="21"/>
  <c r="K32" i="21"/>
  <c r="L32" i="21"/>
  <c r="M32" i="21"/>
  <c r="I33" i="21"/>
  <c r="M33" i="21" s="1"/>
  <c r="J33" i="21"/>
  <c r="K33" i="21"/>
  <c r="L33" i="21"/>
  <c r="I34" i="21"/>
  <c r="J34" i="21"/>
  <c r="K34" i="21"/>
  <c r="L34" i="21"/>
  <c r="M34" i="21"/>
  <c r="I35" i="21"/>
  <c r="M35" i="21" s="1"/>
  <c r="J35" i="21"/>
  <c r="K35" i="21"/>
  <c r="L35" i="21"/>
  <c r="I36" i="21"/>
  <c r="M36" i="21" s="1"/>
  <c r="J36" i="21"/>
  <c r="K36" i="21"/>
  <c r="L36" i="21"/>
  <c r="I37" i="21"/>
  <c r="J37" i="21"/>
  <c r="K37" i="21"/>
  <c r="L37" i="21"/>
  <c r="M37" i="21"/>
  <c r="I38" i="21"/>
  <c r="M38" i="21" s="1"/>
  <c r="J38" i="21"/>
  <c r="K38" i="21"/>
  <c r="L38" i="21"/>
  <c r="I39" i="21"/>
  <c r="J39" i="21"/>
  <c r="K39" i="21"/>
  <c r="L39" i="21"/>
  <c r="M39" i="21"/>
  <c r="I40" i="21"/>
  <c r="J40" i="21"/>
  <c r="K40" i="21"/>
  <c r="L40" i="21"/>
  <c r="M40" i="21"/>
  <c r="I41" i="21"/>
  <c r="M41" i="21" s="1"/>
  <c r="J41" i="21"/>
  <c r="K41" i="21"/>
  <c r="L41" i="21"/>
  <c r="I42" i="21"/>
  <c r="J42" i="21"/>
  <c r="K42" i="21"/>
  <c r="L42" i="21"/>
  <c r="M42" i="21"/>
  <c r="I43" i="21"/>
  <c r="M43" i="21" s="1"/>
  <c r="J43" i="21"/>
  <c r="K43" i="21"/>
  <c r="L43" i="21"/>
  <c r="I44" i="21"/>
  <c r="M44" i="21" s="1"/>
  <c r="J44" i="21"/>
  <c r="K44" i="21"/>
  <c r="L44" i="21"/>
  <c r="I45" i="21"/>
  <c r="J45" i="21"/>
  <c r="K45" i="21"/>
  <c r="L45" i="21"/>
  <c r="M45" i="21"/>
  <c r="I46" i="21"/>
  <c r="M46" i="21" s="1"/>
  <c r="J46" i="21"/>
  <c r="K46" i="21"/>
  <c r="L46" i="21"/>
  <c r="I47" i="21"/>
  <c r="J47" i="21"/>
  <c r="K47" i="21"/>
  <c r="L47" i="21"/>
  <c r="M47" i="21"/>
  <c r="I48" i="21"/>
  <c r="J48" i="21"/>
  <c r="K48" i="21"/>
  <c r="L48" i="21"/>
  <c r="M48" i="21"/>
  <c r="I49" i="21"/>
  <c r="M49" i="21" s="1"/>
  <c r="J49" i="21"/>
  <c r="K49" i="21"/>
  <c r="L49" i="21"/>
  <c r="I50" i="21"/>
  <c r="J50" i="21"/>
  <c r="K50" i="21"/>
  <c r="L50" i="21"/>
  <c r="M50" i="21"/>
  <c r="I51" i="21"/>
  <c r="M51" i="21" s="1"/>
  <c r="J51" i="21"/>
  <c r="K51" i="21"/>
  <c r="L51" i="21"/>
  <c r="H9" i="21"/>
  <c r="H10" i="21" s="1"/>
  <c r="H11" i="21" s="1"/>
  <c r="H12" i="21" s="1"/>
  <c r="H13" i="21" s="1"/>
  <c r="H14" i="21" s="1"/>
  <c r="H15" i="21" s="1"/>
  <c r="H16" i="21" s="1"/>
  <c r="H17" i="21" s="1"/>
  <c r="H18" i="21" s="1"/>
  <c r="H19" i="21" s="1"/>
  <c r="H20" i="21" s="1"/>
  <c r="H21" i="21" s="1"/>
  <c r="H22" i="21" s="1"/>
  <c r="H23" i="21" s="1"/>
  <c r="H24" i="21" s="1"/>
  <c r="H8" i="21"/>
  <c r="L7" i="21"/>
  <c r="K7" i="21"/>
  <c r="J7" i="21"/>
  <c r="I7" i="21"/>
  <c r="L6" i="21"/>
  <c r="K6" i="21"/>
  <c r="J6" i="21"/>
  <c r="I6" i="21"/>
  <c r="L7" i="20"/>
  <c r="K8" i="20"/>
  <c r="L8" i="20"/>
  <c r="I7" i="20"/>
  <c r="J7" i="20"/>
  <c r="K7" i="20"/>
  <c r="L6" i="20"/>
  <c r="H8" i="20"/>
  <c r="H9" i="20" s="1"/>
  <c r="H10" i="20" s="1"/>
  <c r="H11" i="20" s="1"/>
  <c r="H12" i="20" s="1"/>
  <c r="H13" i="20" s="1"/>
  <c r="H14" i="20" s="1"/>
  <c r="H15" i="20" s="1"/>
  <c r="H16" i="20" s="1"/>
  <c r="H17" i="20" s="1"/>
  <c r="H18" i="20" s="1"/>
  <c r="H19" i="20" s="1"/>
  <c r="H20" i="20" s="1"/>
  <c r="H21" i="20" s="1"/>
  <c r="H22" i="20" s="1"/>
  <c r="H23" i="20" s="1"/>
  <c r="H24" i="20" s="1"/>
  <c r="H26" i="20" s="1"/>
  <c r="I26" i="20" s="1"/>
  <c r="K6" i="20"/>
  <c r="J6" i="20"/>
  <c r="I6" i="20"/>
  <c r="K8" i="19"/>
  <c r="H8" i="19"/>
  <c r="H9" i="19" s="1"/>
  <c r="K7" i="19"/>
  <c r="I7" i="19"/>
  <c r="J7" i="19"/>
  <c r="L7" i="19"/>
  <c r="K6" i="19"/>
  <c r="J6" i="19"/>
  <c r="I6" i="19"/>
  <c r="J6" i="18"/>
  <c r="K7" i="18"/>
  <c r="K6" i="18"/>
  <c r="H7" i="18"/>
  <c r="I7" i="18" s="1"/>
  <c r="I6" i="18"/>
  <c r="K5" i="18"/>
  <c r="J5" i="18"/>
  <c r="I5" i="18"/>
  <c r="G7" i="17"/>
  <c r="I6" i="17"/>
  <c r="H5" i="17"/>
  <c r="H6" i="17"/>
  <c r="I5" i="17"/>
  <c r="G7" i="16"/>
  <c r="G8" i="16" s="1"/>
  <c r="I6" i="16"/>
  <c r="H6" i="16"/>
  <c r="I5" i="16"/>
  <c r="H5" i="16"/>
  <c r="H7" i="15"/>
  <c r="H8" i="15" s="1"/>
  <c r="H9" i="15" s="1"/>
  <c r="I6" i="15"/>
  <c r="J6" i="15"/>
  <c r="J5" i="15"/>
  <c r="I5" i="15"/>
  <c r="H6" i="14"/>
  <c r="J6" i="14" s="1"/>
  <c r="I7" i="14"/>
  <c r="I6" i="14"/>
  <c r="H7" i="14"/>
  <c r="J7" i="14" s="1"/>
  <c r="G7" i="14"/>
  <c r="G8" i="14" s="1"/>
  <c r="I5" i="14"/>
  <c r="H5" i="14"/>
  <c r="H81" i="13"/>
  <c r="I81" i="13" s="1"/>
  <c r="L81" i="13" s="1"/>
  <c r="J81" i="13"/>
  <c r="K81" i="13"/>
  <c r="I6" i="13"/>
  <c r="L6" i="13" s="1"/>
  <c r="J6" i="13"/>
  <c r="K6" i="13"/>
  <c r="H7" i="13"/>
  <c r="J7" i="13" s="1"/>
  <c r="K5" i="13"/>
  <c r="J5" i="13"/>
  <c r="I5" i="13"/>
  <c r="H7" i="12"/>
  <c r="I7" i="12" s="1"/>
  <c r="J6" i="12"/>
  <c r="I6" i="12"/>
  <c r="J5" i="12"/>
  <c r="I5" i="12"/>
  <c r="K6" i="12"/>
  <c r="H33" i="11"/>
  <c r="I33" i="11" s="1"/>
  <c r="I7" i="11"/>
  <c r="K7" i="11" s="1"/>
  <c r="J7" i="11"/>
  <c r="H8" i="11"/>
  <c r="I8" i="11" s="1"/>
  <c r="H9" i="11"/>
  <c r="I9" i="11" s="1"/>
  <c r="H10" i="11"/>
  <c r="I10" i="11" s="1"/>
  <c r="H7" i="11"/>
  <c r="I6" i="11"/>
  <c r="J6" i="11"/>
  <c r="G22" i="10"/>
  <c r="H22" i="10" s="1"/>
  <c r="J22" i="10" s="1"/>
  <c r="I22" i="10"/>
  <c r="I7" i="10"/>
  <c r="H7" i="10"/>
  <c r="J7" i="10" s="1"/>
  <c r="I6" i="10"/>
  <c r="H6" i="10"/>
  <c r="G8" i="10"/>
  <c r="I8" i="10" s="1"/>
  <c r="G7" i="10"/>
  <c r="H34" i="9"/>
  <c r="I34" i="9"/>
  <c r="K34" i="9" s="1"/>
  <c r="J34" i="9"/>
  <c r="H27" i="9"/>
  <c r="I27" i="9" s="1"/>
  <c r="J28" i="9"/>
  <c r="I28" i="9"/>
  <c r="H29" i="9"/>
  <c r="I29" i="9" s="1"/>
  <c r="J5" i="8"/>
  <c r="I5" i="8"/>
  <c r="H6" i="8"/>
  <c r="H7" i="8" s="1"/>
  <c r="G54" i="7"/>
  <c r="H54" i="7"/>
  <c r="F54" i="7"/>
  <c r="F53" i="7" s="1"/>
  <c r="H55" i="7"/>
  <c r="G55" i="7"/>
  <c r="F56" i="7"/>
  <c r="G56" i="7" s="1"/>
  <c r="H56" i="6"/>
  <c r="I56" i="6" s="1"/>
  <c r="K25" i="6"/>
  <c r="K17" i="6"/>
  <c r="K9" i="6"/>
  <c r="J6" i="6"/>
  <c r="K6" i="6" s="1"/>
  <c r="J7" i="6"/>
  <c r="K7" i="6" s="1"/>
  <c r="J8" i="6"/>
  <c r="K8" i="6" s="1"/>
  <c r="J9" i="6"/>
  <c r="J10" i="6"/>
  <c r="K10" i="6" s="1"/>
  <c r="J11" i="6"/>
  <c r="K11" i="6" s="1"/>
  <c r="J12" i="6"/>
  <c r="K12" i="6" s="1"/>
  <c r="J13" i="6"/>
  <c r="K13" i="6" s="1"/>
  <c r="J14" i="6"/>
  <c r="K14" i="6" s="1"/>
  <c r="J15" i="6"/>
  <c r="K15" i="6" s="1"/>
  <c r="J16" i="6"/>
  <c r="K16" i="6" s="1"/>
  <c r="J17" i="6"/>
  <c r="J18" i="6"/>
  <c r="K18" i="6" s="1"/>
  <c r="J19" i="6"/>
  <c r="K19" i="6" s="1"/>
  <c r="J20" i="6"/>
  <c r="K20" i="6" s="1"/>
  <c r="J21" i="6"/>
  <c r="K21" i="6" s="1"/>
  <c r="J22" i="6"/>
  <c r="K22" i="6" s="1"/>
  <c r="J23" i="6"/>
  <c r="K23" i="6" s="1"/>
  <c r="J24" i="6"/>
  <c r="K24" i="6" s="1"/>
  <c r="J25" i="6"/>
  <c r="J26" i="6"/>
  <c r="K26" i="6" s="1"/>
  <c r="J27" i="6"/>
  <c r="K27" i="6" s="1"/>
  <c r="J28" i="6"/>
  <c r="K28" i="6" s="1"/>
  <c r="J29" i="6"/>
  <c r="K29" i="6" s="1"/>
  <c r="J30" i="6"/>
  <c r="K30" i="6" s="1"/>
  <c r="J31" i="6"/>
  <c r="K31" i="6" s="1"/>
  <c r="J32" i="6"/>
  <c r="K32" i="6" s="1"/>
  <c r="J33" i="6"/>
  <c r="K33" i="6" s="1"/>
  <c r="J34" i="6"/>
  <c r="K34" i="6" s="1"/>
  <c r="J35" i="6"/>
  <c r="K35" i="6" s="1"/>
  <c r="J36" i="6"/>
  <c r="K36" i="6" s="1"/>
  <c r="J5" i="6"/>
  <c r="K5" i="6" s="1"/>
  <c r="G6" i="1"/>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H33" i="6"/>
  <c r="H32" i="6" s="1"/>
  <c r="H31" i="6" s="1"/>
  <c r="H30" i="6" s="1"/>
  <c r="H29" i="6" s="1"/>
  <c r="H28" i="6" s="1"/>
  <c r="H27" i="6" s="1"/>
  <c r="H26" i="6" s="1"/>
  <c r="H25" i="6" s="1"/>
  <c r="H24" i="6" s="1"/>
  <c r="H23" i="6" s="1"/>
  <c r="H22" i="6" s="1"/>
  <c r="H21" i="6" s="1"/>
  <c r="H20" i="6" s="1"/>
  <c r="H19" i="6" s="1"/>
  <c r="H18" i="6" s="1"/>
  <c r="H17" i="6" s="1"/>
  <c r="H16" i="6" s="1"/>
  <c r="H15" i="6" s="1"/>
  <c r="H14" i="6" s="1"/>
  <c r="H13" i="6" s="1"/>
  <c r="H12" i="6" s="1"/>
  <c r="H11" i="6" s="1"/>
  <c r="H10" i="6" s="1"/>
  <c r="H9" i="6" s="1"/>
  <c r="H8" i="6" s="1"/>
  <c r="H7" i="6" s="1"/>
  <c r="H6" i="6" s="1"/>
  <c r="H5" i="6" s="1"/>
  <c r="H34" i="6"/>
  <c r="I35" i="6"/>
  <c r="H36" i="6"/>
  <c r="I36" i="6" s="1"/>
  <c r="G56" i="5"/>
  <c r="G57" i="5" s="1"/>
  <c r="G58" i="5" s="1"/>
  <c r="G59" i="5" s="1"/>
  <c r="G60" i="5" s="1"/>
  <c r="G61" i="5" s="1"/>
  <c r="G62" i="5" s="1"/>
  <c r="G63" i="5" s="1"/>
  <c r="G64" i="5" s="1"/>
  <c r="G65" i="5" s="1"/>
  <c r="G66" i="5" s="1"/>
  <c r="G67" i="5" s="1"/>
  <c r="G68" i="5" s="1"/>
  <c r="G69" i="5" s="1"/>
  <c r="G70" i="5" s="1"/>
  <c r="G71" i="5" s="1"/>
  <c r="G72" i="5" s="1"/>
  <c r="G73" i="5" s="1"/>
  <c r="G74" i="5" s="1"/>
  <c r="G75" i="5" s="1"/>
  <c r="G76" i="5" s="1"/>
  <c r="G77" i="5" s="1"/>
  <c r="G78" i="5" s="1"/>
  <c r="G79" i="5" s="1"/>
  <c r="G80" i="5" s="1"/>
  <c r="G81" i="5" s="1"/>
  <c r="G82" i="5" s="1"/>
  <c r="G83" i="5" s="1"/>
  <c r="G84" i="5" s="1"/>
  <c r="G85" i="5" s="1"/>
  <c r="G86" i="5" s="1"/>
  <c r="G87" i="5" s="1"/>
  <c r="G88" i="5" s="1"/>
  <c r="G89" i="5" s="1"/>
  <c r="G90" i="5" s="1"/>
  <c r="G91" i="5" s="1"/>
  <c r="G92" i="5" s="1"/>
  <c r="G93" i="5" s="1"/>
  <c r="G94" i="5" s="1"/>
  <c r="G95" i="5" s="1"/>
  <c r="G96" i="5" s="1"/>
  <c r="G97" i="5" s="1"/>
  <c r="G98" i="5" s="1"/>
  <c r="G99" i="5" s="1"/>
  <c r="G100" i="5" s="1"/>
  <c r="G101" i="5" s="1"/>
  <c r="G102" i="5" s="1"/>
  <c r="G103" i="5" s="1"/>
  <c r="G104" i="5" s="1"/>
  <c r="G105" i="5" s="1"/>
  <c r="G106" i="5" s="1"/>
  <c r="G107" i="5" s="1"/>
  <c r="G108" i="5" s="1"/>
  <c r="G109" i="5" s="1"/>
  <c r="G110" i="5" s="1"/>
  <c r="G111" i="5" s="1"/>
  <c r="G112" i="5" s="1"/>
  <c r="G113" i="5" s="1"/>
  <c r="G114" i="5" s="1"/>
  <c r="G115" i="5" s="1"/>
  <c r="G116" i="5" s="1"/>
  <c r="G117" i="5" s="1"/>
  <c r="G118" i="5" s="1"/>
  <c r="G119" i="5" s="1"/>
  <c r="G121" i="5" s="1"/>
  <c r="G122" i="5" s="1"/>
  <c r="G123" i="5" s="1"/>
  <c r="G124" i="5" s="1"/>
  <c r="G125" i="5" s="1"/>
  <c r="G126" i="5" s="1"/>
  <c r="G127" i="5" s="1"/>
  <c r="G128" i="5" s="1"/>
  <c r="G129" i="5" s="1"/>
  <c r="G130" i="5" s="1"/>
  <c r="G131" i="5" s="1"/>
  <c r="G132" i="5" s="1"/>
  <c r="G133" i="5" s="1"/>
  <c r="G134" i="5" s="1"/>
  <c r="G135" i="5" s="1"/>
  <c r="G136" i="5" s="1"/>
  <c r="G137" i="5" s="1"/>
  <c r="G138" i="5" s="1"/>
  <c r="G139" i="5" s="1"/>
  <c r="G140" i="5" s="1"/>
  <c r="G141" i="5" s="1"/>
  <c r="G142" i="5" s="1"/>
  <c r="G143" i="5" s="1"/>
  <c r="G144" i="5" s="1"/>
  <c r="G145" i="5" s="1"/>
  <c r="G146" i="5" s="1"/>
  <c r="G147" i="5" s="1"/>
  <c r="G148" i="5" s="1"/>
  <c r="G149" i="5" s="1"/>
  <c r="G150" i="5" s="1"/>
  <c r="G151" i="5" s="1"/>
  <c r="G152" i="5" s="1"/>
  <c r="G153" i="5" s="1"/>
  <c r="G154" i="5" s="1"/>
  <c r="G155" i="5" s="1"/>
  <c r="G156" i="5" s="1"/>
  <c r="G157" i="5" s="1"/>
  <c r="I29" i="4"/>
  <c r="I28" i="4" s="1"/>
  <c r="J70" i="4"/>
  <c r="K70" i="4"/>
  <c r="I70" i="4"/>
  <c r="I69" i="4" s="1"/>
  <c r="J71" i="4"/>
  <c r="D26" i="4"/>
  <c r="C26" i="4"/>
  <c r="E26" i="4" s="1"/>
  <c r="K71" i="4"/>
  <c r="I72" i="4"/>
  <c r="I73" i="4" s="1"/>
  <c r="E27" i="4"/>
  <c r="D27" i="4"/>
  <c r="C29" i="4"/>
  <c r="C30" i="4" s="1"/>
  <c r="C31" i="4" s="1"/>
  <c r="C28" i="4"/>
  <c r="E28" i="4" s="1"/>
  <c r="G6" i="2"/>
  <c r="F6" i="2"/>
  <c r="H6" i="1"/>
  <c r="E7" i="2"/>
  <c r="G7" i="2" s="1"/>
  <c r="F8" i="1"/>
  <c r="H8" i="1" s="1"/>
  <c r="F7" i="1"/>
  <c r="H7" i="1" s="1"/>
  <c r="G7" i="1"/>
  <c r="X10" i="10" l="1"/>
  <c r="X12" i="10"/>
  <c r="X8" i="10"/>
  <c r="X11" i="10"/>
  <c r="X7" i="10"/>
  <c r="X6" i="10"/>
  <c r="W10" i="11"/>
  <c r="X10" i="11" s="1"/>
  <c r="U11" i="11"/>
  <c r="X9" i="11"/>
  <c r="M7" i="20"/>
  <c r="AA9" i="20"/>
  <c r="H26" i="21"/>
  <c r="H25" i="21"/>
  <c r="M7" i="21"/>
  <c r="J8" i="20"/>
  <c r="I8" i="20"/>
  <c r="M8" i="20" s="1"/>
  <c r="L23" i="20"/>
  <c r="L10" i="20"/>
  <c r="K18" i="20"/>
  <c r="J22" i="20"/>
  <c r="J18" i="20"/>
  <c r="K14" i="20"/>
  <c r="J10" i="20"/>
  <c r="J24" i="20"/>
  <c r="J16" i="20"/>
  <c r="L14" i="20"/>
  <c r="I22" i="20"/>
  <c r="I17" i="20"/>
  <c r="J13" i="20"/>
  <c r="I9" i="20"/>
  <c r="J20" i="20"/>
  <c r="K12" i="20"/>
  <c r="I24" i="20"/>
  <c r="I11" i="20"/>
  <c r="I15" i="20"/>
  <c r="K10" i="20"/>
  <c r="L26" i="20"/>
  <c r="L20" i="20"/>
  <c r="L16" i="20"/>
  <c r="I13" i="20"/>
  <c r="I20" i="20"/>
  <c r="J15" i="20"/>
  <c r="L18" i="20"/>
  <c r="K22" i="20"/>
  <c r="K24" i="20"/>
  <c r="K20" i="20"/>
  <c r="K16" i="20"/>
  <c r="L12" i="20"/>
  <c r="H25" i="20"/>
  <c r="K26" i="20"/>
  <c r="K23" i="20"/>
  <c r="L21" i="20"/>
  <c r="L19" i="20"/>
  <c r="I18" i="20"/>
  <c r="I16" i="20"/>
  <c r="J14" i="20"/>
  <c r="J12" i="20"/>
  <c r="I10" i="20"/>
  <c r="J26" i="20"/>
  <c r="J23" i="20"/>
  <c r="K21" i="20"/>
  <c r="K19" i="20"/>
  <c r="L17" i="20"/>
  <c r="I14" i="20"/>
  <c r="I12" i="20"/>
  <c r="L9" i="20"/>
  <c r="I23" i="20"/>
  <c r="J21" i="20"/>
  <c r="J19" i="20"/>
  <c r="K17" i="20"/>
  <c r="L15" i="20"/>
  <c r="L13" i="20"/>
  <c r="K11" i="20"/>
  <c r="K9" i="20"/>
  <c r="L11" i="20"/>
  <c r="L24" i="20"/>
  <c r="L22" i="20"/>
  <c r="M22" i="20" s="1"/>
  <c r="I21" i="20"/>
  <c r="I19" i="20"/>
  <c r="J17" i="20"/>
  <c r="K15" i="20"/>
  <c r="K13" i="20"/>
  <c r="J11" i="20"/>
  <c r="J9" i="20"/>
  <c r="H27" i="20"/>
  <c r="H28" i="20"/>
  <c r="H10" i="19"/>
  <c r="K9" i="19"/>
  <c r="J9" i="19"/>
  <c r="I9" i="19"/>
  <c r="L9" i="19" s="1"/>
  <c r="J8" i="19"/>
  <c r="I8" i="19"/>
  <c r="L8" i="19" s="1"/>
  <c r="J7" i="18"/>
  <c r="L7" i="18" s="1"/>
  <c r="H8" i="18"/>
  <c r="I8" i="18"/>
  <c r="J8" i="18"/>
  <c r="L6" i="18"/>
  <c r="H7" i="17"/>
  <c r="I7" i="17"/>
  <c r="G8" i="17"/>
  <c r="J6" i="17"/>
  <c r="G9" i="16"/>
  <c r="H8" i="16"/>
  <c r="J8" i="16" s="1"/>
  <c r="I8" i="16"/>
  <c r="I7" i="16"/>
  <c r="H7" i="16"/>
  <c r="J7" i="16" s="1"/>
  <c r="J6" i="16"/>
  <c r="H10" i="15"/>
  <c r="H11" i="15" s="1"/>
  <c r="H12" i="15" s="1"/>
  <c r="J9" i="15"/>
  <c r="J7" i="15"/>
  <c r="I7" i="15"/>
  <c r="K7" i="15" s="1"/>
  <c r="J8" i="15"/>
  <c r="I8" i="15"/>
  <c r="J11" i="15"/>
  <c r="J10" i="15"/>
  <c r="I12" i="15"/>
  <c r="I9" i="15"/>
  <c r="K9" i="15" s="1"/>
  <c r="I11" i="15"/>
  <c r="I10" i="15"/>
  <c r="K6" i="15"/>
  <c r="I8" i="14"/>
  <c r="G9" i="14"/>
  <c r="H8" i="14"/>
  <c r="H8" i="13"/>
  <c r="I7" i="13"/>
  <c r="K7" i="13"/>
  <c r="H9" i="13"/>
  <c r="J8" i="13"/>
  <c r="I8" i="13"/>
  <c r="K8" i="13"/>
  <c r="H8" i="12"/>
  <c r="I8" i="12" s="1"/>
  <c r="J7" i="12"/>
  <c r="H9" i="12"/>
  <c r="I9" i="12" s="1"/>
  <c r="K7" i="12"/>
  <c r="J8" i="12"/>
  <c r="K8" i="12" s="1"/>
  <c r="J33" i="11"/>
  <c r="K33" i="11" s="1"/>
  <c r="J9" i="11"/>
  <c r="K9" i="11" s="1"/>
  <c r="J8" i="11"/>
  <c r="K8" i="11" s="1"/>
  <c r="J10" i="11"/>
  <c r="K10" i="11" s="1"/>
  <c r="H11" i="11"/>
  <c r="K6" i="11"/>
  <c r="G9" i="10"/>
  <c r="H8" i="10"/>
  <c r="J8" i="10" s="1"/>
  <c r="J6" i="10"/>
  <c r="H26" i="9"/>
  <c r="J27" i="9"/>
  <c r="K27" i="9" s="1"/>
  <c r="H30" i="9"/>
  <c r="J29" i="9"/>
  <c r="K29" i="9" s="1"/>
  <c r="K28" i="9"/>
  <c r="H8" i="8"/>
  <c r="J7" i="8"/>
  <c r="I7" i="8"/>
  <c r="K7" i="8" s="1"/>
  <c r="I6" i="8"/>
  <c r="K6" i="8" s="1"/>
  <c r="J6" i="8"/>
  <c r="K5" i="8"/>
  <c r="F52" i="7"/>
  <c r="G53" i="7"/>
  <c r="H53" i="7"/>
  <c r="I54" i="7"/>
  <c r="F57" i="7"/>
  <c r="H56" i="7"/>
  <c r="I56" i="7" s="1"/>
  <c r="I55" i="7"/>
  <c r="J56" i="6"/>
  <c r="K56" i="6" s="1"/>
  <c r="H37" i="6"/>
  <c r="J37" i="6" s="1"/>
  <c r="G120" i="5"/>
  <c r="H157" i="5"/>
  <c r="I157" i="5"/>
  <c r="G158" i="5"/>
  <c r="I56" i="5"/>
  <c r="H56" i="5"/>
  <c r="J56" i="5" s="1"/>
  <c r="L71" i="4"/>
  <c r="I27" i="4"/>
  <c r="J28" i="4"/>
  <c r="K28" i="4"/>
  <c r="K29" i="4"/>
  <c r="J29" i="4"/>
  <c r="F26" i="4"/>
  <c r="I68" i="4"/>
  <c r="K69" i="4"/>
  <c r="J69" i="4"/>
  <c r="D30" i="4"/>
  <c r="D29" i="4"/>
  <c r="C25" i="4"/>
  <c r="D28" i="4"/>
  <c r="L70" i="4"/>
  <c r="J72" i="4"/>
  <c r="F27" i="4"/>
  <c r="J73" i="4"/>
  <c r="K73" i="4"/>
  <c r="L73" i="4" s="1"/>
  <c r="I74" i="4"/>
  <c r="K72" i="4"/>
  <c r="F28" i="4"/>
  <c r="E30" i="4"/>
  <c r="E29" i="4"/>
  <c r="F29" i="4" s="1"/>
  <c r="D31" i="4"/>
  <c r="C32" i="4"/>
  <c r="E31" i="4"/>
  <c r="C33" i="4"/>
  <c r="F9" i="1"/>
  <c r="G8" i="1"/>
  <c r="F7" i="2"/>
  <c r="E8" i="2"/>
  <c r="U12" i="11" l="1"/>
  <c r="W11" i="11"/>
  <c r="V11" i="11"/>
  <c r="M21" i="20"/>
  <c r="M18" i="20"/>
  <c r="AA10" i="20"/>
  <c r="H27" i="21"/>
  <c r="H28" i="21"/>
  <c r="H29" i="21" s="1"/>
  <c r="H30" i="21" s="1"/>
  <c r="H32" i="21" s="1"/>
  <c r="M19" i="20"/>
  <c r="M16" i="20"/>
  <c r="M20" i="20"/>
  <c r="M23" i="20"/>
  <c r="M9" i="20"/>
  <c r="M26" i="20"/>
  <c r="M15" i="20"/>
  <c r="M11" i="20"/>
  <c r="M12" i="20"/>
  <c r="M10" i="20"/>
  <c r="M24" i="20"/>
  <c r="M17" i="20"/>
  <c r="M13" i="20"/>
  <c r="I25" i="20"/>
  <c r="J25" i="20"/>
  <c r="K25" i="20"/>
  <c r="L25" i="20"/>
  <c r="K28" i="20"/>
  <c r="I28" i="20"/>
  <c r="J28" i="20"/>
  <c r="L28" i="20"/>
  <c r="L27" i="20"/>
  <c r="J27" i="20"/>
  <c r="K27" i="20"/>
  <c r="I27" i="20"/>
  <c r="H29" i="20"/>
  <c r="H11" i="19"/>
  <c r="I10" i="19"/>
  <c r="L10" i="19" s="1"/>
  <c r="K10" i="19"/>
  <c r="J10" i="19"/>
  <c r="K8" i="18"/>
  <c r="L8" i="18" s="1"/>
  <c r="H9" i="18"/>
  <c r="G9" i="17"/>
  <c r="H8" i="17"/>
  <c r="J8" i="17" s="1"/>
  <c r="I8" i="17"/>
  <c r="J7" i="17"/>
  <c r="H9" i="16"/>
  <c r="I9" i="16"/>
  <c r="G10" i="16"/>
  <c r="K10" i="15"/>
  <c r="H13" i="15"/>
  <c r="J12" i="15"/>
  <c r="K12" i="15" s="1"/>
  <c r="K11" i="15"/>
  <c r="K8" i="15"/>
  <c r="I9" i="14"/>
  <c r="H9" i="14"/>
  <c r="J9" i="14" s="1"/>
  <c r="G10" i="14"/>
  <c r="J8" i="14"/>
  <c r="L8" i="13"/>
  <c r="L7" i="13"/>
  <c r="H10" i="13"/>
  <c r="I9" i="13"/>
  <c r="J9" i="13"/>
  <c r="K9" i="13"/>
  <c r="J9" i="12"/>
  <c r="K9" i="12" s="1"/>
  <c r="H10" i="12"/>
  <c r="H12" i="11"/>
  <c r="J11" i="11"/>
  <c r="I11" i="11"/>
  <c r="I9" i="10"/>
  <c r="H9" i="10"/>
  <c r="G10" i="10"/>
  <c r="H25" i="9"/>
  <c r="J26" i="9"/>
  <c r="I26" i="9"/>
  <c r="K26" i="9" s="1"/>
  <c r="I30" i="9"/>
  <c r="H31" i="9"/>
  <c r="J30" i="9"/>
  <c r="H9" i="8"/>
  <c r="J8" i="8"/>
  <c r="I8" i="8"/>
  <c r="K8" i="8" s="1"/>
  <c r="I53" i="7"/>
  <c r="F51" i="7"/>
  <c r="H52" i="7"/>
  <c r="G52" i="7"/>
  <c r="I52" i="7" s="1"/>
  <c r="F58" i="7"/>
  <c r="G57" i="7"/>
  <c r="H57" i="7"/>
  <c r="I37" i="6"/>
  <c r="K37" i="6" s="1"/>
  <c r="H38" i="6"/>
  <c r="J38" i="6" s="1"/>
  <c r="H120" i="5"/>
  <c r="J120" i="5" s="1"/>
  <c r="I120" i="5"/>
  <c r="G159" i="5"/>
  <c r="I158" i="5"/>
  <c r="H158" i="5"/>
  <c r="J157" i="5"/>
  <c r="G54" i="5"/>
  <c r="H55" i="5"/>
  <c r="I55" i="5"/>
  <c r="I57" i="5"/>
  <c r="H57" i="5"/>
  <c r="L72" i="4"/>
  <c r="L28" i="4"/>
  <c r="L29" i="4"/>
  <c r="I26" i="4"/>
  <c r="K27" i="4"/>
  <c r="J27" i="4"/>
  <c r="L69" i="4"/>
  <c r="C24" i="4"/>
  <c r="E25" i="4"/>
  <c r="D25" i="4"/>
  <c r="F25" i="4" s="1"/>
  <c r="I67" i="4"/>
  <c r="J68" i="4"/>
  <c r="K68" i="4"/>
  <c r="F30" i="4"/>
  <c r="I75" i="4"/>
  <c r="K74" i="4"/>
  <c r="J74" i="4"/>
  <c r="L74" i="4" s="1"/>
  <c r="F31" i="4"/>
  <c r="E32" i="4"/>
  <c r="D32" i="4"/>
  <c r="D33" i="4"/>
  <c r="E33" i="4"/>
  <c r="C34" i="4"/>
  <c r="F10" i="1"/>
  <c r="G9" i="1"/>
  <c r="H9" i="1"/>
  <c r="G8" i="2"/>
  <c r="F8" i="2"/>
  <c r="E9" i="2"/>
  <c r="X11" i="11" l="1"/>
  <c r="V12" i="11"/>
  <c r="W12" i="11"/>
  <c r="AA11" i="20"/>
  <c r="H34" i="21"/>
  <c r="H31" i="21"/>
  <c r="M25" i="20"/>
  <c r="M27" i="20"/>
  <c r="M28" i="20"/>
  <c r="K29" i="20"/>
  <c r="L29" i="20"/>
  <c r="I29" i="20"/>
  <c r="J29" i="20"/>
  <c r="H30" i="20"/>
  <c r="H12" i="19"/>
  <c r="K11" i="19"/>
  <c r="I11" i="19"/>
  <c r="J11" i="19"/>
  <c r="J9" i="18"/>
  <c r="K9" i="18"/>
  <c r="I9" i="18"/>
  <c r="H10" i="18"/>
  <c r="G10" i="17"/>
  <c r="H9" i="17"/>
  <c r="J9" i="17" s="1"/>
  <c r="I9" i="17"/>
  <c r="H10" i="16"/>
  <c r="I10" i="16"/>
  <c r="G11" i="16"/>
  <c r="J9" i="16"/>
  <c r="H14" i="15"/>
  <c r="I13" i="15"/>
  <c r="K13" i="15" s="1"/>
  <c r="J13" i="15"/>
  <c r="H10" i="14"/>
  <c r="I10" i="14"/>
  <c r="G11" i="14"/>
  <c r="H11" i="13"/>
  <c r="I10" i="13"/>
  <c r="K10" i="13"/>
  <c r="J10" i="13"/>
  <c r="L9" i="13"/>
  <c r="J10" i="12"/>
  <c r="H11" i="12"/>
  <c r="I10" i="12"/>
  <c r="K11" i="11"/>
  <c r="H13" i="11"/>
  <c r="I12" i="11"/>
  <c r="J12" i="11"/>
  <c r="J9" i="10"/>
  <c r="G11" i="10"/>
  <c r="I10" i="10"/>
  <c r="H10" i="10"/>
  <c r="J10" i="10" s="1"/>
  <c r="H24" i="9"/>
  <c r="I25" i="9"/>
  <c r="J25" i="9"/>
  <c r="H32" i="9"/>
  <c r="J31" i="9"/>
  <c r="I31" i="9"/>
  <c r="K30" i="9"/>
  <c r="H10" i="8"/>
  <c r="J9" i="8"/>
  <c r="I9" i="8"/>
  <c r="K9" i="8" s="1"/>
  <c r="F50" i="7"/>
  <c r="H51" i="7"/>
  <c r="G51" i="7"/>
  <c r="I57" i="7"/>
  <c r="F59" i="7"/>
  <c r="G58" i="7"/>
  <c r="H58" i="7"/>
  <c r="H39" i="6"/>
  <c r="J39" i="6" s="1"/>
  <c r="I38" i="6"/>
  <c r="K38" i="6" s="1"/>
  <c r="G53" i="5"/>
  <c r="H54" i="5"/>
  <c r="I54" i="5"/>
  <c r="J54" i="5" s="1"/>
  <c r="J57" i="5"/>
  <c r="J158" i="5"/>
  <c r="H159" i="5"/>
  <c r="I159" i="5"/>
  <c r="G160" i="5"/>
  <c r="J55" i="5"/>
  <c r="I58" i="5"/>
  <c r="H58" i="5"/>
  <c r="J58" i="5" s="1"/>
  <c r="L27" i="4"/>
  <c r="J26" i="4"/>
  <c r="K26" i="4"/>
  <c r="I25" i="4"/>
  <c r="I66" i="4"/>
  <c r="K67" i="4"/>
  <c r="J67" i="4"/>
  <c r="L67" i="4" s="1"/>
  <c r="L68" i="4"/>
  <c r="C23" i="4"/>
  <c r="D24" i="4"/>
  <c r="E24" i="4"/>
  <c r="K75" i="4"/>
  <c r="J75" i="4"/>
  <c r="I76" i="4"/>
  <c r="F32" i="4"/>
  <c r="D34" i="4"/>
  <c r="C35" i="4"/>
  <c r="E34" i="4"/>
  <c r="F33" i="4"/>
  <c r="F11" i="1"/>
  <c r="G10" i="1"/>
  <c r="H10" i="1"/>
  <c r="F9" i="2"/>
  <c r="G9" i="2"/>
  <c r="E10" i="2"/>
  <c r="X12" i="11" l="1"/>
  <c r="AA12" i="20"/>
  <c r="H35" i="21"/>
  <c r="H36" i="21" s="1"/>
  <c r="H37" i="21" s="1"/>
  <c r="H38" i="21" s="1"/>
  <c r="H39" i="21" s="1"/>
  <c r="H40" i="21" s="1"/>
  <c r="H41" i="21" s="1"/>
  <c r="H42" i="21" s="1"/>
  <c r="H43" i="21" s="1"/>
  <c r="H44" i="21" s="1"/>
  <c r="H45" i="21" s="1"/>
  <c r="H46" i="21" s="1"/>
  <c r="H47" i="21" s="1"/>
  <c r="H48" i="21" s="1"/>
  <c r="H49" i="21" s="1"/>
  <c r="H50" i="21" s="1"/>
  <c r="H51" i="21" s="1"/>
  <c r="H33" i="21"/>
  <c r="I30" i="20"/>
  <c r="K30" i="20"/>
  <c r="J30" i="20"/>
  <c r="L30" i="20"/>
  <c r="M29" i="20"/>
  <c r="H32" i="20"/>
  <c r="I32" i="20" s="1"/>
  <c r="L11" i="19"/>
  <c r="H13" i="19"/>
  <c r="K12" i="19"/>
  <c r="I12" i="19"/>
  <c r="J12" i="19"/>
  <c r="K10" i="18"/>
  <c r="H11" i="18"/>
  <c r="I10" i="18"/>
  <c r="J10" i="18"/>
  <c r="L9" i="18"/>
  <c r="G11" i="17"/>
  <c r="I10" i="17"/>
  <c r="H10" i="17"/>
  <c r="H11" i="16"/>
  <c r="J11" i="16" s="1"/>
  <c r="G12" i="16"/>
  <c r="I11" i="16"/>
  <c r="J10" i="16"/>
  <c r="H15" i="15"/>
  <c r="I14" i="15"/>
  <c r="J14" i="15"/>
  <c r="H11" i="14"/>
  <c r="I11" i="14"/>
  <c r="G12" i="14"/>
  <c r="J10" i="14"/>
  <c r="L10" i="13"/>
  <c r="H12" i="13"/>
  <c r="J11" i="13"/>
  <c r="K11" i="13"/>
  <c r="I11" i="13"/>
  <c r="L11" i="13" s="1"/>
  <c r="K10" i="12"/>
  <c r="H12" i="12"/>
  <c r="I11" i="12"/>
  <c r="J11" i="12"/>
  <c r="K12" i="11"/>
  <c r="I13" i="11"/>
  <c r="J13" i="11"/>
  <c r="H14" i="11"/>
  <c r="G12" i="10"/>
  <c r="I11" i="10"/>
  <c r="H11" i="10"/>
  <c r="J11" i="10" s="1"/>
  <c r="K25" i="9"/>
  <c r="H23" i="9"/>
  <c r="I24" i="9"/>
  <c r="J24" i="9"/>
  <c r="K31" i="9"/>
  <c r="H33" i="9"/>
  <c r="J32" i="9"/>
  <c r="I32" i="9"/>
  <c r="H11" i="8"/>
  <c r="J10" i="8"/>
  <c r="I10" i="8"/>
  <c r="K10" i="8" s="1"/>
  <c r="I51" i="7"/>
  <c r="F49" i="7"/>
  <c r="G50" i="7"/>
  <c r="H50" i="7"/>
  <c r="I58" i="7"/>
  <c r="F60" i="7"/>
  <c r="G59" i="7"/>
  <c r="H59" i="7"/>
  <c r="H40" i="6"/>
  <c r="J40" i="6" s="1"/>
  <c r="I39" i="6"/>
  <c r="K39" i="6" s="1"/>
  <c r="J159" i="5"/>
  <c r="H53" i="5"/>
  <c r="G52" i="5"/>
  <c r="I53" i="5"/>
  <c r="G161" i="5"/>
  <c r="I160" i="5"/>
  <c r="H160" i="5"/>
  <c r="J160" i="5" s="1"/>
  <c r="H59" i="5"/>
  <c r="I59" i="5"/>
  <c r="L75" i="4"/>
  <c r="L26" i="4"/>
  <c r="I24" i="4"/>
  <c r="K25" i="4"/>
  <c r="J25" i="4"/>
  <c r="F24" i="4"/>
  <c r="C22" i="4"/>
  <c r="E23" i="4"/>
  <c r="D23" i="4"/>
  <c r="F23" i="4" s="1"/>
  <c r="I65" i="4"/>
  <c r="J66" i="4"/>
  <c r="K66" i="4"/>
  <c r="K76" i="4"/>
  <c r="I77" i="4"/>
  <c r="J76" i="4"/>
  <c r="C36" i="4"/>
  <c r="D35" i="4"/>
  <c r="E35" i="4"/>
  <c r="F34" i="4"/>
  <c r="F12" i="1"/>
  <c r="G11" i="1"/>
  <c r="H11" i="1"/>
  <c r="G10" i="2"/>
  <c r="F10" i="2"/>
  <c r="E11" i="2"/>
  <c r="M30" i="20" l="1"/>
  <c r="AA13" i="20"/>
  <c r="K32" i="20"/>
  <c r="J32" i="20"/>
  <c r="L32" i="20"/>
  <c r="H34" i="20"/>
  <c r="H33" i="20" s="1"/>
  <c r="H31" i="20"/>
  <c r="L12" i="19"/>
  <c r="H14" i="19"/>
  <c r="K13" i="19"/>
  <c r="J13" i="19"/>
  <c r="I13" i="19"/>
  <c r="L13" i="19" s="1"/>
  <c r="L10" i="18"/>
  <c r="H12" i="18"/>
  <c r="I11" i="18"/>
  <c r="J11" i="18"/>
  <c r="K11" i="18"/>
  <c r="J10" i="17"/>
  <c r="G12" i="17"/>
  <c r="I11" i="17"/>
  <c r="H11" i="17"/>
  <c r="J11" i="17" s="1"/>
  <c r="H12" i="16"/>
  <c r="I12" i="16"/>
  <c r="G13" i="16"/>
  <c r="K14" i="15"/>
  <c r="H16" i="15"/>
  <c r="J15" i="15"/>
  <c r="I15" i="15"/>
  <c r="K15" i="15" s="1"/>
  <c r="H12" i="14"/>
  <c r="I12" i="14"/>
  <c r="G13" i="14"/>
  <c r="J11" i="14"/>
  <c r="H13" i="13"/>
  <c r="K12" i="13"/>
  <c r="I12" i="13"/>
  <c r="J12" i="13"/>
  <c r="K11" i="12"/>
  <c r="J12" i="12"/>
  <c r="I12" i="12"/>
  <c r="K12" i="12" s="1"/>
  <c r="H13" i="12"/>
  <c r="H15" i="11"/>
  <c r="I14" i="11"/>
  <c r="J14" i="11"/>
  <c r="K13" i="11"/>
  <c r="G13" i="10"/>
  <c r="I12" i="10"/>
  <c r="H12" i="10"/>
  <c r="J12" i="10" s="1"/>
  <c r="K32" i="9"/>
  <c r="K24" i="9"/>
  <c r="H22" i="9"/>
  <c r="J23" i="9"/>
  <c r="I23" i="9"/>
  <c r="K23" i="9" s="1"/>
  <c r="H35" i="9"/>
  <c r="J33" i="9"/>
  <c r="I33" i="9"/>
  <c r="H12" i="8"/>
  <c r="I11" i="8"/>
  <c r="J11" i="8"/>
  <c r="I50" i="7"/>
  <c r="F48" i="7"/>
  <c r="H49" i="7"/>
  <c r="G49" i="7"/>
  <c r="F61" i="7"/>
  <c r="H60" i="7"/>
  <c r="G60" i="7"/>
  <c r="I59" i="7"/>
  <c r="H41" i="6"/>
  <c r="J41" i="6" s="1"/>
  <c r="I40" i="6"/>
  <c r="K40" i="6" s="1"/>
  <c r="G51" i="5"/>
  <c r="H52" i="5"/>
  <c r="I52" i="5"/>
  <c r="J53" i="5"/>
  <c r="H161" i="5"/>
  <c r="I161" i="5"/>
  <c r="G162" i="5"/>
  <c r="J59" i="5"/>
  <c r="H60" i="5"/>
  <c r="I60" i="5"/>
  <c r="L25" i="4"/>
  <c r="J24" i="4"/>
  <c r="I23" i="4"/>
  <c r="K24" i="4"/>
  <c r="L66" i="4"/>
  <c r="I64" i="4"/>
  <c r="J65" i="4"/>
  <c r="K65" i="4"/>
  <c r="L76" i="4"/>
  <c r="C21" i="4"/>
  <c r="E22" i="4"/>
  <c r="D22" i="4"/>
  <c r="J77" i="4"/>
  <c r="I78" i="4"/>
  <c r="K77" i="4"/>
  <c r="F35" i="4"/>
  <c r="C37" i="4"/>
  <c r="D36" i="4"/>
  <c r="E36" i="4"/>
  <c r="F13" i="1"/>
  <c r="G12" i="1"/>
  <c r="H12" i="1"/>
  <c r="F11" i="2"/>
  <c r="G11" i="2"/>
  <c r="E12" i="2"/>
  <c r="AA14" i="20" l="1"/>
  <c r="I33" i="20"/>
  <c r="J33" i="20"/>
  <c r="K33" i="20"/>
  <c r="L33" i="20"/>
  <c r="J34" i="20"/>
  <c r="K34" i="20"/>
  <c r="L34" i="20"/>
  <c r="I34" i="20"/>
  <c r="M32" i="20"/>
  <c r="K31" i="20"/>
  <c r="L31" i="20"/>
  <c r="J31" i="20"/>
  <c r="I31" i="20"/>
  <c r="H35" i="20"/>
  <c r="H15" i="19"/>
  <c r="I14" i="19"/>
  <c r="K14" i="19"/>
  <c r="J14" i="19"/>
  <c r="L11" i="18"/>
  <c r="K12" i="18"/>
  <c r="J12" i="18"/>
  <c r="H13" i="18"/>
  <c r="I12" i="18"/>
  <c r="L12" i="18" s="1"/>
  <c r="G13" i="17"/>
  <c r="H12" i="17"/>
  <c r="J12" i="17" s="1"/>
  <c r="I12" i="17"/>
  <c r="H13" i="16"/>
  <c r="I13" i="16"/>
  <c r="G14" i="16"/>
  <c r="J12" i="16"/>
  <c r="H17" i="15"/>
  <c r="J16" i="15"/>
  <c r="I16" i="15"/>
  <c r="K16" i="15" s="1"/>
  <c r="H13" i="14"/>
  <c r="I13" i="14"/>
  <c r="G14" i="14"/>
  <c r="J12" i="14"/>
  <c r="L12" i="13"/>
  <c r="H14" i="13"/>
  <c r="I13" i="13"/>
  <c r="K13" i="13"/>
  <c r="J13" i="13"/>
  <c r="J13" i="12"/>
  <c r="I13" i="12"/>
  <c r="H14" i="12"/>
  <c r="K14" i="11"/>
  <c r="H16" i="11"/>
  <c r="J15" i="11"/>
  <c r="I15" i="11"/>
  <c r="K15" i="11" s="1"/>
  <c r="G14" i="10"/>
  <c r="H13" i="10"/>
  <c r="I13" i="10"/>
  <c r="H21" i="9"/>
  <c r="I22" i="9"/>
  <c r="J22" i="9"/>
  <c r="K33" i="9"/>
  <c r="H36" i="9"/>
  <c r="I35" i="9"/>
  <c r="J35" i="9"/>
  <c r="K11" i="8"/>
  <c r="H13" i="8"/>
  <c r="I12" i="8"/>
  <c r="J12" i="8"/>
  <c r="F47" i="7"/>
  <c r="G48" i="7"/>
  <c r="H48" i="7"/>
  <c r="I49" i="7"/>
  <c r="I60" i="7"/>
  <c r="F62" i="7"/>
  <c r="H61" i="7"/>
  <c r="G61" i="7"/>
  <c r="H42" i="6"/>
  <c r="J42" i="6" s="1"/>
  <c r="I41" i="6"/>
  <c r="K41" i="6" s="1"/>
  <c r="J52" i="5"/>
  <c r="G50" i="5"/>
  <c r="H51" i="5"/>
  <c r="I51" i="5"/>
  <c r="H162" i="5"/>
  <c r="I162" i="5"/>
  <c r="G163" i="5"/>
  <c r="J161" i="5"/>
  <c r="J60" i="5"/>
  <c r="H61" i="5"/>
  <c r="I61" i="5"/>
  <c r="I22" i="4"/>
  <c r="J23" i="4"/>
  <c r="K23" i="4"/>
  <c r="L24" i="4"/>
  <c r="F22" i="4"/>
  <c r="C20" i="4"/>
  <c r="D21" i="4"/>
  <c r="F21" i="4" s="1"/>
  <c r="E21" i="4"/>
  <c r="L65" i="4"/>
  <c r="I63" i="4"/>
  <c r="K64" i="4"/>
  <c r="J64" i="4"/>
  <c r="L64" i="4" s="1"/>
  <c r="I79" i="4"/>
  <c r="K78" i="4"/>
  <c r="J78" i="4"/>
  <c r="L78" i="4" s="1"/>
  <c r="L77" i="4"/>
  <c r="C38" i="4"/>
  <c r="E37" i="4"/>
  <c r="D37" i="4"/>
  <c r="F36" i="4"/>
  <c r="F14" i="1"/>
  <c r="H13" i="1"/>
  <c r="G13" i="1"/>
  <c r="G12" i="2"/>
  <c r="F12" i="2"/>
  <c r="E13" i="2"/>
  <c r="AA15" i="20" l="1"/>
  <c r="M33" i="20"/>
  <c r="M34" i="20"/>
  <c r="L35" i="20"/>
  <c r="K35" i="20"/>
  <c r="I35" i="20"/>
  <c r="M35" i="20" s="1"/>
  <c r="J35" i="20"/>
  <c r="M31" i="20"/>
  <c r="H36" i="20"/>
  <c r="L14" i="19"/>
  <c r="H16" i="19"/>
  <c r="K15" i="19"/>
  <c r="J15" i="19"/>
  <c r="I15" i="19"/>
  <c r="L15" i="19" s="1"/>
  <c r="I13" i="18"/>
  <c r="L13" i="18" s="1"/>
  <c r="J13" i="18"/>
  <c r="K13" i="18"/>
  <c r="H14" i="18"/>
  <c r="G14" i="17"/>
  <c r="I13" i="17"/>
  <c r="H13" i="17"/>
  <c r="J13" i="17" s="1"/>
  <c r="G15" i="16"/>
  <c r="H14" i="16"/>
  <c r="I14" i="16"/>
  <c r="J13" i="16"/>
  <c r="H18" i="15"/>
  <c r="J17" i="15"/>
  <c r="I17" i="15"/>
  <c r="K17" i="15" s="1"/>
  <c r="I14" i="14"/>
  <c r="G15" i="14"/>
  <c r="H14" i="14"/>
  <c r="J13" i="14"/>
  <c r="L13" i="13"/>
  <c r="H15" i="13"/>
  <c r="K14" i="13"/>
  <c r="I14" i="13"/>
  <c r="J14" i="13"/>
  <c r="I14" i="12"/>
  <c r="J14" i="12"/>
  <c r="H15" i="12"/>
  <c r="K13" i="12"/>
  <c r="H17" i="11"/>
  <c r="I16" i="11"/>
  <c r="K16" i="11" s="1"/>
  <c r="J16" i="11"/>
  <c r="J13" i="10"/>
  <c r="G15" i="10"/>
  <c r="I14" i="10"/>
  <c r="H14" i="10"/>
  <c r="K22" i="9"/>
  <c r="H20" i="9"/>
  <c r="I21" i="9"/>
  <c r="J21" i="9"/>
  <c r="K35" i="9"/>
  <c r="H37" i="9"/>
  <c r="J36" i="9"/>
  <c r="I36" i="9"/>
  <c r="H14" i="8"/>
  <c r="J13" i="8"/>
  <c r="I13" i="8"/>
  <c r="K13" i="8" s="1"/>
  <c r="K12" i="8"/>
  <c r="I48" i="7"/>
  <c r="F46" i="7"/>
  <c r="G47" i="7"/>
  <c r="H47" i="7"/>
  <c r="I61" i="7"/>
  <c r="F63" i="7"/>
  <c r="G62" i="7"/>
  <c r="H62" i="7"/>
  <c r="H43" i="6"/>
  <c r="J43" i="6" s="1"/>
  <c r="I42" i="6"/>
  <c r="K42" i="6" s="1"/>
  <c r="J61" i="5"/>
  <c r="J162" i="5"/>
  <c r="J51" i="5"/>
  <c r="G49" i="5"/>
  <c r="H50" i="5"/>
  <c r="J50" i="5" s="1"/>
  <c r="I50" i="5"/>
  <c r="G164" i="5"/>
  <c r="H163" i="5"/>
  <c r="I163" i="5"/>
  <c r="I62" i="5"/>
  <c r="H62" i="5"/>
  <c r="L23" i="4"/>
  <c r="J22" i="4"/>
  <c r="I21" i="4"/>
  <c r="K22" i="4"/>
  <c r="I62" i="4"/>
  <c r="J63" i="4"/>
  <c r="K63" i="4"/>
  <c r="C19" i="4"/>
  <c r="D20" i="4"/>
  <c r="E20" i="4"/>
  <c r="F20" i="4" s="1"/>
  <c r="I80" i="4"/>
  <c r="J79" i="4"/>
  <c r="K79" i="4"/>
  <c r="F37" i="4"/>
  <c r="C39" i="4"/>
  <c r="E38" i="4"/>
  <c r="D38" i="4"/>
  <c r="H14" i="1"/>
  <c r="G14" i="1"/>
  <c r="F15" i="1"/>
  <c r="G13" i="2"/>
  <c r="F13" i="2"/>
  <c r="E14" i="2"/>
  <c r="J14" i="14" l="1"/>
  <c r="AA16" i="20"/>
  <c r="I36" i="20"/>
  <c r="J36" i="20"/>
  <c r="K36" i="20"/>
  <c r="L36" i="20"/>
  <c r="H37" i="20"/>
  <c r="H17" i="19"/>
  <c r="I16" i="19"/>
  <c r="K16" i="19"/>
  <c r="J16" i="19"/>
  <c r="I14" i="18"/>
  <c r="J14" i="18"/>
  <c r="H15" i="18"/>
  <c r="K14" i="18"/>
  <c r="G15" i="17"/>
  <c r="I14" i="17"/>
  <c r="H14" i="17"/>
  <c r="J14" i="17" s="1"/>
  <c r="J14" i="16"/>
  <c r="G16" i="16"/>
  <c r="H15" i="16"/>
  <c r="I15" i="16"/>
  <c r="H19" i="15"/>
  <c r="J18" i="15"/>
  <c r="I18" i="15"/>
  <c r="G16" i="14"/>
  <c r="H15" i="14"/>
  <c r="I15" i="14"/>
  <c r="L14" i="13"/>
  <c r="H16" i="13"/>
  <c r="J15" i="13"/>
  <c r="I15" i="13"/>
  <c r="K15" i="13"/>
  <c r="J15" i="12"/>
  <c r="H16" i="12"/>
  <c r="I15" i="12"/>
  <c r="K14" i="12"/>
  <c r="H18" i="11"/>
  <c r="I17" i="11"/>
  <c r="J17" i="11"/>
  <c r="J14" i="10"/>
  <c r="G16" i="10"/>
  <c r="I15" i="10"/>
  <c r="H15" i="10"/>
  <c r="K21" i="9"/>
  <c r="H19" i="9"/>
  <c r="I20" i="9"/>
  <c r="J20" i="9"/>
  <c r="K36" i="9"/>
  <c r="I37" i="9"/>
  <c r="J37" i="9"/>
  <c r="H38" i="9"/>
  <c r="H15" i="8"/>
  <c r="J14" i="8"/>
  <c r="I14" i="8"/>
  <c r="K14" i="8" s="1"/>
  <c r="I47" i="7"/>
  <c r="F45" i="7"/>
  <c r="G46" i="7"/>
  <c r="H46" i="7"/>
  <c r="I62" i="7"/>
  <c r="F64" i="7"/>
  <c r="H63" i="7"/>
  <c r="G63" i="7"/>
  <c r="H44" i="6"/>
  <c r="J44" i="6" s="1"/>
  <c r="I43" i="6"/>
  <c r="K43" i="6" s="1"/>
  <c r="G48" i="5"/>
  <c r="H49" i="5"/>
  <c r="I49" i="5"/>
  <c r="J163" i="5"/>
  <c r="G165" i="5"/>
  <c r="I164" i="5"/>
  <c r="H164" i="5"/>
  <c r="J164" i="5" s="1"/>
  <c r="J62" i="5"/>
  <c r="I63" i="5"/>
  <c r="H63" i="5"/>
  <c r="I20" i="4"/>
  <c r="J21" i="4"/>
  <c r="K21" i="4"/>
  <c r="L22" i="4"/>
  <c r="C18" i="4"/>
  <c r="E19" i="4"/>
  <c r="D19" i="4"/>
  <c r="F19" i="4" s="1"/>
  <c r="L63" i="4"/>
  <c r="I61" i="4"/>
  <c r="J62" i="4"/>
  <c r="K62" i="4"/>
  <c r="L79" i="4"/>
  <c r="I81" i="4"/>
  <c r="K80" i="4"/>
  <c r="J80" i="4"/>
  <c r="C40" i="4"/>
  <c r="E39" i="4"/>
  <c r="D39" i="4"/>
  <c r="F38" i="4"/>
  <c r="H15" i="1"/>
  <c r="F16" i="1"/>
  <c r="G15" i="1"/>
  <c r="F14" i="2"/>
  <c r="G14" i="2"/>
  <c r="E15" i="2"/>
  <c r="AA17" i="20" l="1"/>
  <c r="L37" i="20"/>
  <c r="K37" i="20"/>
  <c r="J37" i="20"/>
  <c r="I37" i="20"/>
  <c r="M36" i="20"/>
  <c r="H38" i="20"/>
  <c r="L16" i="19"/>
  <c r="H18" i="19"/>
  <c r="K17" i="19"/>
  <c r="I17" i="19"/>
  <c r="J17" i="19"/>
  <c r="I15" i="18"/>
  <c r="H16" i="18"/>
  <c r="K15" i="18"/>
  <c r="J15" i="18"/>
  <c r="L14" i="18"/>
  <c r="G16" i="17"/>
  <c r="I15" i="17"/>
  <c r="H15" i="17"/>
  <c r="J15" i="17" s="1"/>
  <c r="J15" i="16"/>
  <c r="G17" i="16"/>
  <c r="I16" i="16"/>
  <c r="H16" i="16"/>
  <c r="J16" i="16" s="1"/>
  <c r="K18" i="15"/>
  <c r="H20" i="15"/>
  <c r="J19" i="15"/>
  <c r="I19" i="15"/>
  <c r="K19" i="15" s="1"/>
  <c r="J15" i="14"/>
  <c r="G17" i="14"/>
  <c r="I16" i="14"/>
  <c r="H16" i="14"/>
  <c r="J16" i="14" s="1"/>
  <c r="H17" i="13"/>
  <c r="K16" i="13"/>
  <c r="J16" i="13"/>
  <c r="I16" i="13"/>
  <c r="L16" i="13" s="1"/>
  <c r="L15" i="13"/>
  <c r="K15" i="12"/>
  <c r="H17" i="12"/>
  <c r="J16" i="12"/>
  <c r="I16" i="12"/>
  <c r="K16" i="12" s="1"/>
  <c r="K17" i="11"/>
  <c r="H19" i="11"/>
  <c r="J18" i="11"/>
  <c r="I18" i="11"/>
  <c r="K18" i="11" s="1"/>
  <c r="J15" i="10"/>
  <c r="G17" i="10"/>
  <c r="I16" i="10"/>
  <c r="H16" i="10"/>
  <c r="K20" i="9"/>
  <c r="H18" i="9"/>
  <c r="I19" i="9"/>
  <c r="K19" i="9" s="1"/>
  <c r="J19" i="9"/>
  <c r="K37" i="9"/>
  <c r="H39" i="9"/>
  <c r="I38" i="9"/>
  <c r="J38" i="9"/>
  <c r="H16" i="8"/>
  <c r="J15" i="8"/>
  <c r="I15" i="8"/>
  <c r="K15" i="8" s="1"/>
  <c r="I46" i="7"/>
  <c r="F44" i="7"/>
  <c r="G45" i="7"/>
  <c r="H45" i="7"/>
  <c r="I63" i="7"/>
  <c r="F65" i="7"/>
  <c r="H64" i="7"/>
  <c r="G64" i="7"/>
  <c r="I64" i="7" s="1"/>
  <c r="H45" i="6"/>
  <c r="J45" i="6" s="1"/>
  <c r="I44" i="6"/>
  <c r="K44" i="6" s="1"/>
  <c r="J49" i="5"/>
  <c r="G47" i="5"/>
  <c r="H48" i="5"/>
  <c r="I48" i="5"/>
  <c r="G166" i="5"/>
  <c r="H165" i="5"/>
  <c r="I165" i="5"/>
  <c r="J63" i="5"/>
  <c r="I64" i="5"/>
  <c r="H64" i="5"/>
  <c r="L21" i="4"/>
  <c r="I19" i="4"/>
  <c r="J20" i="4"/>
  <c r="L20" i="4" s="1"/>
  <c r="K20" i="4"/>
  <c r="I60" i="4"/>
  <c r="K61" i="4"/>
  <c r="J61" i="4"/>
  <c r="L61" i="4" s="1"/>
  <c r="L62" i="4"/>
  <c r="L80" i="4"/>
  <c r="C17" i="4"/>
  <c r="D18" i="4"/>
  <c r="E18" i="4"/>
  <c r="I82" i="4"/>
  <c r="K81" i="4"/>
  <c r="J81" i="4"/>
  <c r="F39" i="4"/>
  <c r="C41" i="4"/>
  <c r="D40" i="4"/>
  <c r="E40" i="4"/>
  <c r="F17" i="1"/>
  <c r="H16" i="1"/>
  <c r="G16" i="1"/>
  <c r="G15" i="2"/>
  <c r="F15" i="2"/>
  <c r="E16" i="2"/>
  <c r="M37" i="20" l="1"/>
  <c r="AA18" i="20"/>
  <c r="I38" i="20"/>
  <c r="J38" i="20"/>
  <c r="L38" i="20"/>
  <c r="K38" i="20"/>
  <c r="H39" i="20"/>
  <c r="L17" i="19"/>
  <c r="H19" i="19"/>
  <c r="I18" i="19"/>
  <c r="K18" i="19"/>
  <c r="J18" i="19"/>
  <c r="I16" i="18"/>
  <c r="H17" i="18"/>
  <c r="J16" i="18"/>
  <c r="K16" i="18"/>
  <c r="L15" i="18"/>
  <c r="G17" i="17"/>
  <c r="H16" i="17"/>
  <c r="I16" i="17"/>
  <c r="G18" i="16"/>
  <c r="H17" i="16"/>
  <c r="J17" i="16" s="1"/>
  <c r="I17" i="16"/>
  <c r="H21" i="15"/>
  <c r="I20" i="15"/>
  <c r="J20" i="15"/>
  <c r="G18" i="14"/>
  <c r="H17" i="14"/>
  <c r="I17" i="14"/>
  <c r="H18" i="13"/>
  <c r="I17" i="13"/>
  <c r="J17" i="13"/>
  <c r="K17" i="13"/>
  <c r="H18" i="12"/>
  <c r="J17" i="12"/>
  <c r="I17" i="12"/>
  <c r="H20" i="11"/>
  <c r="I19" i="11"/>
  <c r="J19" i="11"/>
  <c r="J16" i="10"/>
  <c r="G18" i="10"/>
  <c r="I17" i="10"/>
  <c r="H17" i="10"/>
  <c r="H17" i="9"/>
  <c r="I18" i="9"/>
  <c r="K18" i="9" s="1"/>
  <c r="J18" i="9"/>
  <c r="K38" i="9"/>
  <c r="H40" i="9"/>
  <c r="I39" i="9"/>
  <c r="J39" i="9"/>
  <c r="H17" i="8"/>
  <c r="J16" i="8"/>
  <c r="I16" i="8"/>
  <c r="K16" i="8" s="1"/>
  <c r="I45" i="7"/>
  <c r="F43" i="7"/>
  <c r="G44" i="7"/>
  <c r="H44" i="7"/>
  <c r="F66" i="7"/>
  <c r="G65" i="7"/>
  <c r="H65" i="7"/>
  <c r="H46" i="6"/>
  <c r="J46" i="6" s="1"/>
  <c r="I45" i="6"/>
  <c r="K45" i="6" s="1"/>
  <c r="J64" i="5"/>
  <c r="J48" i="5"/>
  <c r="G46" i="5"/>
  <c r="I47" i="5"/>
  <c r="H47" i="5"/>
  <c r="J47" i="5" s="1"/>
  <c r="J165" i="5"/>
  <c r="G167" i="5"/>
  <c r="H166" i="5"/>
  <c r="J166" i="5" s="1"/>
  <c r="I166" i="5"/>
  <c r="I65" i="5"/>
  <c r="H65" i="5"/>
  <c r="I18" i="4"/>
  <c r="J19" i="4"/>
  <c r="K19" i="4"/>
  <c r="F18" i="4"/>
  <c r="C16" i="4"/>
  <c r="D17" i="4"/>
  <c r="E17" i="4"/>
  <c r="I59" i="4"/>
  <c r="K60" i="4"/>
  <c r="J60" i="4"/>
  <c r="L81" i="4"/>
  <c r="I83" i="4"/>
  <c r="J82" i="4"/>
  <c r="K82" i="4"/>
  <c r="F40" i="4"/>
  <c r="C42" i="4"/>
  <c r="C43" i="4" s="1"/>
  <c r="E41" i="4"/>
  <c r="D41" i="4"/>
  <c r="H17" i="1"/>
  <c r="F18" i="1"/>
  <c r="G17" i="1"/>
  <c r="G16" i="2"/>
  <c r="F16" i="2"/>
  <c r="E17" i="2"/>
  <c r="AA19" i="20" l="1"/>
  <c r="L39" i="20"/>
  <c r="J39" i="20"/>
  <c r="K39" i="20"/>
  <c r="I39" i="20"/>
  <c r="M38" i="20"/>
  <c r="H40" i="20"/>
  <c r="L18" i="19"/>
  <c r="H20" i="19"/>
  <c r="K19" i="19"/>
  <c r="J19" i="19"/>
  <c r="I19" i="19"/>
  <c r="L19" i="19" s="1"/>
  <c r="J17" i="18"/>
  <c r="K17" i="18"/>
  <c r="I17" i="18"/>
  <c r="H18" i="18"/>
  <c r="L16" i="18"/>
  <c r="J16" i="17"/>
  <c r="G18" i="17"/>
  <c r="I17" i="17"/>
  <c r="H17" i="17"/>
  <c r="J17" i="17" s="1"/>
  <c r="G19" i="16"/>
  <c r="H18" i="16"/>
  <c r="I18" i="16"/>
  <c r="K20" i="15"/>
  <c r="H22" i="15"/>
  <c r="J21" i="15"/>
  <c r="I21" i="15"/>
  <c r="J17" i="14"/>
  <c r="G19" i="14"/>
  <c r="H18" i="14"/>
  <c r="I18" i="14"/>
  <c r="L17" i="13"/>
  <c r="H19" i="13"/>
  <c r="I18" i="13"/>
  <c r="J18" i="13"/>
  <c r="K18" i="13"/>
  <c r="K17" i="12"/>
  <c r="H19" i="12"/>
  <c r="J18" i="12"/>
  <c r="I18" i="12"/>
  <c r="K19" i="11"/>
  <c r="H22" i="11"/>
  <c r="H21" i="11" s="1"/>
  <c r="I20" i="11"/>
  <c r="J20" i="11"/>
  <c r="J17" i="10"/>
  <c r="G19" i="10"/>
  <c r="I18" i="10"/>
  <c r="H18" i="10"/>
  <c r="H16" i="9"/>
  <c r="I17" i="9"/>
  <c r="J17" i="9"/>
  <c r="K39" i="9"/>
  <c r="H41" i="9"/>
  <c r="J40" i="9"/>
  <c r="I40" i="9"/>
  <c r="H18" i="8"/>
  <c r="J17" i="8"/>
  <c r="I17" i="8"/>
  <c r="F42" i="7"/>
  <c r="H43" i="7"/>
  <c r="G43" i="7"/>
  <c r="I43" i="7" s="1"/>
  <c r="I44" i="7"/>
  <c r="I65" i="7"/>
  <c r="F67" i="7"/>
  <c r="G66" i="7"/>
  <c r="H66" i="7"/>
  <c r="H47" i="6"/>
  <c r="J47" i="6" s="1"/>
  <c r="I46" i="6"/>
  <c r="K46" i="6" s="1"/>
  <c r="J65" i="5"/>
  <c r="G45" i="5"/>
  <c r="H46" i="5"/>
  <c r="I46" i="5"/>
  <c r="I167" i="5"/>
  <c r="G168" i="5"/>
  <c r="H167" i="5"/>
  <c r="H66" i="5"/>
  <c r="I66" i="5"/>
  <c r="L19" i="4"/>
  <c r="J18" i="4"/>
  <c r="K18" i="4"/>
  <c r="I17" i="4"/>
  <c r="I58" i="4"/>
  <c r="J59" i="4"/>
  <c r="K59" i="4"/>
  <c r="C15" i="4"/>
  <c r="E16" i="4"/>
  <c r="D16" i="4"/>
  <c r="L60" i="4"/>
  <c r="F17" i="4"/>
  <c r="L82" i="4"/>
  <c r="I84" i="4"/>
  <c r="K83" i="4"/>
  <c r="J83" i="4"/>
  <c r="D43" i="4"/>
  <c r="E43" i="4"/>
  <c r="C44" i="4"/>
  <c r="F41" i="4"/>
  <c r="D42" i="4"/>
  <c r="E42" i="4"/>
  <c r="H18" i="1"/>
  <c r="G18" i="1"/>
  <c r="F19" i="1"/>
  <c r="F17" i="2"/>
  <c r="G17" i="2"/>
  <c r="E18" i="2"/>
  <c r="AA20" i="20" l="1"/>
  <c r="M39" i="20"/>
  <c r="K40" i="20"/>
  <c r="I40" i="20"/>
  <c r="J40" i="20"/>
  <c r="L40" i="20"/>
  <c r="H41" i="20"/>
  <c r="H21" i="19"/>
  <c r="I20" i="19"/>
  <c r="K20" i="19"/>
  <c r="J20" i="19"/>
  <c r="L17" i="18"/>
  <c r="K18" i="18"/>
  <c r="I18" i="18"/>
  <c r="H19" i="18"/>
  <c r="J18" i="18"/>
  <c r="G19" i="17"/>
  <c r="I18" i="17"/>
  <c r="H18" i="17"/>
  <c r="J18" i="17" s="1"/>
  <c r="J18" i="16"/>
  <c r="G20" i="16"/>
  <c r="H19" i="16"/>
  <c r="J19" i="16" s="1"/>
  <c r="I19" i="16"/>
  <c r="K21" i="15"/>
  <c r="H23" i="15"/>
  <c r="J22" i="15"/>
  <c r="I22" i="15"/>
  <c r="K22" i="15" s="1"/>
  <c r="J18" i="14"/>
  <c r="G20" i="14"/>
  <c r="H19" i="14"/>
  <c r="I19" i="14"/>
  <c r="L18" i="13"/>
  <c r="H20" i="13"/>
  <c r="J19" i="13"/>
  <c r="K19" i="13"/>
  <c r="I19" i="13"/>
  <c r="L19" i="13" s="1"/>
  <c r="K18" i="12"/>
  <c r="H20" i="12"/>
  <c r="I19" i="12"/>
  <c r="J19" i="12"/>
  <c r="I21" i="11"/>
  <c r="J21" i="11"/>
  <c r="K20" i="11"/>
  <c r="H23" i="11"/>
  <c r="J22" i="11"/>
  <c r="I22" i="11"/>
  <c r="J18" i="10"/>
  <c r="G20" i="10"/>
  <c r="I19" i="10"/>
  <c r="H19" i="10"/>
  <c r="K17" i="9"/>
  <c r="H15" i="9"/>
  <c r="I16" i="9"/>
  <c r="J16" i="9"/>
  <c r="K40" i="9"/>
  <c r="H42" i="9"/>
  <c r="I41" i="9"/>
  <c r="J41" i="9"/>
  <c r="K17" i="8"/>
  <c r="H19" i="8"/>
  <c r="J18" i="8"/>
  <c r="I18" i="8"/>
  <c r="F41" i="7"/>
  <c r="H42" i="7"/>
  <c r="G42" i="7"/>
  <c r="I66" i="7"/>
  <c r="F68" i="7"/>
  <c r="G67" i="7"/>
  <c r="H67" i="7"/>
  <c r="H48" i="6"/>
  <c r="J48" i="6" s="1"/>
  <c r="I47" i="6"/>
  <c r="K47" i="6" s="1"/>
  <c r="J167" i="5"/>
  <c r="J46" i="5"/>
  <c r="G44" i="5"/>
  <c r="H45" i="5"/>
  <c r="I45" i="5"/>
  <c r="G169" i="5"/>
  <c r="I168" i="5"/>
  <c r="H168" i="5"/>
  <c r="J168" i="5" s="1"/>
  <c r="J66" i="5"/>
  <c r="H67" i="5"/>
  <c r="I67" i="5"/>
  <c r="L83" i="4"/>
  <c r="L18" i="4"/>
  <c r="I16" i="4"/>
  <c r="J17" i="4"/>
  <c r="K17" i="4"/>
  <c r="C14" i="4"/>
  <c r="D15" i="4"/>
  <c r="E15" i="4"/>
  <c r="F16" i="4"/>
  <c r="L59" i="4"/>
  <c r="I57" i="4"/>
  <c r="J58" i="4"/>
  <c r="K58" i="4"/>
  <c r="I85" i="4"/>
  <c r="J84" i="4"/>
  <c r="K84" i="4"/>
  <c r="C45" i="4"/>
  <c r="E44" i="4"/>
  <c r="D44" i="4"/>
  <c r="F44" i="4" s="1"/>
  <c r="F43" i="4"/>
  <c r="F42" i="4"/>
  <c r="F20" i="1"/>
  <c r="H19" i="1"/>
  <c r="G19" i="1"/>
  <c r="G18" i="2"/>
  <c r="F18" i="2"/>
  <c r="E19" i="2"/>
  <c r="AA21" i="20" l="1"/>
  <c r="M40" i="20"/>
  <c r="K41" i="20"/>
  <c r="L41" i="20"/>
  <c r="I41" i="20"/>
  <c r="J41" i="20"/>
  <c r="H42" i="20"/>
  <c r="L20" i="19"/>
  <c r="H22" i="19"/>
  <c r="K21" i="19"/>
  <c r="I21" i="19"/>
  <c r="J21" i="19"/>
  <c r="I19" i="18"/>
  <c r="H20" i="18"/>
  <c r="J19" i="18"/>
  <c r="K19" i="18"/>
  <c r="L18" i="18"/>
  <c r="G20" i="17"/>
  <c r="H19" i="17"/>
  <c r="J19" i="17" s="1"/>
  <c r="I19" i="17"/>
  <c r="G21" i="16"/>
  <c r="I20" i="16"/>
  <c r="H20" i="16"/>
  <c r="J20" i="16" s="1"/>
  <c r="H24" i="15"/>
  <c r="J23" i="15"/>
  <c r="I23" i="15"/>
  <c r="K23" i="15" s="1"/>
  <c r="J19" i="14"/>
  <c r="G21" i="14"/>
  <c r="H20" i="14"/>
  <c r="I20" i="14"/>
  <c r="H21" i="13"/>
  <c r="K20" i="13"/>
  <c r="I20" i="13"/>
  <c r="J20" i="13"/>
  <c r="K19" i="12"/>
  <c r="H22" i="12"/>
  <c r="H21" i="12" s="1"/>
  <c r="I20" i="12"/>
  <c r="J20" i="12"/>
  <c r="K21" i="11"/>
  <c r="K22" i="11"/>
  <c r="H24" i="11"/>
  <c r="I23" i="11"/>
  <c r="J23" i="11"/>
  <c r="J19" i="10"/>
  <c r="G21" i="10"/>
  <c r="I20" i="10"/>
  <c r="H20" i="10"/>
  <c r="K41" i="9"/>
  <c r="K16" i="9"/>
  <c r="H14" i="9"/>
  <c r="I15" i="9"/>
  <c r="K15" i="9" s="1"/>
  <c r="J15" i="9"/>
  <c r="H43" i="9"/>
  <c r="H44" i="9" s="1"/>
  <c r="J42" i="9"/>
  <c r="I42" i="9"/>
  <c r="K42" i="9" s="1"/>
  <c r="H20" i="8"/>
  <c r="I19" i="8"/>
  <c r="K19" i="8" s="1"/>
  <c r="J19" i="8"/>
  <c r="K18" i="8"/>
  <c r="I42" i="7"/>
  <c r="F40" i="7"/>
  <c r="G41" i="7"/>
  <c r="I41" i="7" s="1"/>
  <c r="H41" i="7"/>
  <c r="I67" i="7"/>
  <c r="F69" i="7"/>
  <c r="H68" i="7"/>
  <c r="G68" i="7"/>
  <c r="H49" i="6"/>
  <c r="J49" i="6" s="1"/>
  <c r="I48" i="6"/>
  <c r="K48" i="6" s="1"/>
  <c r="J45" i="5"/>
  <c r="J67" i="5"/>
  <c r="G43" i="5"/>
  <c r="H44" i="5"/>
  <c r="I44" i="5"/>
  <c r="I169" i="5"/>
  <c r="H169" i="5"/>
  <c r="G170" i="5"/>
  <c r="H68" i="5"/>
  <c r="I68" i="5"/>
  <c r="L17" i="4"/>
  <c r="J16" i="4"/>
  <c r="K16" i="4"/>
  <c r="I15" i="4"/>
  <c r="L58" i="4"/>
  <c r="F15" i="4"/>
  <c r="I56" i="4"/>
  <c r="J57" i="4"/>
  <c r="K57" i="4"/>
  <c r="C13" i="4"/>
  <c r="D14" i="4"/>
  <c r="E14" i="4"/>
  <c r="L84" i="4"/>
  <c r="I86" i="4"/>
  <c r="K85" i="4"/>
  <c r="J85" i="4"/>
  <c r="L85" i="4" s="1"/>
  <c r="D45" i="4"/>
  <c r="C46" i="4"/>
  <c r="E45" i="4"/>
  <c r="G20" i="1"/>
  <c r="F21" i="1"/>
  <c r="H20" i="1"/>
  <c r="F19" i="2"/>
  <c r="G19" i="2"/>
  <c r="E20" i="2"/>
  <c r="AA22" i="20" l="1"/>
  <c r="I42" i="20"/>
  <c r="K42" i="20"/>
  <c r="J42" i="20"/>
  <c r="L42" i="20"/>
  <c r="M41" i="20"/>
  <c r="H43" i="20"/>
  <c r="L21" i="19"/>
  <c r="H23" i="19"/>
  <c r="I22" i="19"/>
  <c r="K22" i="19"/>
  <c r="J22" i="19"/>
  <c r="K20" i="18"/>
  <c r="I20" i="18"/>
  <c r="H21" i="18"/>
  <c r="J20" i="18"/>
  <c r="L19" i="18"/>
  <c r="G21" i="17"/>
  <c r="I20" i="17"/>
  <c r="H20" i="17"/>
  <c r="G22" i="16"/>
  <c r="H21" i="16"/>
  <c r="I21" i="16"/>
  <c r="H25" i="15"/>
  <c r="I24" i="15"/>
  <c r="J24" i="15"/>
  <c r="J20" i="14"/>
  <c r="G22" i="14"/>
  <c r="H21" i="14"/>
  <c r="I21" i="14"/>
  <c r="L20" i="13"/>
  <c r="H22" i="13"/>
  <c r="I21" i="13"/>
  <c r="K21" i="13"/>
  <c r="J21" i="13"/>
  <c r="I21" i="12"/>
  <c r="J21" i="12"/>
  <c r="J22" i="12"/>
  <c r="H23" i="12"/>
  <c r="I22" i="12"/>
  <c r="K22" i="12" s="1"/>
  <c r="K20" i="12"/>
  <c r="K23" i="11"/>
  <c r="H25" i="11"/>
  <c r="I24" i="11"/>
  <c r="J24" i="11"/>
  <c r="J20" i="10"/>
  <c r="G23" i="10"/>
  <c r="I21" i="10"/>
  <c r="H21" i="10"/>
  <c r="J21" i="10" s="1"/>
  <c r="I44" i="9"/>
  <c r="K44" i="9" s="1"/>
  <c r="J44" i="9"/>
  <c r="H13" i="9"/>
  <c r="I14" i="9"/>
  <c r="J14" i="9"/>
  <c r="H45" i="9"/>
  <c r="J43" i="9"/>
  <c r="I43" i="9"/>
  <c r="K43" i="9" s="1"/>
  <c r="H21" i="8"/>
  <c r="I20" i="8"/>
  <c r="J20" i="8"/>
  <c r="F39" i="7"/>
  <c r="H40" i="7"/>
  <c r="G40" i="7"/>
  <c r="I40" i="7" s="1"/>
  <c r="I68" i="7"/>
  <c r="F70" i="7"/>
  <c r="G69" i="7"/>
  <c r="H69" i="7"/>
  <c r="H50" i="6"/>
  <c r="J50" i="6" s="1"/>
  <c r="I49" i="6"/>
  <c r="K49" i="6" s="1"/>
  <c r="J169" i="5"/>
  <c r="J44" i="5"/>
  <c r="G42" i="5"/>
  <c r="H43" i="5"/>
  <c r="I43" i="5"/>
  <c r="J68" i="5"/>
  <c r="H170" i="5"/>
  <c r="I170" i="5"/>
  <c r="G171" i="5"/>
  <c r="I69" i="5"/>
  <c r="H69" i="5"/>
  <c r="I14" i="4"/>
  <c r="J15" i="4"/>
  <c r="K15" i="4"/>
  <c r="L16" i="4"/>
  <c r="F14" i="4"/>
  <c r="C12" i="4"/>
  <c r="E13" i="4"/>
  <c r="D13" i="4"/>
  <c r="F13" i="4" s="1"/>
  <c r="L57" i="4"/>
  <c r="I55" i="4"/>
  <c r="K56" i="4"/>
  <c r="J56" i="4"/>
  <c r="L56" i="4" s="1"/>
  <c r="I87" i="4"/>
  <c r="K86" i="4"/>
  <c r="J86" i="4"/>
  <c r="L86" i="4" s="1"/>
  <c r="C47" i="4"/>
  <c r="E46" i="4"/>
  <c r="D46" i="4"/>
  <c r="F45" i="4"/>
  <c r="H21" i="1"/>
  <c r="G21" i="1"/>
  <c r="F22" i="1"/>
  <c r="G20" i="2"/>
  <c r="F20" i="2"/>
  <c r="E21" i="2"/>
  <c r="M42" i="20" l="1"/>
  <c r="AA23" i="20"/>
  <c r="K43" i="20"/>
  <c r="J43" i="20"/>
  <c r="L43" i="20"/>
  <c r="I43" i="20"/>
  <c r="H44" i="20"/>
  <c r="L22" i="19"/>
  <c r="H24" i="19"/>
  <c r="K23" i="19"/>
  <c r="J23" i="19"/>
  <c r="I23" i="19"/>
  <c r="L23" i="19" s="1"/>
  <c r="I21" i="18"/>
  <c r="K21" i="18"/>
  <c r="J21" i="18"/>
  <c r="H22" i="18"/>
  <c r="L20" i="18"/>
  <c r="J20" i="17"/>
  <c r="G22" i="17"/>
  <c r="H21" i="17"/>
  <c r="I21" i="17"/>
  <c r="J21" i="16"/>
  <c r="G23" i="16"/>
  <c r="I22" i="16"/>
  <c r="H22" i="16"/>
  <c r="J22" i="16" s="1"/>
  <c r="K24" i="15"/>
  <c r="H27" i="15"/>
  <c r="I25" i="15"/>
  <c r="J25" i="15"/>
  <c r="J21" i="14"/>
  <c r="G23" i="14"/>
  <c r="I22" i="14"/>
  <c r="H22" i="14"/>
  <c r="L21" i="13"/>
  <c r="H23" i="13"/>
  <c r="K22" i="13"/>
  <c r="I22" i="13"/>
  <c r="J22" i="13"/>
  <c r="K21" i="12"/>
  <c r="H24" i="12"/>
  <c r="I23" i="12"/>
  <c r="J23" i="12"/>
  <c r="K24" i="11"/>
  <c r="H26" i="11"/>
  <c r="J25" i="11"/>
  <c r="I25" i="11"/>
  <c r="G24" i="10"/>
  <c r="I23" i="10"/>
  <c r="H23" i="10"/>
  <c r="J23" i="10" s="1"/>
  <c r="K14" i="9"/>
  <c r="H12" i="9"/>
  <c r="I13" i="9"/>
  <c r="K13" i="9" s="1"/>
  <c r="J13" i="9"/>
  <c r="H46" i="9"/>
  <c r="J45" i="9"/>
  <c r="I45" i="9"/>
  <c r="K20" i="8"/>
  <c r="H22" i="8"/>
  <c r="J21" i="8"/>
  <c r="I21" i="8"/>
  <c r="K21" i="8" s="1"/>
  <c r="F38" i="7"/>
  <c r="G39" i="7"/>
  <c r="H39" i="7"/>
  <c r="I69" i="7"/>
  <c r="F71" i="7"/>
  <c r="H70" i="7"/>
  <c r="G70" i="7"/>
  <c r="H51" i="6"/>
  <c r="J51" i="6" s="1"/>
  <c r="I50" i="6"/>
  <c r="K50" i="6" s="1"/>
  <c r="J43" i="5"/>
  <c r="G41" i="5"/>
  <c r="H42" i="5"/>
  <c r="I42" i="5"/>
  <c r="H171" i="5"/>
  <c r="I171" i="5"/>
  <c r="G172" i="5"/>
  <c r="J170" i="5"/>
  <c r="J69" i="5"/>
  <c r="I70" i="5"/>
  <c r="H70" i="5"/>
  <c r="L15" i="4"/>
  <c r="J14" i="4"/>
  <c r="I13" i="4"/>
  <c r="K14" i="4"/>
  <c r="F46" i="4"/>
  <c r="I54" i="4"/>
  <c r="J55" i="4"/>
  <c r="L55" i="4" s="1"/>
  <c r="K55" i="4"/>
  <c r="E12" i="4"/>
  <c r="D12" i="4"/>
  <c r="I88" i="4"/>
  <c r="J87" i="4"/>
  <c r="K87" i="4"/>
  <c r="E47" i="4"/>
  <c r="C48" i="4"/>
  <c r="D47" i="4"/>
  <c r="F23" i="1"/>
  <c r="H22" i="1"/>
  <c r="G22" i="1"/>
  <c r="G21" i="2"/>
  <c r="F21" i="2"/>
  <c r="E22" i="2"/>
  <c r="AA24" i="20" l="1"/>
  <c r="K44" i="20"/>
  <c r="I44" i="20"/>
  <c r="J44" i="20"/>
  <c r="L44" i="20"/>
  <c r="M43" i="20"/>
  <c r="H45" i="20"/>
  <c r="H25" i="19"/>
  <c r="I24" i="19"/>
  <c r="L24" i="19" s="1"/>
  <c r="K24" i="19"/>
  <c r="J24" i="19"/>
  <c r="I22" i="18"/>
  <c r="J22" i="18"/>
  <c r="H23" i="18"/>
  <c r="K22" i="18"/>
  <c r="L21" i="18"/>
  <c r="J21" i="17"/>
  <c r="G23" i="17"/>
  <c r="H22" i="17"/>
  <c r="I22" i="17"/>
  <c r="G24" i="16"/>
  <c r="I23" i="16"/>
  <c r="H23" i="16"/>
  <c r="J23" i="16" s="1"/>
  <c r="K25" i="15"/>
  <c r="H28" i="15"/>
  <c r="H26" i="15"/>
  <c r="I27" i="15"/>
  <c r="J27" i="15"/>
  <c r="J22" i="14"/>
  <c r="G24" i="14"/>
  <c r="I23" i="14"/>
  <c r="H23" i="14"/>
  <c r="J23" i="14" s="1"/>
  <c r="L22" i="13"/>
  <c r="H24" i="13"/>
  <c r="J23" i="13"/>
  <c r="I23" i="13"/>
  <c r="K23" i="13"/>
  <c r="K23" i="12"/>
  <c r="I24" i="12"/>
  <c r="H25" i="12"/>
  <c r="J24" i="12"/>
  <c r="K25" i="11"/>
  <c r="H27" i="11"/>
  <c r="I26" i="11"/>
  <c r="J26" i="11"/>
  <c r="G25" i="10"/>
  <c r="I24" i="10"/>
  <c r="H24" i="10"/>
  <c r="J24" i="10" s="1"/>
  <c r="H11" i="9"/>
  <c r="I12" i="9"/>
  <c r="K12" i="9" s="1"/>
  <c r="J12" i="9"/>
  <c r="K45" i="9"/>
  <c r="H47" i="9"/>
  <c r="I46" i="9"/>
  <c r="J46" i="9"/>
  <c r="H23" i="8"/>
  <c r="J22" i="8"/>
  <c r="I22" i="8"/>
  <c r="K22" i="8" s="1"/>
  <c r="I39" i="7"/>
  <c r="F37" i="7"/>
  <c r="G38" i="7"/>
  <c r="I38" i="7" s="1"/>
  <c r="H38" i="7"/>
  <c r="F72" i="7"/>
  <c r="H71" i="7"/>
  <c r="G71" i="7"/>
  <c r="I70" i="7"/>
  <c r="H52" i="6"/>
  <c r="J52" i="6" s="1"/>
  <c r="I51" i="6"/>
  <c r="K51" i="6" s="1"/>
  <c r="J42" i="5"/>
  <c r="G40" i="5"/>
  <c r="H41" i="5"/>
  <c r="I41" i="5"/>
  <c r="H172" i="5"/>
  <c r="I172" i="5"/>
  <c r="G173" i="5"/>
  <c r="J171" i="5"/>
  <c r="J70" i="5"/>
  <c r="H71" i="5"/>
  <c r="I71" i="5"/>
  <c r="J71" i="5" s="1"/>
  <c r="F12" i="4"/>
  <c r="I12" i="4"/>
  <c r="J13" i="4"/>
  <c r="K13" i="4"/>
  <c r="L14" i="4"/>
  <c r="F47" i="4"/>
  <c r="I53" i="4"/>
  <c r="K54" i="4"/>
  <c r="J54" i="4"/>
  <c r="L54" i="4" s="1"/>
  <c r="L87" i="4"/>
  <c r="I89" i="4"/>
  <c r="J88" i="4"/>
  <c r="K88" i="4"/>
  <c r="C49" i="4"/>
  <c r="D48" i="4"/>
  <c r="E48" i="4"/>
  <c r="F24" i="1"/>
  <c r="H23" i="1"/>
  <c r="G23" i="1"/>
  <c r="F22" i="2"/>
  <c r="G22" i="2"/>
  <c r="E23" i="2"/>
  <c r="AA25" i="20" l="1"/>
  <c r="AA26" i="20"/>
  <c r="J45" i="20"/>
  <c r="K45" i="20"/>
  <c r="I45" i="20"/>
  <c r="L45" i="20"/>
  <c r="M44" i="20"/>
  <c r="H46" i="20"/>
  <c r="K25" i="19"/>
  <c r="I25" i="19"/>
  <c r="J25" i="19"/>
  <c r="H26" i="19"/>
  <c r="H27" i="19"/>
  <c r="K23" i="18"/>
  <c r="H24" i="18"/>
  <c r="I23" i="18"/>
  <c r="J23" i="18"/>
  <c r="L22" i="18"/>
  <c r="J22" i="17"/>
  <c r="G24" i="17"/>
  <c r="H23" i="17"/>
  <c r="I23" i="17"/>
  <c r="G25" i="16"/>
  <c r="H24" i="16"/>
  <c r="J24" i="16" s="1"/>
  <c r="I24" i="16"/>
  <c r="K27" i="15"/>
  <c r="I26" i="15"/>
  <c r="J26" i="15"/>
  <c r="K26" i="15" s="1"/>
  <c r="H29" i="15"/>
  <c r="I28" i="15"/>
  <c r="J28" i="15"/>
  <c r="K28" i="15" s="1"/>
  <c r="G25" i="14"/>
  <c r="H24" i="14"/>
  <c r="I24" i="14"/>
  <c r="L23" i="13"/>
  <c r="H25" i="13"/>
  <c r="J24" i="13"/>
  <c r="I24" i="13"/>
  <c r="K24" i="13"/>
  <c r="K24" i="12"/>
  <c r="H26" i="12"/>
  <c r="I25" i="12"/>
  <c r="J25" i="12"/>
  <c r="K26" i="11"/>
  <c r="H28" i="11"/>
  <c r="I27" i="11"/>
  <c r="J27" i="11"/>
  <c r="G26" i="10"/>
  <c r="I25" i="10"/>
  <c r="H25" i="10"/>
  <c r="H10" i="9"/>
  <c r="I11" i="9"/>
  <c r="J11" i="9"/>
  <c r="K46" i="9"/>
  <c r="H48" i="9"/>
  <c r="I47" i="9"/>
  <c r="J47" i="9"/>
  <c r="H24" i="8"/>
  <c r="J23" i="8"/>
  <c r="I23" i="8"/>
  <c r="K23" i="8" s="1"/>
  <c r="F36" i="7"/>
  <c r="G37" i="7"/>
  <c r="I37" i="7" s="1"/>
  <c r="H37" i="7"/>
  <c r="I71" i="7"/>
  <c r="F73" i="7"/>
  <c r="H72" i="7"/>
  <c r="G72" i="7"/>
  <c r="H53" i="6"/>
  <c r="J53" i="6" s="1"/>
  <c r="I52" i="6"/>
  <c r="K52" i="6" s="1"/>
  <c r="J41" i="5"/>
  <c r="J172" i="5"/>
  <c r="G39" i="5"/>
  <c r="H40" i="5"/>
  <c r="I40" i="5"/>
  <c r="H173" i="5"/>
  <c r="G174" i="5"/>
  <c r="I173" i="5"/>
  <c r="I72" i="5"/>
  <c r="H72" i="5"/>
  <c r="L13" i="4"/>
  <c r="J12" i="4"/>
  <c r="K12" i="4"/>
  <c r="I52" i="4"/>
  <c r="K53" i="4"/>
  <c r="J53" i="4"/>
  <c r="L53" i="4" s="1"/>
  <c r="L88" i="4"/>
  <c r="I90" i="4"/>
  <c r="K89" i="4"/>
  <c r="J89" i="4"/>
  <c r="L89" i="4" s="1"/>
  <c r="F48" i="4"/>
  <c r="E49" i="4"/>
  <c r="D49" i="4"/>
  <c r="F49" i="4" s="1"/>
  <c r="C50" i="4"/>
  <c r="F25" i="1"/>
  <c r="G24" i="1"/>
  <c r="H24" i="1"/>
  <c r="G23" i="2"/>
  <c r="F23" i="2"/>
  <c r="E24" i="2"/>
  <c r="AA28" i="20" l="1"/>
  <c r="AA27" i="20"/>
  <c r="I46" i="20"/>
  <c r="J46" i="20"/>
  <c r="L46" i="20"/>
  <c r="K46" i="20"/>
  <c r="M45" i="20"/>
  <c r="H47" i="20"/>
  <c r="K26" i="19"/>
  <c r="I26" i="19"/>
  <c r="J26" i="19"/>
  <c r="H28" i="19"/>
  <c r="K27" i="19"/>
  <c r="J27" i="19"/>
  <c r="I27" i="19"/>
  <c r="L27" i="19" s="1"/>
  <c r="L25" i="19"/>
  <c r="L23" i="18"/>
  <c r="H25" i="18"/>
  <c r="H26" i="18"/>
  <c r="K24" i="18"/>
  <c r="J24" i="18"/>
  <c r="I24" i="18"/>
  <c r="L24" i="18" s="1"/>
  <c r="J23" i="17"/>
  <c r="G25" i="17"/>
  <c r="I24" i="17"/>
  <c r="H24" i="17"/>
  <c r="J24" i="17" s="1"/>
  <c r="G26" i="16"/>
  <c r="H25" i="16"/>
  <c r="J25" i="16" s="1"/>
  <c r="I25" i="16"/>
  <c r="H30" i="15"/>
  <c r="J29" i="15"/>
  <c r="I29" i="15"/>
  <c r="K29" i="15" s="1"/>
  <c r="J24" i="14"/>
  <c r="G26" i="14"/>
  <c r="I25" i="14"/>
  <c r="H25" i="14"/>
  <c r="J25" i="14" s="1"/>
  <c r="L24" i="13"/>
  <c r="H26" i="13"/>
  <c r="I25" i="13"/>
  <c r="J25" i="13"/>
  <c r="K25" i="13"/>
  <c r="K25" i="12"/>
  <c r="J26" i="12"/>
  <c r="H27" i="12"/>
  <c r="I26" i="12"/>
  <c r="K26" i="12" s="1"/>
  <c r="K27" i="11"/>
  <c r="H29" i="11"/>
  <c r="J28" i="11"/>
  <c r="I28" i="11"/>
  <c r="K28" i="11" s="1"/>
  <c r="J25" i="10"/>
  <c r="G27" i="10"/>
  <c r="I26" i="10"/>
  <c r="H26" i="10"/>
  <c r="J26" i="10" s="1"/>
  <c r="K11" i="9"/>
  <c r="H9" i="9"/>
  <c r="I10" i="9"/>
  <c r="K10" i="9" s="1"/>
  <c r="J10" i="9"/>
  <c r="K47" i="9"/>
  <c r="H49" i="9"/>
  <c r="J48" i="9"/>
  <c r="I48" i="9"/>
  <c r="K48" i="9" s="1"/>
  <c r="H25" i="8"/>
  <c r="J24" i="8"/>
  <c r="I24" i="8"/>
  <c r="K24" i="8" s="1"/>
  <c r="I72" i="7"/>
  <c r="F35" i="7"/>
  <c r="H36" i="7"/>
  <c r="G36" i="7"/>
  <c r="I36" i="7" s="1"/>
  <c r="F74" i="7"/>
  <c r="G73" i="7"/>
  <c r="H73" i="7"/>
  <c r="H54" i="6"/>
  <c r="J54" i="6" s="1"/>
  <c r="I53" i="6"/>
  <c r="K53" i="6" s="1"/>
  <c r="J40" i="5"/>
  <c r="J173" i="5"/>
  <c r="G38" i="5"/>
  <c r="I39" i="5"/>
  <c r="H39" i="5"/>
  <c r="J39" i="5" s="1"/>
  <c r="J72" i="5"/>
  <c r="H174" i="5"/>
  <c r="G175" i="5"/>
  <c r="I174" i="5"/>
  <c r="H73" i="5"/>
  <c r="I73" i="5"/>
  <c r="L12" i="4"/>
  <c r="I51" i="4"/>
  <c r="J52" i="4"/>
  <c r="K52" i="4"/>
  <c r="I91" i="4"/>
  <c r="J90" i="4"/>
  <c r="K90" i="4"/>
  <c r="C51" i="4"/>
  <c r="D50" i="4"/>
  <c r="E50" i="4"/>
  <c r="F26" i="1"/>
  <c r="G25" i="1"/>
  <c r="H25" i="1"/>
  <c r="G24" i="2"/>
  <c r="F24" i="2"/>
  <c r="E25" i="2"/>
  <c r="AA29" i="20" l="1"/>
  <c r="M46" i="20"/>
  <c r="J47" i="20"/>
  <c r="K47" i="20"/>
  <c r="L47" i="20"/>
  <c r="I47" i="20"/>
  <c r="H48" i="20"/>
  <c r="H29" i="19"/>
  <c r="I28" i="19"/>
  <c r="L28" i="19" s="1"/>
  <c r="J28" i="19"/>
  <c r="K28" i="19"/>
  <c r="L26" i="19"/>
  <c r="J26" i="18"/>
  <c r="I26" i="18"/>
  <c r="H27" i="18"/>
  <c r="K26" i="18"/>
  <c r="I25" i="18"/>
  <c r="K25" i="18"/>
  <c r="J25" i="18"/>
  <c r="G26" i="17"/>
  <c r="H25" i="17"/>
  <c r="J25" i="17" s="1"/>
  <c r="I25" i="17"/>
  <c r="G27" i="16"/>
  <c r="I26" i="16"/>
  <c r="H26" i="16"/>
  <c r="J26" i="16" s="1"/>
  <c r="H31" i="15"/>
  <c r="J30" i="15"/>
  <c r="I30" i="15"/>
  <c r="K30" i="15" s="1"/>
  <c r="G27" i="14"/>
  <c r="I26" i="14"/>
  <c r="H26" i="14"/>
  <c r="J26" i="14" s="1"/>
  <c r="L25" i="13"/>
  <c r="H27" i="13"/>
  <c r="I26" i="13"/>
  <c r="K26" i="13"/>
  <c r="J26" i="13"/>
  <c r="I27" i="12"/>
  <c r="H28" i="12"/>
  <c r="J27" i="12"/>
  <c r="H30" i="11"/>
  <c r="I29" i="11"/>
  <c r="J29" i="11"/>
  <c r="G28" i="10"/>
  <c r="I27" i="10"/>
  <c r="H27" i="10"/>
  <c r="H8" i="9"/>
  <c r="I9" i="9"/>
  <c r="J9" i="9"/>
  <c r="H50" i="9"/>
  <c r="I49" i="9"/>
  <c r="J49" i="9"/>
  <c r="H26" i="8"/>
  <c r="J25" i="8"/>
  <c r="I25" i="8"/>
  <c r="K25" i="8" s="1"/>
  <c r="F34" i="7"/>
  <c r="G35" i="7"/>
  <c r="H35" i="7"/>
  <c r="I73" i="7"/>
  <c r="F75" i="7"/>
  <c r="G74" i="7"/>
  <c r="H74" i="7"/>
  <c r="K54" i="6"/>
  <c r="H55" i="6"/>
  <c r="J55" i="6" s="1"/>
  <c r="I54" i="6"/>
  <c r="G37" i="5"/>
  <c r="H38" i="5"/>
  <c r="I38" i="5"/>
  <c r="J174" i="5"/>
  <c r="H175" i="5"/>
  <c r="I175" i="5"/>
  <c r="G176" i="5"/>
  <c r="J73" i="5"/>
  <c r="H74" i="5"/>
  <c r="I74" i="5"/>
  <c r="L52" i="4"/>
  <c r="I50" i="4"/>
  <c r="J51" i="4"/>
  <c r="K51" i="4"/>
  <c r="L90" i="4"/>
  <c r="I92" i="4"/>
  <c r="K91" i="4"/>
  <c r="J91" i="4"/>
  <c r="F50" i="4"/>
  <c r="D51" i="4"/>
  <c r="C52" i="4"/>
  <c r="E51" i="4"/>
  <c r="F27" i="1"/>
  <c r="G26" i="1"/>
  <c r="H26" i="1"/>
  <c r="F25" i="2"/>
  <c r="G25" i="2"/>
  <c r="E26" i="2"/>
  <c r="AA30" i="20" l="1"/>
  <c r="J48" i="20"/>
  <c r="L48" i="20"/>
  <c r="I48" i="20"/>
  <c r="K48" i="20"/>
  <c r="M47" i="20"/>
  <c r="H49" i="20"/>
  <c r="H31" i="19"/>
  <c r="J29" i="19"/>
  <c r="I29" i="19"/>
  <c r="L29" i="19" s="1"/>
  <c r="K29" i="19"/>
  <c r="L25" i="18"/>
  <c r="I27" i="18"/>
  <c r="J27" i="18"/>
  <c r="K27" i="18"/>
  <c r="L27" i="18" s="1"/>
  <c r="H28" i="18"/>
  <c r="L26" i="18"/>
  <c r="G27" i="17"/>
  <c r="H26" i="17"/>
  <c r="I26" i="17"/>
  <c r="G28" i="16"/>
  <c r="H27" i="16"/>
  <c r="I27" i="16"/>
  <c r="H32" i="15"/>
  <c r="I31" i="15"/>
  <c r="J31" i="15"/>
  <c r="K31" i="15" s="1"/>
  <c r="G28" i="14"/>
  <c r="H27" i="14"/>
  <c r="I27" i="14"/>
  <c r="L26" i="13"/>
  <c r="H28" i="13"/>
  <c r="J27" i="13"/>
  <c r="K27" i="13"/>
  <c r="I27" i="13"/>
  <c r="L27" i="13" s="1"/>
  <c r="H29" i="12"/>
  <c r="J28" i="12"/>
  <c r="I28" i="12"/>
  <c r="K27" i="12"/>
  <c r="K29" i="11"/>
  <c r="H31" i="11"/>
  <c r="I30" i="11"/>
  <c r="J30" i="11"/>
  <c r="J27" i="10"/>
  <c r="G29" i="10"/>
  <c r="I28" i="10"/>
  <c r="H28" i="10"/>
  <c r="K9" i="9"/>
  <c r="H7" i="9"/>
  <c r="J8" i="9"/>
  <c r="I8" i="9"/>
  <c r="K8" i="9" s="1"/>
  <c r="K49" i="9"/>
  <c r="H51" i="9"/>
  <c r="I50" i="9"/>
  <c r="J50" i="9"/>
  <c r="H27" i="8"/>
  <c r="J26" i="8"/>
  <c r="I26" i="8"/>
  <c r="K26" i="8" s="1"/>
  <c r="I35" i="7"/>
  <c r="F33" i="7"/>
  <c r="G34" i="7"/>
  <c r="H34" i="7"/>
  <c r="I74" i="7"/>
  <c r="F76" i="7"/>
  <c r="G75" i="7"/>
  <c r="H75" i="7"/>
  <c r="H57" i="6"/>
  <c r="J57" i="6" s="1"/>
  <c r="I55" i="6"/>
  <c r="K55" i="6" s="1"/>
  <c r="J38" i="5"/>
  <c r="G36" i="5"/>
  <c r="H37" i="5"/>
  <c r="I37" i="5"/>
  <c r="G177" i="5"/>
  <c r="I176" i="5"/>
  <c r="H176" i="5"/>
  <c r="J176" i="5" s="1"/>
  <c r="J175" i="5"/>
  <c r="J74" i="5"/>
  <c r="H75" i="5"/>
  <c r="I75" i="5"/>
  <c r="L51" i="4"/>
  <c r="I49" i="4"/>
  <c r="K50" i="4"/>
  <c r="J50" i="4"/>
  <c r="L50" i="4" s="1"/>
  <c r="L91" i="4"/>
  <c r="I93" i="4"/>
  <c r="K92" i="4"/>
  <c r="J92" i="4"/>
  <c r="C53" i="4"/>
  <c r="D52" i="4"/>
  <c r="E52" i="4"/>
  <c r="F51" i="4"/>
  <c r="F28" i="1"/>
  <c r="H27" i="1"/>
  <c r="G27" i="1"/>
  <c r="G26" i="2"/>
  <c r="F26" i="2"/>
  <c r="E27" i="2"/>
  <c r="AA32" i="20" l="1"/>
  <c r="J49" i="20"/>
  <c r="K49" i="20"/>
  <c r="L49" i="20"/>
  <c r="I49" i="20"/>
  <c r="M48" i="20"/>
  <c r="H50" i="20"/>
  <c r="I31" i="19"/>
  <c r="J31" i="19"/>
  <c r="K31" i="19"/>
  <c r="H30" i="19"/>
  <c r="H32" i="19"/>
  <c r="I28" i="18"/>
  <c r="J28" i="18"/>
  <c r="K28" i="18"/>
  <c r="H30" i="18"/>
  <c r="J26" i="17"/>
  <c r="G28" i="17"/>
  <c r="H27" i="17"/>
  <c r="I27" i="17"/>
  <c r="J27" i="16"/>
  <c r="G29" i="16"/>
  <c r="H28" i="16"/>
  <c r="J28" i="16" s="1"/>
  <c r="I28" i="16"/>
  <c r="H33" i="15"/>
  <c r="I32" i="15"/>
  <c r="J32" i="15"/>
  <c r="J27" i="14"/>
  <c r="G30" i="14"/>
  <c r="H28" i="14"/>
  <c r="I28" i="14"/>
  <c r="H29" i="13"/>
  <c r="K28" i="13"/>
  <c r="I28" i="13"/>
  <c r="J28" i="13"/>
  <c r="K28" i="12"/>
  <c r="H30" i="12"/>
  <c r="J29" i="12"/>
  <c r="I29" i="12"/>
  <c r="K30" i="11"/>
  <c r="H32" i="11"/>
  <c r="J31" i="11"/>
  <c r="I31" i="11"/>
  <c r="J28" i="10"/>
  <c r="G30" i="10"/>
  <c r="I29" i="10"/>
  <c r="H29" i="10"/>
  <c r="K50" i="9"/>
  <c r="H6" i="9"/>
  <c r="I7" i="9"/>
  <c r="J7" i="9"/>
  <c r="H52" i="9"/>
  <c r="I51" i="9"/>
  <c r="J51" i="9"/>
  <c r="H28" i="8"/>
  <c r="I27" i="8"/>
  <c r="J27" i="8"/>
  <c r="I34" i="7"/>
  <c r="F32" i="7"/>
  <c r="G33" i="7"/>
  <c r="H33" i="7"/>
  <c r="I75" i="7"/>
  <c r="F77" i="7"/>
  <c r="H76" i="7"/>
  <c r="G76" i="7"/>
  <c r="H58" i="6"/>
  <c r="J58" i="6" s="1"/>
  <c r="I57" i="6"/>
  <c r="K57" i="6" s="1"/>
  <c r="J37" i="5"/>
  <c r="J75" i="5"/>
  <c r="G35" i="5"/>
  <c r="I36" i="5"/>
  <c r="H36" i="5"/>
  <c r="J36" i="5" s="1"/>
  <c r="G178" i="5"/>
  <c r="I177" i="5"/>
  <c r="H177" i="5"/>
  <c r="J177" i="5" s="1"/>
  <c r="I76" i="5"/>
  <c r="H76" i="5"/>
  <c r="L92" i="4"/>
  <c r="I48" i="4"/>
  <c r="J49" i="4"/>
  <c r="K49" i="4"/>
  <c r="I94" i="4"/>
  <c r="J93" i="4"/>
  <c r="K93" i="4"/>
  <c r="F52" i="4"/>
  <c r="E53" i="4"/>
  <c r="C54" i="4"/>
  <c r="D53" i="4"/>
  <c r="F29" i="1"/>
  <c r="G28" i="1"/>
  <c r="H28" i="1"/>
  <c r="F27" i="2"/>
  <c r="G27" i="2"/>
  <c r="E28" i="2"/>
  <c r="AA34" i="20" l="1"/>
  <c r="AA31" i="20"/>
  <c r="L50" i="20"/>
  <c r="I50" i="20"/>
  <c r="K50" i="20"/>
  <c r="J50" i="20"/>
  <c r="M49" i="20"/>
  <c r="H51" i="20"/>
  <c r="I30" i="19"/>
  <c r="J30" i="19"/>
  <c r="K30" i="19"/>
  <c r="H33" i="19"/>
  <c r="I32" i="19"/>
  <c r="J32" i="19"/>
  <c r="K32" i="19"/>
  <c r="L31" i="19"/>
  <c r="H29" i="18"/>
  <c r="I30" i="18"/>
  <c r="K30" i="18"/>
  <c r="J30" i="18"/>
  <c r="H31" i="18"/>
  <c r="L28" i="18"/>
  <c r="J27" i="17"/>
  <c r="G29" i="17"/>
  <c r="H28" i="17"/>
  <c r="I28" i="17"/>
  <c r="G30" i="16"/>
  <c r="H29" i="16"/>
  <c r="J29" i="16" s="1"/>
  <c r="I29" i="16"/>
  <c r="K32" i="15"/>
  <c r="H34" i="15"/>
  <c r="I33" i="15"/>
  <c r="K33" i="15" s="1"/>
  <c r="J33" i="15"/>
  <c r="J28" i="14"/>
  <c r="G31" i="14"/>
  <c r="G29" i="14"/>
  <c r="I30" i="14"/>
  <c r="H30" i="14"/>
  <c r="J30" i="14" s="1"/>
  <c r="L28" i="13"/>
  <c r="H30" i="13"/>
  <c r="I29" i="13"/>
  <c r="K29" i="13"/>
  <c r="J29" i="13"/>
  <c r="K29" i="12"/>
  <c r="I30" i="12"/>
  <c r="J30" i="12"/>
  <c r="H31" i="12"/>
  <c r="K31" i="11"/>
  <c r="H34" i="11"/>
  <c r="I32" i="11"/>
  <c r="J32" i="11"/>
  <c r="J29" i="10"/>
  <c r="G31" i="10"/>
  <c r="G32" i="10" s="1"/>
  <c r="I30" i="10"/>
  <c r="H30" i="10"/>
  <c r="J30" i="10" s="1"/>
  <c r="K7" i="9"/>
  <c r="I6" i="9"/>
  <c r="K6" i="9" s="1"/>
  <c r="J6" i="9"/>
  <c r="K51" i="9"/>
  <c r="H53" i="9"/>
  <c r="J52" i="9"/>
  <c r="I52" i="9"/>
  <c r="K52" i="9" s="1"/>
  <c r="K27" i="8"/>
  <c r="H29" i="8"/>
  <c r="I28" i="8"/>
  <c r="K28" i="8" s="1"/>
  <c r="J28" i="8"/>
  <c r="I33" i="7"/>
  <c r="F31" i="7"/>
  <c r="G32" i="7"/>
  <c r="H32" i="7"/>
  <c r="I76" i="7"/>
  <c r="F78" i="7"/>
  <c r="H77" i="7"/>
  <c r="G77" i="7"/>
  <c r="H59" i="6"/>
  <c r="J59" i="6" s="1"/>
  <c r="I58" i="6"/>
  <c r="K58" i="6" s="1"/>
  <c r="G34" i="5"/>
  <c r="H35" i="5"/>
  <c r="I35" i="5"/>
  <c r="G179" i="5"/>
  <c r="I178" i="5"/>
  <c r="H178" i="5"/>
  <c r="J76" i="5"/>
  <c r="H77" i="5"/>
  <c r="I77" i="5"/>
  <c r="F53" i="4"/>
  <c r="L49" i="4"/>
  <c r="I47" i="4"/>
  <c r="K48" i="4"/>
  <c r="J48" i="4"/>
  <c r="L48" i="4" s="1"/>
  <c r="L93" i="4"/>
  <c r="I95" i="4"/>
  <c r="K94" i="4"/>
  <c r="J94" i="4"/>
  <c r="L94" i="4" s="1"/>
  <c r="E54" i="4"/>
  <c r="D54" i="4"/>
  <c r="F54" i="4" s="1"/>
  <c r="F30" i="1"/>
  <c r="H29" i="1"/>
  <c r="G29" i="1"/>
  <c r="G28" i="2"/>
  <c r="F28" i="2"/>
  <c r="E29" i="2"/>
  <c r="AA33" i="20" l="1"/>
  <c r="AA35" i="20"/>
  <c r="M50" i="20"/>
  <c r="I51" i="20"/>
  <c r="J51" i="20"/>
  <c r="K51" i="20"/>
  <c r="L51" i="20"/>
  <c r="L32" i="19"/>
  <c r="H34" i="19"/>
  <c r="I33" i="19"/>
  <c r="J33" i="19"/>
  <c r="K33" i="19"/>
  <c r="L30" i="19"/>
  <c r="L30" i="18"/>
  <c r="I31" i="18"/>
  <c r="L31" i="18" s="1"/>
  <c r="J31" i="18"/>
  <c r="H32" i="18"/>
  <c r="K31" i="18"/>
  <c r="I29" i="18"/>
  <c r="L29" i="18" s="1"/>
  <c r="J29" i="18"/>
  <c r="K29" i="18"/>
  <c r="J28" i="17"/>
  <c r="G30" i="17"/>
  <c r="H29" i="17"/>
  <c r="I29" i="17"/>
  <c r="G31" i="16"/>
  <c r="H30" i="16"/>
  <c r="J30" i="16" s="1"/>
  <c r="I30" i="16"/>
  <c r="H35" i="15"/>
  <c r="I34" i="15"/>
  <c r="K34" i="15" s="1"/>
  <c r="J34" i="15"/>
  <c r="H29" i="14"/>
  <c r="J29" i="14" s="1"/>
  <c r="I29" i="14"/>
  <c r="G32" i="14"/>
  <c r="H31" i="14"/>
  <c r="I31" i="14"/>
  <c r="L29" i="13"/>
  <c r="H31" i="13"/>
  <c r="K30" i="13"/>
  <c r="I30" i="13"/>
  <c r="J30" i="13"/>
  <c r="J31" i="12"/>
  <c r="H32" i="12"/>
  <c r="H33" i="12" s="1"/>
  <c r="I31" i="12"/>
  <c r="K30" i="12"/>
  <c r="K32" i="11"/>
  <c r="H35" i="11"/>
  <c r="I34" i="11"/>
  <c r="J34" i="11"/>
  <c r="H32" i="10"/>
  <c r="I32" i="10"/>
  <c r="G33" i="10"/>
  <c r="H31" i="10"/>
  <c r="I31" i="10"/>
  <c r="H54" i="9"/>
  <c r="I53" i="9"/>
  <c r="J53" i="9"/>
  <c r="H30" i="8"/>
  <c r="J29" i="8"/>
  <c r="I29" i="8"/>
  <c r="K29" i="8" s="1"/>
  <c r="I32" i="7"/>
  <c r="F30" i="7"/>
  <c r="G31" i="7"/>
  <c r="H31" i="7"/>
  <c r="I77" i="7"/>
  <c r="F79" i="7"/>
  <c r="G78" i="7"/>
  <c r="H78" i="7"/>
  <c r="K59" i="6"/>
  <c r="H60" i="6"/>
  <c r="J60" i="6" s="1"/>
  <c r="I59" i="6"/>
  <c r="J35" i="5"/>
  <c r="J77" i="5"/>
  <c r="G33" i="5"/>
  <c r="I34" i="5"/>
  <c r="H34" i="5"/>
  <c r="J34" i="5" s="1"/>
  <c r="J178" i="5"/>
  <c r="H179" i="5"/>
  <c r="I179" i="5"/>
  <c r="G180" i="5"/>
  <c r="I78" i="5"/>
  <c r="H78" i="5"/>
  <c r="I46" i="4"/>
  <c r="J47" i="4"/>
  <c r="K47" i="4"/>
  <c r="I96" i="4"/>
  <c r="K95" i="4"/>
  <c r="J95" i="4"/>
  <c r="F31" i="1"/>
  <c r="H30" i="1"/>
  <c r="G30" i="1"/>
  <c r="F29" i="2"/>
  <c r="G29" i="2"/>
  <c r="E30" i="2"/>
  <c r="AA36" i="20" l="1"/>
  <c r="M51" i="20"/>
  <c r="L33" i="19"/>
  <c r="H35" i="19"/>
  <c r="I34" i="19"/>
  <c r="L34" i="19" s="1"/>
  <c r="J34" i="19"/>
  <c r="K34" i="19"/>
  <c r="I32" i="18"/>
  <c r="H33" i="18"/>
  <c r="J32" i="18"/>
  <c r="K32" i="18"/>
  <c r="J29" i="17"/>
  <c r="G31" i="17"/>
  <c r="H30" i="17"/>
  <c r="I30" i="17"/>
  <c r="G32" i="16"/>
  <c r="H31" i="16"/>
  <c r="J31" i="16" s="1"/>
  <c r="I31" i="16"/>
  <c r="H36" i="15"/>
  <c r="I35" i="15"/>
  <c r="K35" i="15" s="1"/>
  <c r="J35" i="15"/>
  <c r="G33" i="14"/>
  <c r="I32" i="14"/>
  <c r="H32" i="14"/>
  <c r="J31" i="14"/>
  <c r="L30" i="13"/>
  <c r="H32" i="13"/>
  <c r="I31" i="13"/>
  <c r="K31" i="13"/>
  <c r="J31" i="13"/>
  <c r="I33" i="12"/>
  <c r="J33" i="12"/>
  <c r="K31" i="12"/>
  <c r="H34" i="12"/>
  <c r="I32" i="12"/>
  <c r="J32" i="12"/>
  <c r="K34" i="11"/>
  <c r="H36" i="11"/>
  <c r="I35" i="11"/>
  <c r="J35" i="11"/>
  <c r="J32" i="10"/>
  <c r="J31" i="10"/>
  <c r="G34" i="10"/>
  <c r="I33" i="10"/>
  <c r="H33" i="10"/>
  <c r="J33" i="10" s="1"/>
  <c r="K53" i="9"/>
  <c r="H55" i="9"/>
  <c r="I54" i="9"/>
  <c r="J54" i="9"/>
  <c r="H31" i="8"/>
  <c r="J30" i="8"/>
  <c r="I30" i="8"/>
  <c r="K30" i="8" s="1"/>
  <c r="I31" i="7"/>
  <c r="F29" i="7"/>
  <c r="G30" i="7"/>
  <c r="H30" i="7"/>
  <c r="I78" i="7"/>
  <c r="F80" i="7"/>
  <c r="H79" i="7"/>
  <c r="G79" i="7"/>
  <c r="K60" i="6"/>
  <c r="H61" i="6"/>
  <c r="J61" i="6" s="1"/>
  <c r="I60" i="6"/>
  <c r="J179" i="5"/>
  <c r="G32" i="5"/>
  <c r="I33" i="5"/>
  <c r="H33" i="5"/>
  <c r="J33" i="5" s="1"/>
  <c r="G181" i="5"/>
  <c r="H180" i="5"/>
  <c r="I180" i="5"/>
  <c r="J78" i="5"/>
  <c r="I79" i="5"/>
  <c r="H79" i="5"/>
  <c r="L47" i="4"/>
  <c r="I45" i="4"/>
  <c r="J46" i="4"/>
  <c r="K46" i="4"/>
  <c r="L95" i="4"/>
  <c r="I97" i="4"/>
  <c r="J96" i="4"/>
  <c r="K96" i="4"/>
  <c r="F32" i="1"/>
  <c r="H31" i="1"/>
  <c r="G31" i="1"/>
  <c r="G30" i="2"/>
  <c r="F30" i="2"/>
  <c r="E31" i="2"/>
  <c r="J32" i="14" l="1"/>
  <c r="AA37" i="20"/>
  <c r="H36" i="19"/>
  <c r="J35" i="19"/>
  <c r="K35" i="19"/>
  <c r="I35" i="19"/>
  <c r="H34" i="18"/>
  <c r="J33" i="18"/>
  <c r="I33" i="18"/>
  <c r="K33" i="18"/>
  <c r="L32" i="18"/>
  <c r="J30" i="17"/>
  <c r="G32" i="17"/>
  <c r="H31" i="17"/>
  <c r="I31" i="17"/>
  <c r="G33" i="16"/>
  <c r="I32" i="16"/>
  <c r="H32" i="16"/>
  <c r="H37" i="15"/>
  <c r="J36" i="15"/>
  <c r="I36" i="15"/>
  <c r="K36" i="15" s="1"/>
  <c r="G34" i="14"/>
  <c r="I33" i="14"/>
  <c r="H33" i="14"/>
  <c r="L31" i="13"/>
  <c r="H33" i="13"/>
  <c r="K32" i="13"/>
  <c r="I32" i="13"/>
  <c r="J32" i="13"/>
  <c r="K33" i="12"/>
  <c r="K32" i="12"/>
  <c r="H35" i="12"/>
  <c r="J34" i="12"/>
  <c r="I34" i="12"/>
  <c r="K34" i="12" s="1"/>
  <c r="K35" i="11"/>
  <c r="H37" i="11"/>
  <c r="I36" i="11"/>
  <c r="J36" i="11"/>
  <c r="G35" i="10"/>
  <c r="I34" i="10"/>
  <c r="H34" i="10"/>
  <c r="K54" i="9"/>
  <c r="H56" i="9"/>
  <c r="I55" i="9"/>
  <c r="J55" i="9"/>
  <c r="H32" i="8"/>
  <c r="J31" i="8"/>
  <c r="I31" i="8"/>
  <c r="K31" i="8" s="1"/>
  <c r="I30" i="7"/>
  <c r="F28" i="7"/>
  <c r="H29" i="7"/>
  <c r="G29" i="7"/>
  <c r="I79" i="7"/>
  <c r="F81" i="7"/>
  <c r="H80" i="7"/>
  <c r="G80" i="7"/>
  <c r="H62" i="6"/>
  <c r="J62" i="6" s="1"/>
  <c r="I61" i="6"/>
  <c r="K61" i="6" s="1"/>
  <c r="G31" i="5"/>
  <c r="H32" i="5"/>
  <c r="I32" i="5"/>
  <c r="J180" i="5"/>
  <c r="G182" i="5"/>
  <c r="H181" i="5"/>
  <c r="I181" i="5"/>
  <c r="J79" i="5"/>
  <c r="I80" i="5"/>
  <c r="H80" i="5"/>
  <c r="J80" i="5" s="1"/>
  <c r="L46" i="4"/>
  <c r="I44" i="4"/>
  <c r="J45" i="4"/>
  <c r="K45" i="4"/>
  <c r="I98" i="4"/>
  <c r="K97" i="4"/>
  <c r="J97" i="4"/>
  <c r="L96" i="4"/>
  <c r="F33" i="1"/>
  <c r="H32" i="1"/>
  <c r="G32" i="1"/>
  <c r="G31" i="2"/>
  <c r="F31" i="2"/>
  <c r="E32" i="2"/>
  <c r="J33" i="14" l="1"/>
  <c r="AA38" i="20"/>
  <c r="L35" i="19"/>
  <c r="H37" i="19"/>
  <c r="I36" i="19"/>
  <c r="J36" i="19"/>
  <c r="K36" i="19"/>
  <c r="L33" i="18"/>
  <c r="H35" i="18"/>
  <c r="J34" i="18"/>
  <c r="K34" i="18"/>
  <c r="I34" i="18"/>
  <c r="L34" i="18" s="1"/>
  <c r="J31" i="17"/>
  <c r="G33" i="17"/>
  <c r="I32" i="17"/>
  <c r="H32" i="17"/>
  <c r="J32" i="17" s="1"/>
  <c r="J32" i="16"/>
  <c r="G34" i="16"/>
  <c r="H33" i="16"/>
  <c r="I33" i="16"/>
  <c r="H38" i="15"/>
  <c r="I37" i="15"/>
  <c r="K37" i="15" s="1"/>
  <c r="J37" i="15"/>
  <c r="G35" i="14"/>
  <c r="I34" i="14"/>
  <c r="H34" i="14"/>
  <c r="J34" i="14" s="1"/>
  <c r="L32" i="13"/>
  <c r="H34" i="13"/>
  <c r="I33" i="13"/>
  <c r="J33" i="13"/>
  <c r="K33" i="13"/>
  <c r="H36" i="12"/>
  <c r="J35" i="12"/>
  <c r="I35" i="12"/>
  <c r="K35" i="12" s="1"/>
  <c r="K36" i="11"/>
  <c r="H38" i="11"/>
  <c r="I37" i="11"/>
  <c r="J37" i="11"/>
  <c r="J34" i="10"/>
  <c r="G36" i="10"/>
  <c r="I35" i="10"/>
  <c r="H35" i="10"/>
  <c r="J35" i="10" s="1"/>
  <c r="K55" i="9"/>
  <c r="H57" i="9"/>
  <c r="I56" i="9"/>
  <c r="J56" i="9"/>
  <c r="H33" i="8"/>
  <c r="J32" i="8"/>
  <c r="I32" i="8"/>
  <c r="I29" i="7"/>
  <c r="F27" i="7"/>
  <c r="G28" i="7"/>
  <c r="H28" i="7"/>
  <c r="I28" i="7" s="1"/>
  <c r="I80" i="7"/>
  <c r="F82" i="7"/>
  <c r="G81" i="7"/>
  <c r="H81" i="7"/>
  <c r="H63" i="6"/>
  <c r="J63" i="6" s="1"/>
  <c r="I62" i="6"/>
  <c r="K62" i="6" s="1"/>
  <c r="J181" i="5"/>
  <c r="J32" i="5"/>
  <c r="G30" i="5"/>
  <c r="I31" i="5"/>
  <c r="H31" i="5"/>
  <c r="H182" i="5"/>
  <c r="G183" i="5"/>
  <c r="I182" i="5"/>
  <c r="I81" i="5"/>
  <c r="H81" i="5"/>
  <c r="J81" i="5" s="1"/>
  <c r="L45" i="4"/>
  <c r="I43" i="4"/>
  <c r="J44" i="4"/>
  <c r="K44" i="4"/>
  <c r="L97" i="4"/>
  <c r="I99" i="4"/>
  <c r="K98" i="4"/>
  <c r="J98" i="4"/>
  <c r="L98" i="4" s="1"/>
  <c r="F34" i="1"/>
  <c r="G33" i="1"/>
  <c r="H33" i="1"/>
  <c r="G32" i="2"/>
  <c r="F32" i="2"/>
  <c r="E33" i="2"/>
  <c r="AA39" i="20" l="1"/>
  <c r="L36" i="19"/>
  <c r="H38" i="19"/>
  <c r="I37" i="19"/>
  <c r="K37" i="19"/>
  <c r="J37" i="19"/>
  <c r="I35" i="18"/>
  <c r="K35" i="18"/>
  <c r="H36" i="18"/>
  <c r="J35" i="18"/>
  <c r="G34" i="17"/>
  <c r="H33" i="17"/>
  <c r="I33" i="17"/>
  <c r="J33" i="16"/>
  <c r="G35" i="16"/>
  <c r="H34" i="16"/>
  <c r="J34" i="16" s="1"/>
  <c r="I34" i="16"/>
  <c r="H39" i="15"/>
  <c r="I38" i="15"/>
  <c r="J38" i="15"/>
  <c r="G36" i="14"/>
  <c r="H35" i="14"/>
  <c r="I35" i="14"/>
  <c r="L33" i="13"/>
  <c r="H35" i="13"/>
  <c r="I34" i="13"/>
  <c r="K34" i="13"/>
  <c r="J34" i="13"/>
  <c r="J36" i="12"/>
  <c r="H37" i="12"/>
  <c r="I36" i="12"/>
  <c r="K37" i="11"/>
  <c r="H39" i="11"/>
  <c r="I38" i="11"/>
  <c r="J38" i="11"/>
  <c r="G37" i="10"/>
  <c r="I36" i="10"/>
  <c r="H36" i="10"/>
  <c r="J36" i="10" s="1"/>
  <c r="K56" i="9"/>
  <c r="H58" i="9"/>
  <c r="J57" i="9"/>
  <c r="I57" i="9"/>
  <c r="K32" i="8"/>
  <c r="H34" i="8"/>
  <c r="I33" i="8"/>
  <c r="J33" i="8"/>
  <c r="K33" i="8" s="1"/>
  <c r="F26" i="7"/>
  <c r="H27" i="7"/>
  <c r="G27" i="7"/>
  <c r="I27" i="7" s="1"/>
  <c r="I81" i="7"/>
  <c r="F83" i="7"/>
  <c r="G82" i="7"/>
  <c r="H82" i="7"/>
  <c r="H64" i="6"/>
  <c r="J64" i="6" s="1"/>
  <c r="I63" i="6"/>
  <c r="K63" i="6" s="1"/>
  <c r="J31" i="5"/>
  <c r="G29" i="5"/>
  <c r="H30" i="5"/>
  <c r="I30" i="5"/>
  <c r="H183" i="5"/>
  <c r="J183" i="5" s="1"/>
  <c r="I183" i="5"/>
  <c r="G184" i="5"/>
  <c r="J182" i="5"/>
  <c r="I82" i="5"/>
  <c r="H82" i="5"/>
  <c r="I42" i="4"/>
  <c r="J43" i="4"/>
  <c r="K43" i="4"/>
  <c r="L44" i="4"/>
  <c r="I100" i="4"/>
  <c r="J99" i="4"/>
  <c r="K99" i="4"/>
  <c r="F35" i="1"/>
  <c r="G34" i="1"/>
  <c r="H34" i="1"/>
  <c r="F33" i="2"/>
  <c r="G33" i="2"/>
  <c r="E34" i="2"/>
  <c r="AA40" i="20" l="1"/>
  <c r="L37" i="19"/>
  <c r="H39" i="19"/>
  <c r="I38" i="19"/>
  <c r="J38" i="19"/>
  <c r="K38" i="19"/>
  <c r="I36" i="18"/>
  <c r="K36" i="18"/>
  <c r="H37" i="18"/>
  <c r="J36" i="18"/>
  <c r="L35" i="18"/>
  <c r="J33" i="17"/>
  <c r="G35" i="17"/>
  <c r="I34" i="17"/>
  <c r="H34" i="17"/>
  <c r="J34" i="17" s="1"/>
  <c r="G36" i="16"/>
  <c r="I35" i="16"/>
  <c r="H35" i="16"/>
  <c r="J35" i="16" s="1"/>
  <c r="K38" i="15"/>
  <c r="H40" i="15"/>
  <c r="J39" i="15"/>
  <c r="I39" i="15"/>
  <c r="K39" i="15" s="1"/>
  <c r="G37" i="14"/>
  <c r="H36" i="14"/>
  <c r="I36" i="14"/>
  <c r="L34" i="13"/>
  <c r="H36" i="13"/>
  <c r="I35" i="13"/>
  <c r="J35" i="13"/>
  <c r="K35" i="13"/>
  <c r="K36" i="12"/>
  <c r="H38" i="12"/>
  <c r="I37" i="12"/>
  <c r="J37" i="12"/>
  <c r="H40" i="11"/>
  <c r="I39" i="11"/>
  <c r="K39" i="11" s="1"/>
  <c r="J39" i="11"/>
  <c r="K38" i="11"/>
  <c r="G38" i="10"/>
  <c r="I37" i="10"/>
  <c r="H37" i="10"/>
  <c r="J37" i="10" s="1"/>
  <c r="K57" i="9"/>
  <c r="H59" i="9"/>
  <c r="J58" i="9"/>
  <c r="I58" i="9"/>
  <c r="K58" i="9" s="1"/>
  <c r="H35" i="8"/>
  <c r="J34" i="8"/>
  <c r="I34" i="8"/>
  <c r="K34" i="8" s="1"/>
  <c r="F25" i="7"/>
  <c r="H26" i="7"/>
  <c r="G26" i="7"/>
  <c r="I26" i="7" s="1"/>
  <c r="I82" i="7"/>
  <c r="F84" i="7"/>
  <c r="G83" i="7"/>
  <c r="H83" i="7"/>
  <c r="H65" i="6"/>
  <c r="J65" i="6" s="1"/>
  <c r="I64" i="6"/>
  <c r="K64" i="6" s="1"/>
  <c r="J82" i="5"/>
  <c r="G28" i="5"/>
  <c r="I29" i="5"/>
  <c r="H29" i="5"/>
  <c r="J30" i="5"/>
  <c r="H184" i="5"/>
  <c r="G185" i="5"/>
  <c r="I184" i="5"/>
  <c r="H83" i="5"/>
  <c r="I83" i="5"/>
  <c r="L43" i="4"/>
  <c r="I41" i="4"/>
  <c r="K42" i="4"/>
  <c r="J42" i="4"/>
  <c r="L99" i="4"/>
  <c r="I101" i="4"/>
  <c r="J100" i="4"/>
  <c r="K100" i="4"/>
  <c r="F36" i="1"/>
  <c r="G35" i="1"/>
  <c r="H35" i="1"/>
  <c r="G34" i="2"/>
  <c r="F34" i="2"/>
  <c r="E35" i="2"/>
  <c r="AA41" i="20" l="1"/>
  <c r="L38" i="19"/>
  <c r="H40" i="19"/>
  <c r="J39" i="19"/>
  <c r="K39" i="19"/>
  <c r="I39" i="19"/>
  <c r="L39" i="19" s="1"/>
  <c r="J37" i="18"/>
  <c r="K37" i="18"/>
  <c r="I37" i="18"/>
  <c r="L37" i="18" s="1"/>
  <c r="H38" i="18"/>
  <c r="L36" i="18"/>
  <c r="G36" i="17"/>
  <c r="H35" i="17"/>
  <c r="J35" i="17" s="1"/>
  <c r="I35" i="17"/>
  <c r="G37" i="16"/>
  <c r="H36" i="16"/>
  <c r="I36" i="16"/>
  <c r="H41" i="15"/>
  <c r="J40" i="15"/>
  <c r="I40" i="15"/>
  <c r="G38" i="14"/>
  <c r="H37" i="14"/>
  <c r="I37" i="14"/>
  <c r="L35" i="13"/>
  <c r="H37" i="13"/>
  <c r="K36" i="13"/>
  <c r="I36" i="13"/>
  <c r="J36" i="13"/>
  <c r="J38" i="12"/>
  <c r="H39" i="12"/>
  <c r="I38" i="12"/>
  <c r="K38" i="12" s="1"/>
  <c r="K37" i="12"/>
  <c r="H41" i="11"/>
  <c r="I40" i="11"/>
  <c r="J40" i="11"/>
  <c r="G39" i="10"/>
  <c r="I38" i="10"/>
  <c r="H38" i="10"/>
  <c r="J38" i="10" s="1"/>
  <c r="H60" i="9"/>
  <c r="J59" i="9"/>
  <c r="I59" i="9"/>
  <c r="K59" i="9" s="1"/>
  <c r="H36" i="8"/>
  <c r="I35" i="8"/>
  <c r="K35" i="8" s="1"/>
  <c r="J35" i="8"/>
  <c r="F24" i="7"/>
  <c r="G25" i="7"/>
  <c r="I25" i="7" s="1"/>
  <c r="H25" i="7"/>
  <c r="I83" i="7"/>
  <c r="F85" i="7"/>
  <c r="G84" i="7"/>
  <c r="H84" i="7"/>
  <c r="H66" i="6"/>
  <c r="J66" i="6" s="1"/>
  <c r="I65" i="6"/>
  <c r="K65" i="6" s="1"/>
  <c r="J29" i="5"/>
  <c r="G27" i="5"/>
  <c r="I28" i="5"/>
  <c r="H28" i="5"/>
  <c r="G186" i="5"/>
  <c r="H185" i="5"/>
  <c r="I185" i="5"/>
  <c r="J184" i="5"/>
  <c r="J83" i="5"/>
  <c r="H84" i="5"/>
  <c r="I84" i="5"/>
  <c r="L42" i="4"/>
  <c r="I40" i="4"/>
  <c r="K41" i="4"/>
  <c r="J41" i="4"/>
  <c r="L100" i="4"/>
  <c r="I102" i="4"/>
  <c r="K101" i="4"/>
  <c r="J101" i="4"/>
  <c r="F37" i="1"/>
  <c r="G36" i="1"/>
  <c r="H36" i="1"/>
  <c r="F35" i="2"/>
  <c r="G35" i="2"/>
  <c r="E36" i="2"/>
  <c r="AA42" i="20" l="1"/>
  <c r="H41" i="19"/>
  <c r="I40" i="19"/>
  <c r="J40" i="19"/>
  <c r="K40" i="19"/>
  <c r="J38" i="18"/>
  <c r="I38" i="18"/>
  <c r="K38" i="18"/>
  <c r="H39" i="18"/>
  <c r="G37" i="17"/>
  <c r="H36" i="17"/>
  <c r="J36" i="17" s="1"/>
  <c r="I36" i="17"/>
  <c r="J36" i="16"/>
  <c r="G38" i="16"/>
  <c r="H37" i="16"/>
  <c r="I37" i="16"/>
  <c r="K40" i="15"/>
  <c r="H42" i="15"/>
  <c r="I41" i="15"/>
  <c r="J41" i="15"/>
  <c r="J37" i="14"/>
  <c r="G39" i="14"/>
  <c r="H38" i="14"/>
  <c r="I38" i="14"/>
  <c r="J38" i="14" s="1"/>
  <c r="L36" i="13"/>
  <c r="H38" i="13"/>
  <c r="I37" i="13"/>
  <c r="K37" i="13"/>
  <c r="J37" i="13"/>
  <c r="H40" i="12"/>
  <c r="I39" i="12"/>
  <c r="J39" i="12"/>
  <c r="K40" i="11"/>
  <c r="H42" i="11"/>
  <c r="I41" i="11"/>
  <c r="J41" i="11"/>
  <c r="G40" i="10"/>
  <c r="I39" i="10"/>
  <c r="H39" i="10"/>
  <c r="H61" i="9"/>
  <c r="J60" i="9"/>
  <c r="I60" i="9"/>
  <c r="K60" i="9" s="1"/>
  <c r="H37" i="8"/>
  <c r="I36" i="8"/>
  <c r="K36" i="8" s="1"/>
  <c r="J36" i="8"/>
  <c r="F23" i="7"/>
  <c r="H24" i="7"/>
  <c r="G24" i="7"/>
  <c r="I24" i="7" s="1"/>
  <c r="I84" i="7"/>
  <c r="F86" i="7"/>
  <c r="H85" i="7"/>
  <c r="G85" i="7"/>
  <c r="H67" i="6"/>
  <c r="J67" i="6" s="1"/>
  <c r="I66" i="6"/>
  <c r="K66" i="6" s="1"/>
  <c r="J28" i="5"/>
  <c r="G26" i="5"/>
  <c r="H27" i="5"/>
  <c r="I27" i="5"/>
  <c r="J185" i="5"/>
  <c r="H186" i="5"/>
  <c r="I186" i="5"/>
  <c r="G187" i="5"/>
  <c r="J84" i="5"/>
  <c r="H85" i="5"/>
  <c r="I85" i="5"/>
  <c r="I39" i="4"/>
  <c r="J40" i="4"/>
  <c r="K40" i="4"/>
  <c r="L101" i="4"/>
  <c r="L41" i="4"/>
  <c r="I103" i="4"/>
  <c r="J102" i="4"/>
  <c r="K102" i="4"/>
  <c r="F38" i="1"/>
  <c r="H37" i="1"/>
  <c r="G37" i="1"/>
  <c r="G36" i="2"/>
  <c r="F36" i="2"/>
  <c r="E37" i="2"/>
  <c r="AA43" i="20" l="1"/>
  <c r="L40" i="19"/>
  <c r="H42" i="19"/>
  <c r="K41" i="19"/>
  <c r="J41" i="19"/>
  <c r="I41" i="19"/>
  <c r="L41" i="19" s="1"/>
  <c r="J39" i="18"/>
  <c r="H40" i="18"/>
  <c r="I39" i="18"/>
  <c r="K39" i="18"/>
  <c r="L38" i="18"/>
  <c r="G38" i="17"/>
  <c r="I37" i="17"/>
  <c r="H37" i="17"/>
  <c r="J37" i="17" s="1"/>
  <c r="J37" i="16"/>
  <c r="G39" i="16"/>
  <c r="I38" i="16"/>
  <c r="H38" i="16"/>
  <c r="J38" i="16" s="1"/>
  <c r="K41" i="15"/>
  <c r="H43" i="15"/>
  <c r="J42" i="15"/>
  <c r="I42" i="15"/>
  <c r="G40" i="14"/>
  <c r="I39" i="14"/>
  <c r="H39" i="14"/>
  <c r="L37" i="13"/>
  <c r="H39" i="13"/>
  <c r="K38" i="13"/>
  <c r="I38" i="13"/>
  <c r="J38" i="13"/>
  <c r="K39" i="12"/>
  <c r="J40" i="12"/>
  <c r="H41" i="12"/>
  <c r="I40" i="12"/>
  <c r="K40" i="12" s="1"/>
  <c r="K41" i="11"/>
  <c r="H43" i="11"/>
  <c r="I42" i="11"/>
  <c r="J42" i="11"/>
  <c r="J39" i="10"/>
  <c r="G41" i="10"/>
  <c r="H40" i="10"/>
  <c r="I40" i="10"/>
  <c r="H62" i="9"/>
  <c r="I61" i="9"/>
  <c r="J61" i="9"/>
  <c r="H38" i="8"/>
  <c r="J37" i="8"/>
  <c r="I37" i="8"/>
  <c r="K37" i="8" s="1"/>
  <c r="F22" i="7"/>
  <c r="H23" i="7"/>
  <c r="G23" i="7"/>
  <c r="I23" i="7" s="1"/>
  <c r="I85" i="7"/>
  <c r="F87" i="7"/>
  <c r="G86" i="7"/>
  <c r="H86" i="7"/>
  <c r="H68" i="6"/>
  <c r="J68" i="6" s="1"/>
  <c r="I67" i="6"/>
  <c r="K67" i="6" s="1"/>
  <c r="J27" i="5"/>
  <c r="J186" i="5"/>
  <c r="G25" i="5"/>
  <c r="H26" i="5"/>
  <c r="J26" i="5" s="1"/>
  <c r="I26" i="5"/>
  <c r="G188" i="5"/>
  <c r="I187" i="5"/>
  <c r="H187" i="5"/>
  <c r="J187" i="5" s="1"/>
  <c r="J85" i="5"/>
  <c r="H86" i="5"/>
  <c r="I86" i="5"/>
  <c r="L40" i="4"/>
  <c r="I38" i="4"/>
  <c r="K39" i="4"/>
  <c r="J39" i="4"/>
  <c r="L102" i="4"/>
  <c r="I104" i="4"/>
  <c r="K103" i="4"/>
  <c r="J103" i="4"/>
  <c r="L103" i="4" s="1"/>
  <c r="F39" i="1"/>
  <c r="H38" i="1"/>
  <c r="G38" i="1"/>
  <c r="G37" i="2"/>
  <c r="F37" i="2"/>
  <c r="E38" i="2"/>
  <c r="AA44" i="20" l="1"/>
  <c r="H43" i="19"/>
  <c r="I42" i="19"/>
  <c r="J42" i="19"/>
  <c r="K42" i="19"/>
  <c r="L39" i="18"/>
  <c r="J40" i="18"/>
  <c r="H41" i="18"/>
  <c r="I40" i="18"/>
  <c r="L40" i="18" s="1"/>
  <c r="K40" i="18"/>
  <c r="G39" i="17"/>
  <c r="I38" i="17"/>
  <c r="H38" i="17"/>
  <c r="G40" i="16"/>
  <c r="H39" i="16"/>
  <c r="I39" i="16"/>
  <c r="K42" i="15"/>
  <c r="H44" i="15"/>
  <c r="I43" i="15"/>
  <c r="K43" i="15" s="1"/>
  <c r="J43" i="15"/>
  <c r="J39" i="14"/>
  <c r="G41" i="14"/>
  <c r="H40" i="14"/>
  <c r="I40" i="14"/>
  <c r="L38" i="13"/>
  <c r="H40" i="13"/>
  <c r="I39" i="13"/>
  <c r="K39" i="13"/>
  <c r="J39" i="13"/>
  <c r="I41" i="12"/>
  <c r="H42" i="12"/>
  <c r="J41" i="12"/>
  <c r="K42" i="11"/>
  <c r="H44" i="11"/>
  <c r="J43" i="11"/>
  <c r="I43" i="11"/>
  <c r="J40" i="10"/>
  <c r="G42" i="10"/>
  <c r="I41" i="10"/>
  <c r="H41" i="10"/>
  <c r="J41" i="10" s="1"/>
  <c r="H63" i="9"/>
  <c r="I62" i="9"/>
  <c r="J62" i="9"/>
  <c r="K61" i="9"/>
  <c r="H39" i="8"/>
  <c r="J38" i="8"/>
  <c r="I38" i="8"/>
  <c r="K38" i="8" s="1"/>
  <c r="F21" i="7"/>
  <c r="H22" i="7"/>
  <c r="G22" i="7"/>
  <c r="I86" i="7"/>
  <c r="F88" i="7"/>
  <c r="H87" i="7"/>
  <c r="G87" i="7"/>
  <c r="H69" i="6"/>
  <c r="J69" i="6" s="1"/>
  <c r="I68" i="6"/>
  <c r="K68" i="6" s="1"/>
  <c r="G24" i="5"/>
  <c r="I25" i="5"/>
  <c r="H25" i="5"/>
  <c r="G189" i="5"/>
  <c r="H188" i="5"/>
  <c r="J188" i="5" s="1"/>
  <c r="I188" i="5"/>
  <c r="H87" i="5"/>
  <c r="I87" i="5"/>
  <c r="J86" i="5"/>
  <c r="L39" i="4"/>
  <c r="I37" i="4"/>
  <c r="K38" i="4"/>
  <c r="J38" i="4"/>
  <c r="I105" i="4"/>
  <c r="J104" i="4"/>
  <c r="K104" i="4"/>
  <c r="F40" i="1"/>
  <c r="H39" i="1"/>
  <c r="G39" i="1"/>
  <c r="F38" i="2"/>
  <c r="G38" i="2"/>
  <c r="E39" i="2"/>
  <c r="J40" i="14" l="1"/>
  <c r="AA45" i="20"/>
  <c r="L42" i="19"/>
  <c r="H44" i="19"/>
  <c r="I43" i="19"/>
  <c r="J43" i="19"/>
  <c r="K43" i="19"/>
  <c r="K41" i="18"/>
  <c r="I41" i="18"/>
  <c r="J41" i="18"/>
  <c r="H42" i="18"/>
  <c r="J38" i="17"/>
  <c r="G40" i="17"/>
  <c r="I39" i="17"/>
  <c r="H39" i="17"/>
  <c r="J39" i="17" s="1"/>
  <c r="J39" i="16"/>
  <c r="G41" i="16"/>
  <c r="H40" i="16"/>
  <c r="I40" i="16"/>
  <c r="H45" i="15"/>
  <c r="I44" i="15"/>
  <c r="K44" i="15" s="1"/>
  <c r="J44" i="15"/>
  <c r="G42" i="14"/>
  <c r="I41" i="14"/>
  <c r="H41" i="14"/>
  <c r="L39" i="13"/>
  <c r="H41" i="13"/>
  <c r="J40" i="13"/>
  <c r="I40" i="13"/>
  <c r="K40" i="13"/>
  <c r="I42" i="12"/>
  <c r="H43" i="12"/>
  <c r="J42" i="12"/>
  <c r="K41" i="12"/>
  <c r="K43" i="11"/>
  <c r="H45" i="11"/>
  <c r="I44" i="11"/>
  <c r="J44" i="11"/>
  <c r="G43" i="10"/>
  <c r="I42" i="10"/>
  <c r="H42" i="10"/>
  <c r="J42" i="10" s="1"/>
  <c r="K62" i="9"/>
  <c r="H64" i="9"/>
  <c r="J63" i="9"/>
  <c r="I63" i="9"/>
  <c r="K63" i="9" s="1"/>
  <c r="H40" i="8"/>
  <c r="J39" i="8"/>
  <c r="I39" i="8"/>
  <c r="K39" i="8" s="1"/>
  <c r="I22" i="7"/>
  <c r="F20" i="7"/>
  <c r="G21" i="7"/>
  <c r="I21" i="7" s="1"/>
  <c r="H21" i="7"/>
  <c r="I87" i="7"/>
  <c r="F89" i="7"/>
  <c r="H88" i="7"/>
  <c r="G88" i="7"/>
  <c r="H70" i="6"/>
  <c r="J70" i="6" s="1"/>
  <c r="I69" i="6"/>
  <c r="K69" i="6" s="1"/>
  <c r="J25" i="5"/>
  <c r="G23" i="5"/>
  <c r="H24" i="5"/>
  <c r="I24" i="5"/>
  <c r="H189" i="5"/>
  <c r="G190" i="5"/>
  <c r="I189" i="5"/>
  <c r="J87" i="5"/>
  <c r="I88" i="5"/>
  <c r="H88" i="5"/>
  <c r="L38" i="4"/>
  <c r="I36" i="4"/>
  <c r="J37" i="4"/>
  <c r="K37" i="4"/>
  <c r="L104" i="4"/>
  <c r="I106" i="4"/>
  <c r="K105" i="4"/>
  <c r="J105" i="4"/>
  <c r="F41" i="1"/>
  <c r="G40" i="1"/>
  <c r="H40" i="1"/>
  <c r="G39" i="2"/>
  <c r="F39" i="2"/>
  <c r="E40" i="2"/>
  <c r="J41" i="14" l="1"/>
  <c r="AA46" i="20"/>
  <c r="L43" i="19"/>
  <c r="H45" i="19"/>
  <c r="I44" i="19"/>
  <c r="J44" i="19"/>
  <c r="K44" i="19"/>
  <c r="I42" i="18"/>
  <c r="K42" i="18"/>
  <c r="H43" i="18"/>
  <c r="J42" i="18"/>
  <c r="L41" i="18"/>
  <c r="G41" i="17"/>
  <c r="I40" i="17"/>
  <c r="H40" i="17"/>
  <c r="J40" i="17" s="1"/>
  <c r="J40" i="16"/>
  <c r="G42" i="16"/>
  <c r="H41" i="16"/>
  <c r="I41" i="16"/>
  <c r="H46" i="15"/>
  <c r="J45" i="15"/>
  <c r="I45" i="15"/>
  <c r="K45" i="15" s="1"/>
  <c r="G43" i="14"/>
  <c r="H42" i="14"/>
  <c r="J42" i="14" s="1"/>
  <c r="I42" i="14"/>
  <c r="L40" i="13"/>
  <c r="H42" i="13"/>
  <c r="I41" i="13"/>
  <c r="J41" i="13"/>
  <c r="K41" i="13"/>
  <c r="H44" i="12"/>
  <c r="J43" i="12"/>
  <c r="I43" i="12"/>
  <c r="K43" i="12" s="1"/>
  <c r="K42" i="12"/>
  <c r="K44" i="11"/>
  <c r="H46" i="11"/>
  <c r="J45" i="11"/>
  <c r="I45" i="11"/>
  <c r="K45" i="11" s="1"/>
  <c r="G44" i="10"/>
  <c r="I43" i="10"/>
  <c r="H43" i="10"/>
  <c r="J43" i="10" s="1"/>
  <c r="H65" i="9"/>
  <c r="I64" i="9"/>
  <c r="J64" i="9"/>
  <c r="H41" i="8"/>
  <c r="J40" i="8"/>
  <c r="I40" i="8"/>
  <c r="K40" i="8" s="1"/>
  <c r="F19" i="7"/>
  <c r="G20" i="7"/>
  <c r="H20" i="7"/>
  <c r="I88" i="7"/>
  <c r="F90" i="7"/>
  <c r="G89" i="7"/>
  <c r="H89" i="7"/>
  <c r="H71" i="6"/>
  <c r="J71" i="6" s="1"/>
  <c r="I70" i="6"/>
  <c r="K70" i="6" s="1"/>
  <c r="J24" i="5"/>
  <c r="J88" i="5"/>
  <c r="G22" i="5"/>
  <c r="H23" i="5"/>
  <c r="I23" i="5"/>
  <c r="G191" i="5"/>
  <c r="H190" i="5"/>
  <c r="I190" i="5"/>
  <c r="J189" i="5"/>
  <c r="I89" i="5"/>
  <c r="H89" i="5"/>
  <c r="L105" i="4"/>
  <c r="L37" i="4"/>
  <c r="I35" i="4"/>
  <c r="K36" i="4"/>
  <c r="J36" i="4"/>
  <c r="L36" i="4" s="1"/>
  <c r="I107" i="4"/>
  <c r="K106" i="4"/>
  <c r="J106" i="4"/>
  <c r="F42" i="1"/>
  <c r="H41" i="1"/>
  <c r="G41" i="1"/>
  <c r="G40" i="2"/>
  <c r="F40" i="2"/>
  <c r="E41" i="2"/>
  <c r="AA47" i="20" l="1"/>
  <c r="L44" i="19"/>
  <c r="H46" i="19"/>
  <c r="I45" i="19"/>
  <c r="J45" i="19"/>
  <c r="K45" i="19"/>
  <c r="K43" i="18"/>
  <c r="J43" i="18"/>
  <c r="I43" i="18"/>
  <c r="H44" i="18"/>
  <c r="L42" i="18"/>
  <c r="G42" i="17"/>
  <c r="I41" i="17"/>
  <c r="H41" i="17"/>
  <c r="J41" i="17" s="1"/>
  <c r="J41" i="16"/>
  <c r="G43" i="16"/>
  <c r="H42" i="16"/>
  <c r="I42" i="16"/>
  <c r="H47" i="15"/>
  <c r="J46" i="15"/>
  <c r="I46" i="15"/>
  <c r="K46" i="15" s="1"/>
  <c r="G44" i="14"/>
  <c r="I43" i="14"/>
  <c r="H43" i="14"/>
  <c r="J43" i="14" s="1"/>
  <c r="L41" i="13"/>
  <c r="H43" i="13"/>
  <c r="I42" i="13"/>
  <c r="K42" i="13"/>
  <c r="J42" i="13"/>
  <c r="I44" i="12"/>
  <c r="J44" i="12"/>
  <c r="H45" i="12"/>
  <c r="H47" i="11"/>
  <c r="I46" i="11"/>
  <c r="J46" i="11"/>
  <c r="G45" i="10"/>
  <c r="I44" i="10"/>
  <c r="H44" i="10"/>
  <c r="K64" i="9"/>
  <c r="H66" i="9"/>
  <c r="I65" i="9"/>
  <c r="J65" i="9"/>
  <c r="H42" i="8"/>
  <c r="I41" i="8"/>
  <c r="J41" i="8"/>
  <c r="I20" i="7"/>
  <c r="F18" i="7"/>
  <c r="G19" i="7"/>
  <c r="H19" i="7"/>
  <c r="I89" i="7"/>
  <c r="F91" i="7"/>
  <c r="G90" i="7"/>
  <c r="H90" i="7"/>
  <c r="H72" i="6"/>
  <c r="J72" i="6" s="1"/>
  <c r="I71" i="6"/>
  <c r="K71" i="6" s="1"/>
  <c r="J190" i="5"/>
  <c r="J89" i="5"/>
  <c r="J23" i="5"/>
  <c r="G21" i="5"/>
  <c r="I22" i="5"/>
  <c r="H22" i="5"/>
  <c r="G192" i="5"/>
  <c r="I191" i="5"/>
  <c r="H191" i="5"/>
  <c r="I90" i="5"/>
  <c r="H90" i="5"/>
  <c r="L106" i="4"/>
  <c r="I34" i="4"/>
  <c r="K35" i="4"/>
  <c r="J35" i="4"/>
  <c r="L35" i="4" s="1"/>
  <c r="I108" i="4"/>
  <c r="J107" i="4"/>
  <c r="K107" i="4"/>
  <c r="F43" i="1"/>
  <c r="H42" i="1"/>
  <c r="G42" i="1"/>
  <c r="F41" i="2"/>
  <c r="G41" i="2"/>
  <c r="E42" i="2"/>
  <c r="AA48" i="20" l="1"/>
  <c r="L45" i="19"/>
  <c r="H47" i="19"/>
  <c r="I46" i="19"/>
  <c r="J46" i="19"/>
  <c r="K46" i="19"/>
  <c r="J44" i="18"/>
  <c r="H45" i="18"/>
  <c r="K44" i="18"/>
  <c r="I44" i="18"/>
  <c r="L43" i="18"/>
  <c r="G43" i="17"/>
  <c r="H42" i="17"/>
  <c r="I42" i="17"/>
  <c r="J42" i="16"/>
  <c r="G44" i="16"/>
  <c r="H43" i="16"/>
  <c r="I43" i="16"/>
  <c r="I47" i="15"/>
  <c r="J47" i="15"/>
  <c r="G45" i="14"/>
  <c r="I44" i="14"/>
  <c r="H44" i="14"/>
  <c r="J44" i="14" s="1"/>
  <c r="L42" i="13"/>
  <c r="H44" i="13"/>
  <c r="J43" i="13"/>
  <c r="K43" i="13"/>
  <c r="I43" i="13"/>
  <c r="L43" i="13" s="1"/>
  <c r="K44" i="12"/>
  <c r="J45" i="12"/>
  <c r="H46" i="12"/>
  <c r="I45" i="12"/>
  <c r="K45" i="12" s="1"/>
  <c r="K46" i="11"/>
  <c r="H48" i="11"/>
  <c r="I47" i="11"/>
  <c r="J47" i="11"/>
  <c r="J44" i="10"/>
  <c r="G46" i="10"/>
  <c r="I45" i="10"/>
  <c r="H45" i="10"/>
  <c r="K65" i="9"/>
  <c r="H67" i="9"/>
  <c r="I66" i="9"/>
  <c r="J66" i="9"/>
  <c r="K41" i="8"/>
  <c r="H43" i="8"/>
  <c r="J42" i="8"/>
  <c r="I42" i="8"/>
  <c r="K42" i="8" s="1"/>
  <c r="I19" i="7"/>
  <c r="F17" i="7"/>
  <c r="G18" i="7"/>
  <c r="H18" i="7"/>
  <c r="I90" i="7"/>
  <c r="F92" i="7"/>
  <c r="G91" i="7"/>
  <c r="H91" i="7"/>
  <c r="H73" i="6"/>
  <c r="J73" i="6" s="1"/>
  <c r="I72" i="6"/>
  <c r="K72" i="6" s="1"/>
  <c r="J191" i="5"/>
  <c r="J22" i="5"/>
  <c r="G20" i="5"/>
  <c r="I21" i="5"/>
  <c r="H21" i="5"/>
  <c r="J21" i="5" s="1"/>
  <c r="J90" i="5"/>
  <c r="H192" i="5"/>
  <c r="I192" i="5"/>
  <c r="G193" i="5"/>
  <c r="H91" i="5"/>
  <c r="I91" i="5"/>
  <c r="I33" i="4"/>
  <c r="J34" i="4"/>
  <c r="L34" i="4" s="1"/>
  <c r="K34" i="4"/>
  <c r="L107" i="4"/>
  <c r="I109" i="4"/>
  <c r="J108" i="4"/>
  <c r="K108" i="4"/>
  <c r="F44" i="1"/>
  <c r="H43" i="1"/>
  <c r="G43" i="1"/>
  <c r="G42" i="2"/>
  <c r="F42" i="2"/>
  <c r="E43" i="2"/>
  <c r="AA49" i="20" l="1"/>
  <c r="L46" i="19"/>
  <c r="H48" i="19"/>
  <c r="J47" i="19"/>
  <c r="I47" i="19"/>
  <c r="K47" i="19"/>
  <c r="L44" i="18"/>
  <c r="K45" i="18"/>
  <c r="J45" i="18"/>
  <c r="I45" i="18"/>
  <c r="H46" i="18"/>
  <c r="J42" i="17"/>
  <c r="G44" i="17"/>
  <c r="I43" i="17"/>
  <c r="H43" i="17"/>
  <c r="J43" i="17" s="1"/>
  <c r="J43" i="16"/>
  <c r="G45" i="16"/>
  <c r="H44" i="16"/>
  <c r="I44" i="16"/>
  <c r="K47" i="15"/>
  <c r="G46" i="14"/>
  <c r="H45" i="14"/>
  <c r="I45" i="14"/>
  <c r="H45" i="13"/>
  <c r="K44" i="13"/>
  <c r="J44" i="13"/>
  <c r="I44" i="13"/>
  <c r="L44" i="13" s="1"/>
  <c r="I46" i="12"/>
  <c r="J46" i="12"/>
  <c r="H47" i="12"/>
  <c r="K47" i="11"/>
  <c r="H49" i="11"/>
  <c r="J48" i="11"/>
  <c r="I48" i="11"/>
  <c r="K48" i="11" s="1"/>
  <c r="J45" i="10"/>
  <c r="G47" i="10"/>
  <c r="I46" i="10"/>
  <c r="H46" i="10"/>
  <c r="J46" i="10" s="1"/>
  <c r="K66" i="9"/>
  <c r="H68" i="9"/>
  <c r="I67" i="9"/>
  <c r="J67" i="9"/>
  <c r="H44" i="8"/>
  <c r="I43" i="8"/>
  <c r="K43" i="8" s="1"/>
  <c r="J43" i="8"/>
  <c r="I18" i="7"/>
  <c r="F16" i="7"/>
  <c r="G17" i="7"/>
  <c r="I17" i="7" s="1"/>
  <c r="H17" i="7"/>
  <c r="I91" i="7"/>
  <c r="F93" i="7"/>
  <c r="G92" i="7"/>
  <c r="H92" i="7"/>
  <c r="H74" i="6"/>
  <c r="J74" i="6" s="1"/>
  <c r="I73" i="6"/>
  <c r="K73" i="6" s="1"/>
  <c r="G19" i="5"/>
  <c r="I20" i="5"/>
  <c r="H20" i="5"/>
  <c r="G194" i="5"/>
  <c r="H193" i="5"/>
  <c r="J193" i="5" s="1"/>
  <c r="I193" i="5"/>
  <c r="J192" i="5"/>
  <c r="J91" i="5"/>
  <c r="H92" i="5"/>
  <c r="I92" i="5"/>
  <c r="I32" i="4"/>
  <c r="J33" i="4"/>
  <c r="K33" i="4"/>
  <c r="L108" i="4"/>
  <c r="I110" i="4"/>
  <c r="J109" i="4"/>
  <c r="K109" i="4"/>
  <c r="F45" i="1"/>
  <c r="G44" i="1"/>
  <c r="H44" i="1"/>
  <c r="F43" i="2"/>
  <c r="G43" i="2"/>
  <c r="E44" i="2"/>
  <c r="J45" i="14" l="1"/>
  <c r="AA50" i="20"/>
  <c r="L47" i="19"/>
  <c r="H49" i="19"/>
  <c r="I48" i="19"/>
  <c r="L48" i="19" s="1"/>
  <c r="J48" i="19"/>
  <c r="K48" i="19"/>
  <c r="J46" i="18"/>
  <c r="K46" i="18"/>
  <c r="H47" i="18"/>
  <c r="I46" i="18"/>
  <c r="L46" i="18" s="1"/>
  <c r="L45" i="18"/>
  <c r="G45" i="17"/>
  <c r="H44" i="17"/>
  <c r="I44" i="17"/>
  <c r="J44" i="16"/>
  <c r="G46" i="16"/>
  <c r="H45" i="16"/>
  <c r="I45" i="16"/>
  <c r="H46" i="14"/>
  <c r="I46" i="14"/>
  <c r="G47" i="14"/>
  <c r="H46" i="13"/>
  <c r="I45" i="13"/>
  <c r="K45" i="13"/>
  <c r="J45" i="13"/>
  <c r="K46" i="12"/>
  <c r="I47" i="12"/>
  <c r="J47" i="12"/>
  <c r="H48" i="12"/>
  <c r="H50" i="11"/>
  <c r="J49" i="11"/>
  <c r="I49" i="11"/>
  <c r="K49" i="11" s="1"/>
  <c r="G48" i="10"/>
  <c r="I47" i="10"/>
  <c r="H47" i="10"/>
  <c r="J47" i="10" s="1"/>
  <c r="K67" i="9"/>
  <c r="H69" i="9"/>
  <c r="J68" i="9"/>
  <c r="I68" i="9"/>
  <c r="H45" i="8"/>
  <c r="I44" i="8"/>
  <c r="J44" i="8"/>
  <c r="F15" i="7"/>
  <c r="H16" i="7"/>
  <c r="G16" i="7"/>
  <c r="I92" i="7"/>
  <c r="F94" i="7"/>
  <c r="H93" i="7"/>
  <c r="G93" i="7"/>
  <c r="H75" i="6"/>
  <c r="J75" i="6" s="1"/>
  <c r="I74" i="6"/>
  <c r="K74" i="6" s="1"/>
  <c r="J20" i="5"/>
  <c r="G18" i="5"/>
  <c r="H19" i="5"/>
  <c r="I19" i="5"/>
  <c r="I194" i="5"/>
  <c r="G195" i="5"/>
  <c r="H194" i="5"/>
  <c r="J92" i="5"/>
  <c r="I93" i="5"/>
  <c r="H93" i="5"/>
  <c r="L33" i="4"/>
  <c r="I31" i="4"/>
  <c r="K32" i="4"/>
  <c r="J32" i="4"/>
  <c r="L32" i="4" s="1"/>
  <c r="L109" i="4"/>
  <c r="I111" i="4"/>
  <c r="J110" i="4"/>
  <c r="K110" i="4"/>
  <c r="F46" i="1"/>
  <c r="H45" i="1"/>
  <c r="G45" i="1"/>
  <c r="G44" i="2"/>
  <c r="F44" i="2"/>
  <c r="E45" i="2"/>
  <c r="AA51" i="20" l="1"/>
  <c r="I49" i="19"/>
  <c r="J49" i="19"/>
  <c r="K49" i="19"/>
  <c r="I47" i="18"/>
  <c r="J47" i="18"/>
  <c r="K47" i="18"/>
  <c r="H48" i="18"/>
  <c r="J44" i="17"/>
  <c r="G46" i="17"/>
  <c r="H45" i="17"/>
  <c r="I45" i="17"/>
  <c r="J45" i="16"/>
  <c r="G47" i="16"/>
  <c r="H46" i="16"/>
  <c r="I46" i="16"/>
  <c r="H47" i="14"/>
  <c r="I47" i="14"/>
  <c r="J46" i="14"/>
  <c r="L45" i="13"/>
  <c r="H47" i="13"/>
  <c r="K46" i="13"/>
  <c r="I46" i="13"/>
  <c r="J46" i="13"/>
  <c r="J48" i="12"/>
  <c r="I48" i="12"/>
  <c r="K48" i="12" s="1"/>
  <c r="K47" i="12"/>
  <c r="H51" i="11"/>
  <c r="I50" i="11"/>
  <c r="J50" i="11"/>
  <c r="I48" i="10"/>
  <c r="H48" i="10"/>
  <c r="K68" i="9"/>
  <c r="H70" i="9"/>
  <c r="J69" i="9"/>
  <c r="I69" i="9"/>
  <c r="K69" i="9" s="1"/>
  <c r="K44" i="8"/>
  <c r="H46" i="8"/>
  <c r="J45" i="8"/>
  <c r="I45" i="8"/>
  <c r="K45" i="8" s="1"/>
  <c r="I93" i="7"/>
  <c r="I16" i="7"/>
  <c r="F14" i="7"/>
  <c r="G15" i="7"/>
  <c r="H15" i="7"/>
  <c r="F95" i="7"/>
  <c r="G94" i="7"/>
  <c r="H94" i="7"/>
  <c r="H76" i="6"/>
  <c r="J76" i="6" s="1"/>
  <c r="I75" i="6"/>
  <c r="K75" i="6" s="1"/>
  <c r="J19" i="5"/>
  <c r="J194" i="5"/>
  <c r="G17" i="5"/>
  <c r="H18" i="5"/>
  <c r="I18" i="5"/>
  <c r="I195" i="5"/>
  <c r="H195" i="5"/>
  <c r="G196" i="5"/>
  <c r="J93" i="5"/>
  <c r="H94" i="5"/>
  <c r="I94" i="5"/>
  <c r="I30" i="4"/>
  <c r="J31" i="4"/>
  <c r="L31" i="4" s="1"/>
  <c r="K31" i="4"/>
  <c r="L110" i="4"/>
  <c r="I112" i="4"/>
  <c r="K111" i="4"/>
  <c r="J111" i="4"/>
  <c r="L111" i="4" s="1"/>
  <c r="F47" i="1"/>
  <c r="H46" i="1"/>
  <c r="G46" i="1"/>
  <c r="G45" i="2"/>
  <c r="F45" i="2"/>
  <c r="E46" i="2"/>
  <c r="L49" i="19" l="1"/>
  <c r="J48" i="18"/>
  <c r="I48" i="18"/>
  <c r="K48" i="18"/>
  <c r="L47" i="18"/>
  <c r="J45" i="17"/>
  <c r="G47" i="17"/>
  <c r="I46" i="17"/>
  <c r="H46" i="17"/>
  <c r="J46" i="17" s="1"/>
  <c r="J46" i="16"/>
  <c r="G48" i="16"/>
  <c r="H47" i="16"/>
  <c r="I47" i="16"/>
  <c r="J47" i="14"/>
  <c r="L46" i="13"/>
  <c r="H48" i="13"/>
  <c r="J47" i="13"/>
  <c r="K47" i="13"/>
  <c r="I47" i="13"/>
  <c r="L47" i="13" s="1"/>
  <c r="K50" i="11"/>
  <c r="H52" i="11"/>
  <c r="I51" i="11"/>
  <c r="J51" i="11"/>
  <c r="J48" i="10"/>
  <c r="H71" i="9"/>
  <c r="I70" i="9"/>
  <c r="J70" i="9"/>
  <c r="H47" i="8"/>
  <c r="J46" i="8"/>
  <c r="I46" i="8"/>
  <c r="K46" i="8" s="1"/>
  <c r="I15" i="7"/>
  <c r="F13" i="7"/>
  <c r="H14" i="7"/>
  <c r="G14" i="7"/>
  <c r="I14" i="7" s="1"/>
  <c r="I94" i="7"/>
  <c r="F96" i="7"/>
  <c r="H95" i="7"/>
  <c r="G95" i="7"/>
  <c r="H77" i="6"/>
  <c r="J77" i="6" s="1"/>
  <c r="I76" i="6"/>
  <c r="K76" i="6" s="1"/>
  <c r="J195" i="5"/>
  <c r="J18" i="5"/>
  <c r="G16" i="5"/>
  <c r="I17" i="5"/>
  <c r="H17" i="5"/>
  <c r="G197" i="5"/>
  <c r="I196" i="5"/>
  <c r="H196" i="5"/>
  <c r="J94" i="5"/>
  <c r="I95" i="5"/>
  <c r="H95" i="5"/>
  <c r="J30" i="4"/>
  <c r="K30" i="4"/>
  <c r="I113" i="4"/>
  <c r="J112" i="4"/>
  <c r="K112" i="4"/>
  <c r="F48" i="1"/>
  <c r="H47" i="1"/>
  <c r="G47" i="1"/>
  <c r="F46" i="2"/>
  <c r="G46" i="2"/>
  <c r="E47" i="2"/>
  <c r="L48" i="18" l="1"/>
  <c r="G48" i="17"/>
  <c r="H47" i="17"/>
  <c r="I47" i="17"/>
  <c r="J47" i="16"/>
  <c r="G49" i="16"/>
  <c r="I48" i="16"/>
  <c r="H48" i="16"/>
  <c r="J48" i="16" s="1"/>
  <c r="H49" i="13"/>
  <c r="I48" i="13"/>
  <c r="K48" i="13"/>
  <c r="J48" i="13"/>
  <c r="K51" i="11"/>
  <c r="H53" i="11"/>
  <c r="I52" i="11"/>
  <c r="J52" i="11"/>
  <c r="K70" i="9"/>
  <c r="H72" i="9"/>
  <c r="I71" i="9"/>
  <c r="J71" i="9"/>
  <c r="H48" i="8"/>
  <c r="J47" i="8"/>
  <c r="I47" i="8"/>
  <c r="F12" i="7"/>
  <c r="G13" i="7"/>
  <c r="I13" i="7" s="1"/>
  <c r="H13" i="7"/>
  <c r="I95" i="7"/>
  <c r="F97" i="7"/>
  <c r="H96" i="7"/>
  <c r="G96" i="7"/>
  <c r="H78" i="6"/>
  <c r="J78" i="6" s="1"/>
  <c r="I77" i="6"/>
  <c r="K77" i="6" s="1"/>
  <c r="J196" i="5"/>
  <c r="J17" i="5"/>
  <c r="G15" i="5"/>
  <c r="H16" i="5"/>
  <c r="I16" i="5"/>
  <c r="I197" i="5"/>
  <c r="H197" i="5"/>
  <c r="J197" i="5" s="1"/>
  <c r="G198" i="5"/>
  <c r="J95" i="5"/>
  <c r="I96" i="5"/>
  <c r="H96" i="5"/>
  <c r="L30" i="4"/>
  <c r="L112" i="4"/>
  <c r="I114" i="4"/>
  <c r="J113" i="4"/>
  <c r="K113" i="4"/>
  <c r="F49" i="1"/>
  <c r="G48" i="1"/>
  <c r="H48" i="1"/>
  <c r="G47" i="2"/>
  <c r="F47" i="2"/>
  <c r="E48" i="2"/>
  <c r="J47" i="17" l="1"/>
  <c r="G49" i="17"/>
  <c r="H48" i="17"/>
  <c r="I48" i="17"/>
  <c r="G50" i="16"/>
  <c r="I49" i="16"/>
  <c r="H49" i="16"/>
  <c r="J49" i="16" s="1"/>
  <c r="L48" i="13"/>
  <c r="H50" i="13"/>
  <c r="I49" i="13"/>
  <c r="J49" i="13"/>
  <c r="K49" i="13"/>
  <c r="K52" i="11"/>
  <c r="H54" i="11"/>
  <c r="I53" i="11"/>
  <c r="J53" i="11"/>
  <c r="K71" i="9"/>
  <c r="H73" i="9"/>
  <c r="I72" i="9"/>
  <c r="J72" i="9"/>
  <c r="K47" i="8"/>
  <c r="H49" i="8"/>
  <c r="J48" i="8"/>
  <c r="I48" i="8"/>
  <c r="K48" i="8" s="1"/>
  <c r="F11" i="7"/>
  <c r="G12" i="7"/>
  <c r="H12" i="7"/>
  <c r="I96" i="7"/>
  <c r="F98" i="7"/>
  <c r="G97" i="7"/>
  <c r="H97" i="7"/>
  <c r="H79" i="6"/>
  <c r="J79" i="6" s="1"/>
  <c r="I78" i="6"/>
  <c r="K78" i="6" s="1"/>
  <c r="J16" i="5"/>
  <c r="J96" i="5"/>
  <c r="G14" i="5"/>
  <c r="H15" i="5"/>
  <c r="I15" i="5"/>
  <c r="G199" i="5"/>
  <c r="H198" i="5"/>
  <c r="I198" i="5"/>
  <c r="I97" i="5"/>
  <c r="H97" i="5"/>
  <c r="L113" i="4"/>
  <c r="I115" i="4"/>
  <c r="J114" i="4"/>
  <c r="K114" i="4"/>
  <c r="F50" i="1"/>
  <c r="G49" i="1"/>
  <c r="H49" i="1"/>
  <c r="G48" i="2"/>
  <c r="F48" i="2"/>
  <c r="E49" i="2"/>
  <c r="J48" i="17" l="1"/>
  <c r="G50" i="17"/>
  <c r="I49" i="17"/>
  <c r="H49" i="17"/>
  <c r="J49" i="17" s="1"/>
  <c r="G51" i="16"/>
  <c r="H50" i="16"/>
  <c r="J50" i="16" s="1"/>
  <c r="I50" i="16"/>
  <c r="L49" i="13"/>
  <c r="H51" i="13"/>
  <c r="I50" i="13"/>
  <c r="J50" i="13"/>
  <c r="K50" i="13"/>
  <c r="H55" i="11"/>
  <c r="I54" i="11"/>
  <c r="K54" i="11" s="1"/>
  <c r="J54" i="11"/>
  <c r="K53" i="11"/>
  <c r="K72" i="9"/>
  <c r="H74" i="9"/>
  <c r="J73" i="9"/>
  <c r="I73" i="9"/>
  <c r="K73" i="9" s="1"/>
  <c r="H50" i="8"/>
  <c r="J49" i="8"/>
  <c r="I49" i="8"/>
  <c r="K49" i="8" s="1"/>
  <c r="I12" i="7"/>
  <c r="F10" i="7"/>
  <c r="G11" i="7"/>
  <c r="H11" i="7"/>
  <c r="I97" i="7"/>
  <c r="F99" i="7"/>
  <c r="G98" i="7"/>
  <c r="H98" i="7"/>
  <c r="H80" i="6"/>
  <c r="J80" i="6" s="1"/>
  <c r="I79" i="6"/>
  <c r="K79" i="6" s="1"/>
  <c r="J198" i="5"/>
  <c r="J15" i="5"/>
  <c r="G13" i="5"/>
  <c r="H14" i="5"/>
  <c r="I14" i="5"/>
  <c r="J97" i="5"/>
  <c r="G200" i="5"/>
  <c r="I199" i="5"/>
  <c r="H199" i="5"/>
  <c r="H98" i="5"/>
  <c r="I98" i="5"/>
  <c r="L114" i="4"/>
  <c r="I116" i="4"/>
  <c r="K115" i="4"/>
  <c r="J115" i="4"/>
  <c r="F51" i="1"/>
  <c r="G50" i="1"/>
  <c r="H50" i="1"/>
  <c r="F49" i="2"/>
  <c r="G49" i="2"/>
  <c r="E50" i="2"/>
  <c r="G51" i="17" l="1"/>
  <c r="H50" i="17"/>
  <c r="J50" i="17" s="1"/>
  <c r="I50" i="17"/>
  <c r="G52" i="16"/>
  <c r="H51" i="16"/>
  <c r="I51" i="16"/>
  <c r="H52" i="13"/>
  <c r="K51" i="13"/>
  <c r="J51" i="13"/>
  <c r="I51" i="13"/>
  <c r="L51" i="13" s="1"/>
  <c r="L50" i="13"/>
  <c r="H56" i="11"/>
  <c r="J55" i="11"/>
  <c r="I55" i="11"/>
  <c r="K55" i="11" s="1"/>
  <c r="H75" i="9"/>
  <c r="I74" i="9"/>
  <c r="J74" i="9"/>
  <c r="H51" i="8"/>
  <c r="J50" i="8"/>
  <c r="I50" i="8"/>
  <c r="K50" i="8" s="1"/>
  <c r="F9" i="7"/>
  <c r="G10" i="7"/>
  <c r="H10" i="7"/>
  <c r="I11" i="7"/>
  <c r="I98" i="7"/>
  <c r="F100" i="7"/>
  <c r="G99" i="7"/>
  <c r="H99" i="7"/>
  <c r="H81" i="6"/>
  <c r="J81" i="6" s="1"/>
  <c r="I80" i="6"/>
  <c r="K80" i="6" s="1"/>
  <c r="J199" i="5"/>
  <c r="J14" i="5"/>
  <c r="G12" i="5"/>
  <c r="H13" i="5"/>
  <c r="I13" i="5"/>
  <c r="G201" i="5"/>
  <c r="H200" i="5"/>
  <c r="I200" i="5"/>
  <c r="J98" i="5"/>
  <c r="H99" i="5"/>
  <c r="I99" i="5"/>
  <c r="L115" i="4"/>
  <c r="I117" i="4"/>
  <c r="J116" i="4"/>
  <c r="K116" i="4"/>
  <c r="F52" i="1"/>
  <c r="G51" i="1"/>
  <c r="H51" i="1"/>
  <c r="G50" i="2"/>
  <c r="F50" i="2"/>
  <c r="E51" i="2"/>
  <c r="G52" i="17" l="1"/>
  <c r="H51" i="17"/>
  <c r="I51" i="17"/>
  <c r="J51" i="16"/>
  <c r="G53" i="16"/>
  <c r="H52" i="16"/>
  <c r="J52" i="16" s="1"/>
  <c r="I52" i="16"/>
  <c r="H53" i="13"/>
  <c r="K52" i="13"/>
  <c r="I52" i="13"/>
  <c r="J52" i="13"/>
  <c r="H57" i="11"/>
  <c r="I56" i="11"/>
  <c r="J56" i="11"/>
  <c r="K74" i="9"/>
  <c r="H76" i="9"/>
  <c r="J75" i="9"/>
  <c r="I75" i="9"/>
  <c r="K75" i="9" s="1"/>
  <c r="H52" i="8"/>
  <c r="I51" i="8"/>
  <c r="J51" i="8"/>
  <c r="F8" i="7"/>
  <c r="G9" i="7"/>
  <c r="I9" i="7" s="1"/>
  <c r="H9" i="7"/>
  <c r="I10" i="7"/>
  <c r="I99" i="7"/>
  <c r="F101" i="7"/>
  <c r="G100" i="7"/>
  <c r="H100" i="7"/>
  <c r="H82" i="6"/>
  <c r="J82" i="6" s="1"/>
  <c r="I81" i="6"/>
  <c r="K81" i="6" s="1"/>
  <c r="J200" i="5"/>
  <c r="J13" i="5"/>
  <c r="G11" i="5"/>
  <c r="H12" i="5"/>
  <c r="I12" i="5"/>
  <c r="G202" i="5"/>
  <c r="I201" i="5"/>
  <c r="H201" i="5"/>
  <c r="J201" i="5" s="1"/>
  <c r="J99" i="5"/>
  <c r="H100" i="5"/>
  <c r="I100" i="5"/>
  <c r="L116" i="4"/>
  <c r="I118" i="4"/>
  <c r="K117" i="4"/>
  <c r="J117" i="4"/>
  <c r="F53" i="1"/>
  <c r="G52" i="1"/>
  <c r="H52" i="1"/>
  <c r="F51" i="2"/>
  <c r="G51" i="2"/>
  <c r="E52" i="2"/>
  <c r="G53" i="17" l="1"/>
  <c r="I52" i="17"/>
  <c r="H52" i="17"/>
  <c r="J51" i="17"/>
  <c r="G54" i="16"/>
  <c r="H53" i="16"/>
  <c r="I53" i="16"/>
  <c r="L52" i="13"/>
  <c r="H54" i="13"/>
  <c r="I53" i="13"/>
  <c r="K53" i="13"/>
  <c r="J53" i="13"/>
  <c r="K56" i="11"/>
  <c r="H58" i="11"/>
  <c r="I57" i="11"/>
  <c r="J57" i="11"/>
  <c r="H77" i="9"/>
  <c r="J76" i="9"/>
  <c r="I76" i="9"/>
  <c r="K76" i="9" s="1"/>
  <c r="K51" i="8"/>
  <c r="H53" i="8"/>
  <c r="I52" i="8"/>
  <c r="K52" i="8" s="1"/>
  <c r="J52" i="8"/>
  <c r="F7" i="7"/>
  <c r="H8" i="7"/>
  <c r="G8" i="7"/>
  <c r="I8" i="7" s="1"/>
  <c r="I100" i="7"/>
  <c r="F102" i="7"/>
  <c r="G101" i="7"/>
  <c r="H101" i="7"/>
  <c r="H83" i="6"/>
  <c r="J83" i="6" s="1"/>
  <c r="I82" i="6"/>
  <c r="K82" i="6" s="1"/>
  <c r="J12" i="5"/>
  <c r="G10" i="5"/>
  <c r="H11" i="5"/>
  <c r="I11" i="5"/>
  <c r="G203" i="5"/>
  <c r="I202" i="5"/>
  <c r="H202" i="5"/>
  <c r="J202" i="5" s="1"/>
  <c r="J100" i="5"/>
  <c r="H101" i="5"/>
  <c r="I101" i="5"/>
  <c r="L117" i="4"/>
  <c r="I119" i="4"/>
  <c r="J118" i="4"/>
  <c r="K118" i="4"/>
  <c r="F54" i="1"/>
  <c r="H53" i="1"/>
  <c r="G53" i="1"/>
  <c r="G52" i="2"/>
  <c r="F52" i="2"/>
  <c r="E53" i="2"/>
  <c r="J52" i="17" l="1"/>
  <c r="G54" i="17"/>
  <c r="H53" i="17"/>
  <c r="I53" i="17"/>
  <c r="J53" i="16"/>
  <c r="G55" i="16"/>
  <c r="I54" i="16"/>
  <c r="H54" i="16"/>
  <c r="H55" i="13"/>
  <c r="K54" i="13"/>
  <c r="I54" i="13"/>
  <c r="J54" i="13"/>
  <c r="L53" i="13"/>
  <c r="H59" i="11"/>
  <c r="J58" i="11"/>
  <c r="I58" i="11"/>
  <c r="K58" i="11" s="1"/>
  <c r="K57" i="11"/>
  <c r="H78" i="9"/>
  <c r="J77" i="9"/>
  <c r="I77" i="9"/>
  <c r="K77" i="9" s="1"/>
  <c r="H54" i="8"/>
  <c r="J53" i="8"/>
  <c r="I53" i="8"/>
  <c r="K53" i="8" s="1"/>
  <c r="F6" i="7"/>
  <c r="H7" i="7"/>
  <c r="G7" i="7"/>
  <c r="I101" i="7"/>
  <c r="F103" i="7"/>
  <c r="G102" i="7"/>
  <c r="H102" i="7"/>
  <c r="H84" i="6"/>
  <c r="J84" i="6" s="1"/>
  <c r="I83" i="6"/>
  <c r="K83" i="6" s="1"/>
  <c r="J11" i="5"/>
  <c r="J101" i="5"/>
  <c r="G9" i="5"/>
  <c r="H10" i="5"/>
  <c r="I10" i="5"/>
  <c r="H203" i="5"/>
  <c r="I203" i="5"/>
  <c r="G204" i="5"/>
  <c r="I102" i="5"/>
  <c r="H102" i="5"/>
  <c r="L118" i="4"/>
  <c r="J119" i="4"/>
  <c r="K119" i="4"/>
  <c r="L119" i="4" s="1"/>
  <c r="I120" i="4"/>
  <c r="F55" i="1"/>
  <c r="H54" i="1"/>
  <c r="G54" i="1"/>
  <c r="F53" i="2"/>
  <c r="G53" i="2"/>
  <c r="E54" i="2"/>
  <c r="J53" i="17" l="1"/>
  <c r="G55" i="17"/>
  <c r="H54" i="17"/>
  <c r="I54" i="17"/>
  <c r="J54" i="16"/>
  <c r="G56" i="16"/>
  <c r="H55" i="16"/>
  <c r="J55" i="16" s="1"/>
  <c r="I55" i="16"/>
  <c r="L54" i="13"/>
  <c r="H56" i="13"/>
  <c r="I55" i="13"/>
  <c r="J55" i="13"/>
  <c r="K55" i="13"/>
  <c r="H60" i="11"/>
  <c r="I59" i="11"/>
  <c r="K59" i="11" s="1"/>
  <c r="J59" i="11"/>
  <c r="H79" i="9"/>
  <c r="I78" i="9"/>
  <c r="J78" i="9"/>
  <c r="H55" i="8"/>
  <c r="J54" i="8"/>
  <c r="I54" i="8"/>
  <c r="K54" i="8" s="1"/>
  <c r="I7" i="7"/>
  <c r="F5" i="7"/>
  <c r="G6" i="7"/>
  <c r="H6" i="7"/>
  <c r="I102" i="7"/>
  <c r="F104" i="7"/>
  <c r="H103" i="7"/>
  <c r="G103" i="7"/>
  <c r="H85" i="6"/>
  <c r="J85" i="6" s="1"/>
  <c r="I84" i="6"/>
  <c r="K84" i="6" s="1"/>
  <c r="J203" i="5"/>
  <c r="J10" i="5"/>
  <c r="G8" i="5"/>
  <c r="H9" i="5"/>
  <c r="I9" i="5"/>
  <c r="G205" i="5"/>
  <c r="H204" i="5"/>
  <c r="I204" i="5"/>
  <c r="J102" i="5"/>
  <c r="H103" i="5"/>
  <c r="I103" i="5"/>
  <c r="I121" i="4"/>
  <c r="J120" i="4"/>
  <c r="K120" i="4"/>
  <c r="F56" i="1"/>
  <c r="H55" i="1"/>
  <c r="G55" i="1"/>
  <c r="G54" i="2"/>
  <c r="F54" i="2"/>
  <c r="E55" i="2"/>
  <c r="J54" i="17" l="1"/>
  <c r="G56" i="17"/>
  <c r="I55" i="17"/>
  <c r="H55" i="17"/>
  <c r="J55" i="17" s="1"/>
  <c r="G57" i="16"/>
  <c r="H56" i="16"/>
  <c r="J56" i="16" s="1"/>
  <c r="I56" i="16"/>
  <c r="L55" i="13"/>
  <c r="H57" i="13"/>
  <c r="I56" i="13"/>
  <c r="K56" i="13"/>
  <c r="J56" i="13"/>
  <c r="H61" i="11"/>
  <c r="I60" i="11"/>
  <c r="J60" i="11"/>
  <c r="K78" i="9"/>
  <c r="H80" i="9"/>
  <c r="I79" i="9"/>
  <c r="J79" i="9"/>
  <c r="H56" i="8"/>
  <c r="J55" i="8"/>
  <c r="I55" i="8"/>
  <c r="K55" i="8" s="1"/>
  <c r="I6" i="7"/>
  <c r="G5" i="7"/>
  <c r="I5" i="7" s="1"/>
  <c r="H5" i="7"/>
  <c r="I103" i="7"/>
  <c r="F105" i="7"/>
  <c r="H104" i="7"/>
  <c r="G104" i="7"/>
  <c r="H86" i="6"/>
  <c r="J86" i="6" s="1"/>
  <c r="I85" i="6"/>
  <c r="K85" i="6" s="1"/>
  <c r="J9" i="5"/>
  <c r="G7" i="5"/>
  <c r="H8" i="5"/>
  <c r="I8" i="5"/>
  <c r="J204" i="5"/>
  <c r="H205" i="5"/>
  <c r="I205" i="5"/>
  <c r="G206" i="5"/>
  <c r="J103" i="5"/>
  <c r="I104" i="5"/>
  <c r="H104" i="5"/>
  <c r="J104" i="5" s="1"/>
  <c r="L120" i="4"/>
  <c r="I122" i="4"/>
  <c r="J121" i="4"/>
  <c r="K121" i="4"/>
  <c r="F57" i="1"/>
  <c r="H56" i="1"/>
  <c r="G56" i="1"/>
  <c r="G55" i="2"/>
  <c r="F55" i="2"/>
  <c r="E56" i="2"/>
  <c r="G57" i="17" l="1"/>
  <c r="H56" i="17"/>
  <c r="I56" i="17"/>
  <c r="G58" i="16"/>
  <c r="H57" i="16"/>
  <c r="I57" i="16"/>
  <c r="L56" i="13"/>
  <c r="H58" i="13"/>
  <c r="I57" i="13"/>
  <c r="J57" i="13"/>
  <c r="K57" i="13"/>
  <c r="K60" i="11"/>
  <c r="H62" i="11"/>
  <c r="J61" i="11"/>
  <c r="I61" i="11"/>
  <c r="K61" i="11" s="1"/>
  <c r="K79" i="9"/>
  <c r="I80" i="9"/>
  <c r="J80" i="9"/>
  <c r="H57" i="8"/>
  <c r="J56" i="8"/>
  <c r="I56" i="8"/>
  <c r="F106" i="7"/>
  <c r="G105" i="7"/>
  <c r="H105" i="7"/>
  <c r="I104" i="7"/>
  <c r="H87" i="6"/>
  <c r="J87" i="6" s="1"/>
  <c r="I86" i="6"/>
  <c r="K86" i="6" s="1"/>
  <c r="J205" i="5"/>
  <c r="J8" i="5"/>
  <c r="G6" i="5"/>
  <c r="H7" i="5"/>
  <c r="I7" i="5"/>
  <c r="G207" i="5"/>
  <c r="H206" i="5"/>
  <c r="I206" i="5"/>
  <c r="H105" i="5"/>
  <c r="I105" i="5"/>
  <c r="L121" i="4"/>
  <c r="I123" i="4"/>
  <c r="K122" i="4"/>
  <c r="J122" i="4"/>
  <c r="L122" i="4" s="1"/>
  <c r="F58" i="1"/>
  <c r="H57" i="1"/>
  <c r="G57" i="1"/>
  <c r="G56" i="2"/>
  <c r="F56" i="2"/>
  <c r="E57" i="2"/>
  <c r="J56" i="17" l="1"/>
  <c r="G58" i="17"/>
  <c r="H57" i="17"/>
  <c r="I57" i="17"/>
  <c r="J57" i="16"/>
  <c r="G59" i="16"/>
  <c r="H58" i="16"/>
  <c r="J58" i="16" s="1"/>
  <c r="I58" i="16"/>
  <c r="L57" i="13"/>
  <c r="H59" i="13"/>
  <c r="I58" i="13"/>
  <c r="K58" i="13"/>
  <c r="J58" i="13"/>
  <c r="H63" i="11"/>
  <c r="I62" i="11"/>
  <c r="J62" i="11"/>
  <c r="K80" i="9"/>
  <c r="K56" i="8"/>
  <c r="H58" i="8"/>
  <c r="I57" i="8"/>
  <c r="K57" i="8" s="1"/>
  <c r="J57" i="8"/>
  <c r="I105" i="7"/>
  <c r="F107" i="7"/>
  <c r="G106" i="7"/>
  <c r="H106" i="7"/>
  <c r="H88" i="6"/>
  <c r="J88" i="6" s="1"/>
  <c r="I87" i="6"/>
  <c r="K87" i="6" s="1"/>
  <c r="J7" i="5"/>
  <c r="G5" i="5"/>
  <c r="H6" i="5"/>
  <c r="I6" i="5"/>
  <c r="J206" i="5"/>
  <c r="H207" i="5"/>
  <c r="I207" i="5"/>
  <c r="J105" i="5"/>
  <c r="H106" i="5"/>
  <c r="I106" i="5"/>
  <c r="I124" i="4"/>
  <c r="K123" i="4"/>
  <c r="J123" i="4"/>
  <c r="F59" i="1"/>
  <c r="H58" i="1"/>
  <c r="G58" i="1"/>
  <c r="F57" i="2"/>
  <c r="G57" i="2"/>
  <c r="E58" i="2"/>
  <c r="J57" i="17" l="1"/>
  <c r="G59" i="17"/>
  <c r="I58" i="17"/>
  <c r="H58" i="17"/>
  <c r="J58" i="17" s="1"/>
  <c r="G60" i="16"/>
  <c r="H59" i="16"/>
  <c r="I59" i="16"/>
  <c r="L58" i="13"/>
  <c r="H60" i="13"/>
  <c r="K59" i="13"/>
  <c r="I59" i="13"/>
  <c r="J59" i="13"/>
  <c r="K62" i="11"/>
  <c r="H64" i="11"/>
  <c r="I63" i="11"/>
  <c r="J63" i="11"/>
  <c r="H59" i="8"/>
  <c r="J58" i="8"/>
  <c r="I58" i="8"/>
  <c r="K58" i="8" s="1"/>
  <c r="I106" i="7"/>
  <c r="F108" i="7"/>
  <c r="G107" i="7"/>
  <c r="H107" i="7"/>
  <c r="H89" i="6"/>
  <c r="J89" i="6" s="1"/>
  <c r="I88" i="6"/>
  <c r="K88" i="6" s="1"/>
  <c r="J6" i="5"/>
  <c r="H5" i="5"/>
  <c r="I5" i="5"/>
  <c r="J207" i="5"/>
  <c r="J106" i="5"/>
  <c r="H107" i="5"/>
  <c r="I107" i="5"/>
  <c r="L123" i="4"/>
  <c r="I125" i="4"/>
  <c r="J124" i="4"/>
  <c r="K124" i="4"/>
  <c r="F60" i="1"/>
  <c r="G59" i="1"/>
  <c r="H59" i="1"/>
  <c r="G58" i="2"/>
  <c r="F58" i="2"/>
  <c r="E59" i="2"/>
  <c r="G60" i="17" l="1"/>
  <c r="H59" i="17"/>
  <c r="J59" i="17" s="1"/>
  <c r="I59" i="17"/>
  <c r="J59" i="16"/>
  <c r="G61" i="16"/>
  <c r="H60" i="16"/>
  <c r="I60" i="16"/>
  <c r="L59" i="13"/>
  <c r="H61" i="13"/>
  <c r="K60" i="13"/>
  <c r="I60" i="13"/>
  <c r="J60" i="13"/>
  <c r="H65" i="11"/>
  <c r="J64" i="11"/>
  <c r="I64" i="11"/>
  <c r="K63" i="11"/>
  <c r="H60" i="8"/>
  <c r="I59" i="8"/>
  <c r="J59" i="8"/>
  <c r="I107" i="7"/>
  <c r="F109" i="7"/>
  <c r="H108" i="7"/>
  <c r="G108" i="7"/>
  <c r="H90" i="6"/>
  <c r="J90" i="6" s="1"/>
  <c r="I89" i="6"/>
  <c r="K89" i="6" s="1"/>
  <c r="J107" i="5"/>
  <c r="J5" i="5"/>
  <c r="H108" i="5"/>
  <c r="I108" i="5"/>
  <c r="L124" i="4"/>
  <c r="I126" i="4"/>
  <c r="K125" i="4"/>
  <c r="J125" i="4"/>
  <c r="L125" i="4" s="1"/>
  <c r="F61" i="1"/>
  <c r="G60" i="1"/>
  <c r="H60" i="1"/>
  <c r="F59" i="2"/>
  <c r="G59" i="2"/>
  <c r="E60" i="2"/>
  <c r="G61" i="17" l="1"/>
  <c r="H60" i="17"/>
  <c r="J60" i="17" s="1"/>
  <c r="I60" i="17"/>
  <c r="J60" i="16"/>
  <c r="G62" i="16"/>
  <c r="I61" i="16"/>
  <c r="H61" i="16"/>
  <c r="J61" i="16" s="1"/>
  <c r="L60" i="13"/>
  <c r="H62" i="13"/>
  <c r="I61" i="13"/>
  <c r="K61" i="13"/>
  <c r="J61" i="13"/>
  <c r="K64" i="11"/>
  <c r="H66" i="11"/>
  <c r="I65" i="11"/>
  <c r="J65" i="11"/>
  <c r="K59" i="8"/>
  <c r="H61" i="8"/>
  <c r="I60" i="8"/>
  <c r="J60" i="8"/>
  <c r="F110" i="7"/>
  <c r="H109" i="7"/>
  <c r="G109" i="7"/>
  <c r="I108" i="7"/>
  <c r="H91" i="6"/>
  <c r="J91" i="6" s="1"/>
  <c r="I90" i="6"/>
  <c r="K90" i="6" s="1"/>
  <c r="J108" i="5"/>
  <c r="H109" i="5"/>
  <c r="I109" i="5"/>
  <c r="I127" i="4"/>
  <c r="J126" i="4"/>
  <c r="K126" i="4"/>
  <c r="F62" i="1"/>
  <c r="H61" i="1"/>
  <c r="G61" i="1"/>
  <c r="G60" i="2"/>
  <c r="F60" i="2"/>
  <c r="E61" i="2"/>
  <c r="G62" i="17" l="1"/>
  <c r="H61" i="17"/>
  <c r="I61" i="17"/>
  <c r="G63" i="16"/>
  <c r="H62" i="16"/>
  <c r="I62" i="16"/>
  <c r="L61" i="13"/>
  <c r="H63" i="13"/>
  <c r="K62" i="13"/>
  <c r="I62" i="13"/>
  <c r="L62" i="13" s="1"/>
  <c r="J62" i="13"/>
  <c r="K65" i="11"/>
  <c r="H67" i="11"/>
  <c r="J66" i="11"/>
  <c r="I66" i="11"/>
  <c r="K66" i="11" s="1"/>
  <c r="K60" i="8"/>
  <c r="H62" i="8"/>
  <c r="J61" i="8"/>
  <c r="I61" i="8"/>
  <c r="K61" i="8" s="1"/>
  <c r="I109" i="7"/>
  <c r="F111" i="7"/>
  <c r="H110" i="7"/>
  <c r="G110" i="7"/>
  <c r="H92" i="6"/>
  <c r="J92" i="6" s="1"/>
  <c r="I91" i="6"/>
  <c r="K91" i="6" s="1"/>
  <c r="J109" i="5"/>
  <c r="I110" i="5"/>
  <c r="H110" i="5"/>
  <c r="L126" i="4"/>
  <c r="I128" i="4"/>
  <c r="J127" i="4"/>
  <c r="K127" i="4"/>
  <c r="F63" i="1"/>
  <c r="H62" i="1"/>
  <c r="G62" i="1"/>
  <c r="G61" i="2"/>
  <c r="F61" i="2"/>
  <c r="E62" i="2"/>
  <c r="J61" i="17" l="1"/>
  <c r="G63" i="17"/>
  <c r="H62" i="17"/>
  <c r="I62" i="17"/>
  <c r="J62" i="16"/>
  <c r="G64" i="16"/>
  <c r="H63" i="16"/>
  <c r="I63" i="16"/>
  <c r="H64" i="13"/>
  <c r="K63" i="13"/>
  <c r="I63" i="13"/>
  <c r="J63" i="13"/>
  <c r="H68" i="11"/>
  <c r="I67" i="11"/>
  <c r="J67" i="11"/>
  <c r="H63" i="8"/>
  <c r="J62" i="8"/>
  <c r="I62" i="8"/>
  <c r="K62" i="8" s="1"/>
  <c r="I110" i="7"/>
  <c r="F112" i="7"/>
  <c r="H111" i="7"/>
  <c r="G111" i="7"/>
  <c r="H93" i="6"/>
  <c r="J93" i="6" s="1"/>
  <c r="I92" i="6"/>
  <c r="K92" i="6" s="1"/>
  <c r="J110" i="5"/>
  <c r="I111" i="5"/>
  <c r="H111" i="5"/>
  <c r="L127" i="4"/>
  <c r="K128" i="4"/>
  <c r="J128" i="4"/>
  <c r="F64" i="1"/>
  <c r="H63" i="1"/>
  <c r="G63" i="1"/>
  <c r="F62" i="2"/>
  <c r="G62" i="2"/>
  <c r="E63" i="2"/>
  <c r="J62" i="17" l="1"/>
  <c r="G64" i="17"/>
  <c r="H63" i="17"/>
  <c r="J63" i="17" s="1"/>
  <c r="I63" i="17"/>
  <c r="J63" i="16"/>
  <c r="G65" i="16"/>
  <c r="I64" i="16"/>
  <c r="H64" i="16"/>
  <c r="J64" i="16" s="1"/>
  <c r="L63" i="13"/>
  <c r="H65" i="13"/>
  <c r="K64" i="13"/>
  <c r="I64" i="13"/>
  <c r="J64" i="13"/>
  <c r="K67" i="11"/>
  <c r="I68" i="11"/>
  <c r="J68" i="11"/>
  <c r="H64" i="8"/>
  <c r="J63" i="8"/>
  <c r="I63" i="8"/>
  <c r="K63" i="8" s="1"/>
  <c r="I111" i="7"/>
  <c r="F113" i="7"/>
  <c r="H112" i="7"/>
  <c r="G112" i="7"/>
  <c r="H94" i="6"/>
  <c r="J94" i="6" s="1"/>
  <c r="I93" i="6"/>
  <c r="K93" i="6" s="1"/>
  <c r="J111" i="5"/>
  <c r="I112" i="5"/>
  <c r="H112" i="5"/>
  <c r="L128" i="4"/>
  <c r="F65" i="1"/>
  <c r="G64" i="1"/>
  <c r="H64" i="1"/>
  <c r="G63" i="2"/>
  <c r="F63" i="2"/>
  <c r="E64" i="2"/>
  <c r="G65" i="17" l="1"/>
  <c r="I64" i="17"/>
  <c r="H64" i="17"/>
  <c r="J64" i="17" s="1"/>
  <c r="G66" i="16"/>
  <c r="H65" i="16"/>
  <c r="I65" i="16"/>
  <c r="L64" i="13"/>
  <c r="H66" i="13"/>
  <c r="I65" i="13"/>
  <c r="J65" i="13"/>
  <c r="K65" i="13"/>
  <c r="K68" i="11"/>
  <c r="H65" i="8"/>
  <c r="J64" i="8"/>
  <c r="I64" i="8"/>
  <c r="K64" i="8" s="1"/>
  <c r="I112" i="7"/>
  <c r="F114" i="7"/>
  <c r="G113" i="7"/>
  <c r="H113" i="7"/>
  <c r="H95" i="6"/>
  <c r="J95" i="6" s="1"/>
  <c r="I94" i="6"/>
  <c r="K94" i="6" s="1"/>
  <c r="J112" i="5"/>
  <c r="I113" i="5"/>
  <c r="H113" i="5"/>
  <c r="F66" i="1"/>
  <c r="G65" i="1"/>
  <c r="H65" i="1"/>
  <c r="G64" i="2"/>
  <c r="F64" i="2"/>
  <c r="E65" i="2"/>
  <c r="G66" i="17" l="1"/>
  <c r="H65" i="17"/>
  <c r="I65" i="17"/>
  <c r="J65" i="16"/>
  <c r="G67" i="16"/>
  <c r="H66" i="16"/>
  <c r="J66" i="16" s="1"/>
  <c r="I66" i="16"/>
  <c r="L65" i="13"/>
  <c r="H67" i="13"/>
  <c r="I66" i="13"/>
  <c r="J66" i="13"/>
  <c r="K66" i="13"/>
  <c r="H66" i="8"/>
  <c r="I65" i="8"/>
  <c r="K65" i="8" s="1"/>
  <c r="J65" i="8"/>
  <c r="I113" i="7"/>
  <c r="F115" i="7"/>
  <c r="G114" i="7"/>
  <c r="H114" i="7"/>
  <c r="H96" i="6"/>
  <c r="I95" i="6"/>
  <c r="K95" i="6" s="1"/>
  <c r="J113" i="5"/>
  <c r="I114" i="5"/>
  <c r="H114" i="5"/>
  <c r="J114" i="5" s="1"/>
  <c r="F67" i="1"/>
  <c r="H66" i="1"/>
  <c r="G66" i="1"/>
  <c r="F65" i="2"/>
  <c r="G65" i="2"/>
  <c r="E66" i="2"/>
  <c r="J65" i="17" l="1"/>
  <c r="G67" i="17"/>
  <c r="I66" i="17"/>
  <c r="H66" i="17"/>
  <c r="J66" i="17" s="1"/>
  <c r="G68" i="16"/>
  <c r="I67" i="16"/>
  <c r="H67" i="16"/>
  <c r="J67" i="16" s="1"/>
  <c r="L66" i="13"/>
  <c r="H68" i="13"/>
  <c r="I67" i="13"/>
  <c r="J67" i="13"/>
  <c r="K67" i="13"/>
  <c r="H67" i="8"/>
  <c r="J66" i="8"/>
  <c r="I66" i="8"/>
  <c r="K66" i="8" s="1"/>
  <c r="F116" i="7"/>
  <c r="G115" i="7"/>
  <c r="H115" i="7"/>
  <c r="I114" i="7"/>
  <c r="I96" i="6"/>
  <c r="J96" i="6"/>
  <c r="K96" i="6" s="1"/>
  <c r="H115" i="5"/>
  <c r="I115" i="5"/>
  <c r="F68" i="1"/>
  <c r="H67" i="1"/>
  <c r="G67" i="1"/>
  <c r="G66" i="2"/>
  <c r="F66" i="2"/>
  <c r="E67" i="2"/>
  <c r="G68" i="17" l="1"/>
  <c r="H67" i="17"/>
  <c r="I67" i="17"/>
  <c r="G69" i="16"/>
  <c r="H68" i="16"/>
  <c r="I68" i="16"/>
  <c r="H69" i="13"/>
  <c r="K68" i="13"/>
  <c r="J68" i="13"/>
  <c r="I68" i="13"/>
  <c r="L68" i="13" s="1"/>
  <c r="L67" i="13"/>
  <c r="H68" i="8"/>
  <c r="I67" i="8"/>
  <c r="K67" i="8" s="1"/>
  <c r="J67" i="8"/>
  <c r="I115" i="7"/>
  <c r="F117" i="7"/>
  <c r="H116" i="7"/>
  <c r="G116" i="7"/>
  <c r="J115" i="5"/>
  <c r="I116" i="5"/>
  <c r="H116" i="5"/>
  <c r="F69" i="1"/>
  <c r="G68" i="1"/>
  <c r="H68" i="1"/>
  <c r="F67" i="2"/>
  <c r="G67" i="2"/>
  <c r="E68" i="2"/>
  <c r="J67" i="17" l="1"/>
  <c r="G69" i="17"/>
  <c r="H68" i="17"/>
  <c r="I68" i="17"/>
  <c r="G70" i="16"/>
  <c r="H69" i="16"/>
  <c r="I69" i="16"/>
  <c r="J68" i="16"/>
  <c r="H70" i="13"/>
  <c r="I69" i="13"/>
  <c r="K69" i="13"/>
  <c r="J69" i="13"/>
  <c r="H69" i="8"/>
  <c r="I68" i="8"/>
  <c r="K68" i="8" s="1"/>
  <c r="J68" i="8"/>
  <c r="I116" i="7"/>
  <c r="F118" i="7"/>
  <c r="H117" i="7"/>
  <c r="G117" i="7"/>
  <c r="J116" i="5"/>
  <c r="I117" i="5"/>
  <c r="H117" i="5"/>
  <c r="F70" i="1"/>
  <c r="H69" i="1"/>
  <c r="G69" i="1"/>
  <c r="G68" i="2"/>
  <c r="F68" i="2"/>
  <c r="E69" i="2"/>
  <c r="J68" i="17" l="1"/>
  <c r="G70" i="17"/>
  <c r="H69" i="17"/>
  <c r="I69" i="17"/>
  <c r="J69" i="16"/>
  <c r="G71" i="16"/>
  <c r="I70" i="16"/>
  <c r="H70" i="16"/>
  <c r="J70" i="16" s="1"/>
  <c r="L69" i="13"/>
  <c r="H71" i="13"/>
  <c r="K70" i="13"/>
  <c r="I70" i="13"/>
  <c r="J70" i="13"/>
  <c r="H70" i="8"/>
  <c r="J69" i="8"/>
  <c r="I69" i="8"/>
  <c r="K69" i="8" s="1"/>
  <c r="I117" i="7"/>
  <c r="F119" i="7"/>
  <c r="G118" i="7"/>
  <c r="H118" i="7"/>
  <c r="J117" i="5"/>
  <c r="I118" i="5"/>
  <c r="H118" i="5"/>
  <c r="F71" i="1"/>
  <c r="H70" i="1"/>
  <c r="G70" i="1"/>
  <c r="G69" i="2"/>
  <c r="F69" i="2"/>
  <c r="E70" i="2"/>
  <c r="J69" i="17" l="1"/>
  <c r="G71" i="17"/>
  <c r="H70" i="17"/>
  <c r="I70" i="17"/>
  <c r="G72" i="16"/>
  <c r="H71" i="16"/>
  <c r="I71" i="16"/>
  <c r="L70" i="13"/>
  <c r="H72" i="13"/>
  <c r="I71" i="13"/>
  <c r="K71" i="13"/>
  <c r="J71" i="13"/>
  <c r="H71" i="8"/>
  <c r="J70" i="8"/>
  <c r="I70" i="8"/>
  <c r="K70" i="8" s="1"/>
  <c r="I118" i="7"/>
  <c r="F120" i="7"/>
  <c r="H119" i="7"/>
  <c r="G119" i="7"/>
  <c r="J118" i="5"/>
  <c r="H119" i="5"/>
  <c r="I119" i="5"/>
  <c r="F72" i="1"/>
  <c r="H71" i="1"/>
  <c r="G71" i="1"/>
  <c r="F70" i="2"/>
  <c r="G70" i="2"/>
  <c r="E71" i="2"/>
  <c r="J70" i="17" l="1"/>
  <c r="G72" i="17"/>
  <c r="H71" i="17"/>
  <c r="I71" i="17"/>
  <c r="J71" i="16"/>
  <c r="G73" i="16"/>
  <c r="I72" i="16"/>
  <c r="H72" i="16"/>
  <c r="J72" i="16" s="1"/>
  <c r="L71" i="13"/>
  <c r="H73" i="13"/>
  <c r="J72" i="13"/>
  <c r="I72" i="13"/>
  <c r="K72" i="13"/>
  <c r="I71" i="8"/>
  <c r="J71" i="8"/>
  <c r="K71" i="8" s="1"/>
  <c r="H72" i="8"/>
  <c r="I119" i="7"/>
  <c r="F121" i="7"/>
  <c r="H120" i="7"/>
  <c r="G120" i="7"/>
  <c r="I120" i="7" s="1"/>
  <c r="J119" i="5"/>
  <c r="I121" i="5"/>
  <c r="H121" i="5"/>
  <c r="J121" i="5" s="1"/>
  <c r="F73" i="1"/>
  <c r="G72" i="1"/>
  <c r="H72" i="1"/>
  <c r="G71" i="2"/>
  <c r="F71" i="2"/>
  <c r="E72" i="2"/>
  <c r="J71" i="17" l="1"/>
  <c r="G73" i="17"/>
  <c r="H72" i="17"/>
  <c r="I72" i="17"/>
  <c r="G74" i="16"/>
  <c r="H73" i="16"/>
  <c r="I73" i="16"/>
  <c r="L72" i="13"/>
  <c r="H74" i="13"/>
  <c r="I73" i="13"/>
  <c r="J73" i="13"/>
  <c r="K73" i="13"/>
  <c r="J72" i="8"/>
  <c r="I72" i="8"/>
  <c r="K72" i="8" s="1"/>
  <c r="H73" i="8"/>
  <c r="F122" i="7"/>
  <c r="G121" i="7"/>
  <c r="H121" i="7"/>
  <c r="I122" i="5"/>
  <c r="H122" i="5"/>
  <c r="F74" i="1"/>
  <c r="G73" i="1"/>
  <c r="H73" i="1"/>
  <c r="G72" i="2"/>
  <c r="F72" i="2"/>
  <c r="E73" i="2"/>
  <c r="J72" i="17" l="1"/>
  <c r="G74" i="17"/>
  <c r="I73" i="17"/>
  <c r="H73" i="17"/>
  <c r="J73" i="17" s="1"/>
  <c r="J73" i="16"/>
  <c r="G75" i="16"/>
  <c r="I74" i="16"/>
  <c r="H74" i="16"/>
  <c r="J74" i="16" s="1"/>
  <c r="L73" i="13"/>
  <c r="H75" i="13"/>
  <c r="I74" i="13"/>
  <c r="K74" i="13"/>
  <c r="J74" i="13"/>
  <c r="I73" i="8"/>
  <c r="J73" i="8"/>
  <c r="H74" i="8"/>
  <c r="I121" i="7"/>
  <c r="F123" i="7"/>
  <c r="G122" i="7"/>
  <c r="H122" i="7"/>
  <c r="J122" i="5"/>
  <c r="I123" i="5"/>
  <c r="H123" i="5"/>
  <c r="J123" i="5" s="1"/>
  <c r="F75" i="1"/>
  <c r="G74" i="1"/>
  <c r="H74" i="1"/>
  <c r="F73" i="2"/>
  <c r="G73" i="2"/>
  <c r="E74" i="2"/>
  <c r="G75" i="17" l="1"/>
  <c r="H74" i="17"/>
  <c r="J74" i="17" s="1"/>
  <c r="I74" i="17"/>
  <c r="G76" i="16"/>
  <c r="H75" i="16"/>
  <c r="I75" i="16"/>
  <c r="H76" i="13"/>
  <c r="K75" i="13"/>
  <c r="I75" i="13"/>
  <c r="J75" i="13"/>
  <c r="L74" i="13"/>
  <c r="I74" i="8"/>
  <c r="J74" i="8"/>
  <c r="H75" i="8"/>
  <c r="K73" i="8"/>
  <c r="I122" i="7"/>
  <c r="F124" i="7"/>
  <c r="H123" i="7"/>
  <c r="G123" i="7"/>
  <c r="H124" i="5"/>
  <c r="I124" i="5"/>
  <c r="F76" i="1"/>
  <c r="G75" i="1"/>
  <c r="H75" i="1"/>
  <c r="G74" i="2"/>
  <c r="F74" i="2"/>
  <c r="E75" i="2"/>
  <c r="G76" i="17" l="1"/>
  <c r="H75" i="17"/>
  <c r="I75" i="17"/>
  <c r="J75" i="16"/>
  <c r="G78" i="16"/>
  <c r="I76" i="16"/>
  <c r="H76" i="16"/>
  <c r="J76" i="16" s="1"/>
  <c r="L75" i="13"/>
  <c r="H77" i="13"/>
  <c r="K76" i="13"/>
  <c r="J76" i="13"/>
  <c r="I76" i="13"/>
  <c r="H76" i="8"/>
  <c r="I75" i="8"/>
  <c r="K75" i="8" s="1"/>
  <c r="J75" i="8"/>
  <c r="K74" i="8"/>
  <c r="I123" i="7"/>
  <c r="F125" i="7"/>
  <c r="H124" i="7"/>
  <c r="G124" i="7"/>
  <c r="J124" i="5"/>
  <c r="H125" i="5"/>
  <c r="I125" i="5"/>
  <c r="F77" i="1"/>
  <c r="G76" i="1"/>
  <c r="H76" i="1"/>
  <c r="F75" i="2"/>
  <c r="G75" i="2"/>
  <c r="E76" i="2"/>
  <c r="J75" i="17" l="1"/>
  <c r="G77" i="17"/>
  <c r="I76" i="17"/>
  <c r="H76" i="17"/>
  <c r="J76" i="17" s="1"/>
  <c r="G79" i="16"/>
  <c r="G77" i="16"/>
  <c r="H78" i="16"/>
  <c r="I78" i="16"/>
  <c r="L76" i="13"/>
  <c r="H78" i="13"/>
  <c r="I77" i="13"/>
  <c r="K77" i="13"/>
  <c r="J77" i="13"/>
  <c r="I76" i="8"/>
  <c r="H77" i="8"/>
  <c r="J76" i="8"/>
  <c r="I124" i="7"/>
  <c r="F126" i="7"/>
  <c r="H125" i="7"/>
  <c r="G125" i="7"/>
  <c r="J125" i="5"/>
  <c r="H126" i="5"/>
  <c r="I126" i="5"/>
  <c r="F78" i="1"/>
  <c r="H77" i="1"/>
  <c r="G77" i="1"/>
  <c r="G76" i="2"/>
  <c r="F76" i="2"/>
  <c r="E77" i="2"/>
  <c r="G78" i="17" l="1"/>
  <c r="H77" i="17"/>
  <c r="J77" i="17" s="1"/>
  <c r="I77" i="17"/>
  <c r="J78" i="16"/>
  <c r="H77" i="16"/>
  <c r="I77" i="16"/>
  <c r="G80" i="16"/>
  <c r="I79" i="16"/>
  <c r="H79" i="16"/>
  <c r="L77" i="13"/>
  <c r="H79" i="13"/>
  <c r="K78" i="13"/>
  <c r="I78" i="13"/>
  <c r="J78" i="13"/>
  <c r="I77" i="8"/>
  <c r="H78" i="8"/>
  <c r="J77" i="8"/>
  <c r="K76" i="8"/>
  <c r="I125" i="7"/>
  <c r="F127" i="7"/>
  <c r="G126" i="7"/>
  <c r="H126" i="7"/>
  <c r="I126" i="7" s="1"/>
  <c r="J126" i="5"/>
  <c r="H127" i="5"/>
  <c r="I127" i="5"/>
  <c r="F79" i="1"/>
  <c r="H78" i="1"/>
  <c r="G78" i="1"/>
  <c r="F77" i="2"/>
  <c r="G77" i="2"/>
  <c r="E78" i="2"/>
  <c r="G79" i="17" l="1"/>
  <c r="H78" i="17"/>
  <c r="I78" i="17"/>
  <c r="G81" i="16"/>
  <c r="I80" i="16"/>
  <c r="H80" i="16"/>
  <c r="J80" i="16" s="1"/>
  <c r="J79" i="16"/>
  <c r="J77" i="16"/>
  <c r="L78" i="13"/>
  <c r="H80" i="13"/>
  <c r="I79" i="13"/>
  <c r="J79" i="13"/>
  <c r="K79" i="13"/>
  <c r="H79" i="8"/>
  <c r="I78" i="8"/>
  <c r="J78" i="8"/>
  <c r="K77" i="8"/>
  <c r="F128" i="7"/>
  <c r="G127" i="7"/>
  <c r="H127" i="7"/>
  <c r="J127" i="5"/>
  <c r="I128" i="5"/>
  <c r="H128" i="5"/>
  <c r="F80" i="1"/>
  <c r="H79" i="1"/>
  <c r="G79" i="1"/>
  <c r="F78" i="2"/>
  <c r="G78" i="2"/>
  <c r="E79" i="2"/>
  <c r="J78" i="17" l="1"/>
  <c r="G80" i="17"/>
  <c r="I79" i="17"/>
  <c r="H79" i="17"/>
  <c r="J79" i="17" s="1"/>
  <c r="G82" i="16"/>
  <c r="H81" i="16"/>
  <c r="I81" i="16"/>
  <c r="L79" i="13"/>
  <c r="H82" i="13"/>
  <c r="I80" i="13"/>
  <c r="K80" i="13"/>
  <c r="J80" i="13"/>
  <c r="K78" i="8"/>
  <c r="H80" i="8"/>
  <c r="I79" i="8"/>
  <c r="K79" i="8" s="1"/>
  <c r="J79" i="8"/>
  <c r="I127" i="7"/>
  <c r="F129" i="7"/>
  <c r="H128" i="7"/>
  <c r="G128" i="7"/>
  <c r="J128" i="5"/>
  <c r="I129" i="5"/>
  <c r="H129" i="5"/>
  <c r="J129" i="5" s="1"/>
  <c r="F81" i="1"/>
  <c r="H80" i="1"/>
  <c r="G80" i="1"/>
  <c r="G79" i="2"/>
  <c r="F79" i="2"/>
  <c r="E80" i="2"/>
  <c r="G81" i="17" l="1"/>
  <c r="I80" i="17"/>
  <c r="H80" i="17"/>
  <c r="J80" i="17" s="1"/>
  <c r="J81" i="16"/>
  <c r="G83" i="16"/>
  <c r="H82" i="16"/>
  <c r="J82" i="16" s="1"/>
  <c r="I82" i="16"/>
  <c r="L80" i="13"/>
  <c r="H83" i="13"/>
  <c r="I82" i="13"/>
  <c r="J82" i="13"/>
  <c r="K82" i="13"/>
  <c r="J80" i="8"/>
  <c r="I80" i="8"/>
  <c r="K80" i="8" s="1"/>
  <c r="H81" i="8"/>
  <c r="F130" i="7"/>
  <c r="H129" i="7"/>
  <c r="G129" i="7"/>
  <c r="I128" i="7"/>
  <c r="I130" i="5"/>
  <c r="H130" i="5"/>
  <c r="J130" i="5" s="1"/>
  <c r="F82" i="1"/>
  <c r="H81" i="1"/>
  <c r="G81" i="1"/>
  <c r="G80" i="2"/>
  <c r="F80" i="2"/>
  <c r="E81" i="2"/>
  <c r="G82" i="17" l="1"/>
  <c r="H81" i="17"/>
  <c r="I81" i="17"/>
  <c r="G84" i="16"/>
  <c r="I83" i="16"/>
  <c r="H83" i="16"/>
  <c r="J83" i="16" s="1"/>
  <c r="L82" i="13"/>
  <c r="H84" i="13"/>
  <c r="J83" i="13"/>
  <c r="K83" i="13"/>
  <c r="I83" i="13"/>
  <c r="L83" i="13" s="1"/>
  <c r="H82" i="8"/>
  <c r="I81" i="8"/>
  <c r="K81" i="8" s="1"/>
  <c r="J81" i="8"/>
  <c r="I129" i="7"/>
  <c r="F131" i="7"/>
  <c r="G130" i="7"/>
  <c r="H130" i="7"/>
  <c r="H131" i="5"/>
  <c r="I131" i="5"/>
  <c r="F83" i="1"/>
  <c r="H82" i="1"/>
  <c r="G82" i="1"/>
  <c r="F81" i="2"/>
  <c r="G81" i="2"/>
  <c r="E82" i="2"/>
  <c r="G83" i="17" l="1"/>
  <c r="I82" i="17"/>
  <c r="H82" i="17"/>
  <c r="J81" i="17"/>
  <c r="G85" i="16"/>
  <c r="I84" i="16"/>
  <c r="H84" i="16"/>
  <c r="H85" i="13"/>
  <c r="K84" i="13"/>
  <c r="I84" i="13"/>
  <c r="J84" i="13"/>
  <c r="H83" i="8"/>
  <c r="J82" i="8"/>
  <c r="I82" i="8"/>
  <c r="K82" i="8" s="1"/>
  <c r="I130" i="7"/>
  <c r="F132" i="7"/>
  <c r="H131" i="7"/>
  <c r="G131" i="7"/>
  <c r="J131" i="5"/>
  <c r="H132" i="5"/>
  <c r="I132" i="5"/>
  <c r="F84" i="1"/>
  <c r="G83" i="1"/>
  <c r="H83" i="1"/>
  <c r="G82" i="2"/>
  <c r="F82" i="2"/>
  <c r="E83" i="2"/>
  <c r="J82" i="17" l="1"/>
  <c r="G84" i="17"/>
  <c r="I83" i="17"/>
  <c r="H83" i="17"/>
  <c r="J83" i="17" s="1"/>
  <c r="J84" i="16"/>
  <c r="G86" i="16"/>
  <c r="H85" i="16"/>
  <c r="I85" i="16"/>
  <c r="L84" i="13"/>
  <c r="H86" i="13"/>
  <c r="K85" i="13"/>
  <c r="I85" i="13"/>
  <c r="J85" i="13"/>
  <c r="H84" i="8"/>
  <c r="I83" i="8"/>
  <c r="K83" i="8" s="1"/>
  <c r="J83" i="8"/>
  <c r="I131" i="7"/>
  <c r="F133" i="7"/>
  <c r="H132" i="7"/>
  <c r="G132" i="7"/>
  <c r="J132" i="5"/>
  <c r="H133" i="5"/>
  <c r="I133" i="5"/>
  <c r="F85" i="1"/>
  <c r="G84" i="1"/>
  <c r="H84" i="1"/>
  <c r="F83" i="2"/>
  <c r="G83" i="2"/>
  <c r="E84" i="2"/>
  <c r="G85" i="17" l="1"/>
  <c r="I84" i="17"/>
  <c r="H84" i="17"/>
  <c r="J84" i="17" s="1"/>
  <c r="J85" i="16"/>
  <c r="G87" i="16"/>
  <c r="H86" i="16"/>
  <c r="I86" i="16"/>
  <c r="L85" i="13"/>
  <c r="H87" i="13"/>
  <c r="I86" i="13"/>
  <c r="K86" i="13"/>
  <c r="J86" i="13"/>
  <c r="H85" i="8"/>
  <c r="I84" i="8"/>
  <c r="J84" i="8"/>
  <c r="I132" i="7"/>
  <c r="F134" i="7"/>
  <c r="H133" i="7"/>
  <c r="G133" i="7"/>
  <c r="J133" i="5"/>
  <c r="I134" i="5"/>
  <c r="H134" i="5"/>
  <c r="F86" i="1"/>
  <c r="H85" i="1"/>
  <c r="G85" i="1"/>
  <c r="G84" i="2"/>
  <c r="F84" i="2"/>
  <c r="E85" i="2"/>
  <c r="G86" i="17" l="1"/>
  <c r="I85" i="17"/>
  <c r="H85" i="17"/>
  <c r="J85" i="17" s="1"/>
  <c r="J86" i="16"/>
  <c r="G88" i="16"/>
  <c r="H87" i="16"/>
  <c r="I87" i="16"/>
  <c r="L86" i="13"/>
  <c r="H88" i="13"/>
  <c r="K87" i="13"/>
  <c r="J87" i="13"/>
  <c r="I87" i="13"/>
  <c r="K84" i="8"/>
  <c r="H86" i="8"/>
  <c r="I85" i="8"/>
  <c r="J85" i="8"/>
  <c r="I133" i="7"/>
  <c r="F135" i="7"/>
  <c r="G134" i="7"/>
  <c r="H134" i="7"/>
  <c r="I134" i="7" s="1"/>
  <c r="J134" i="5"/>
  <c r="I135" i="5"/>
  <c r="H135" i="5"/>
  <c r="F87" i="1"/>
  <c r="H86" i="1"/>
  <c r="G86" i="1"/>
  <c r="G85" i="2"/>
  <c r="F85" i="2"/>
  <c r="E86" i="2"/>
  <c r="G87" i="17" l="1"/>
  <c r="H86" i="17"/>
  <c r="I86" i="17"/>
  <c r="J87" i="16"/>
  <c r="G89" i="16"/>
  <c r="H88" i="16"/>
  <c r="I88" i="16"/>
  <c r="J88" i="16" s="1"/>
  <c r="L87" i="13"/>
  <c r="H89" i="13"/>
  <c r="J88" i="13"/>
  <c r="K88" i="13"/>
  <c r="I88" i="13"/>
  <c r="L88" i="13" s="1"/>
  <c r="K85" i="8"/>
  <c r="H87" i="8"/>
  <c r="I86" i="8"/>
  <c r="J86" i="8"/>
  <c r="F136" i="7"/>
  <c r="G135" i="7"/>
  <c r="H135" i="7"/>
  <c r="I135" i="7" s="1"/>
  <c r="J135" i="5"/>
  <c r="H136" i="5"/>
  <c r="I136" i="5"/>
  <c r="F88" i="1"/>
  <c r="H87" i="1"/>
  <c r="G87" i="1"/>
  <c r="G86" i="2"/>
  <c r="F86" i="2"/>
  <c r="E87" i="2"/>
  <c r="G88" i="17" l="1"/>
  <c r="H87" i="17"/>
  <c r="I87" i="17"/>
  <c r="J86" i="17"/>
  <c r="G90" i="16"/>
  <c r="H89" i="16"/>
  <c r="J89" i="16" s="1"/>
  <c r="I89" i="16"/>
  <c r="H90" i="13"/>
  <c r="J89" i="13"/>
  <c r="K89" i="13"/>
  <c r="I89" i="13"/>
  <c r="L89" i="13" s="1"/>
  <c r="K86" i="8"/>
  <c r="H88" i="8"/>
  <c r="J87" i="8"/>
  <c r="I87" i="8"/>
  <c r="K87" i="8" s="1"/>
  <c r="F137" i="7"/>
  <c r="G136" i="7"/>
  <c r="H136" i="7"/>
  <c r="J136" i="5"/>
  <c r="I137" i="5"/>
  <c r="H137" i="5"/>
  <c r="F89" i="1"/>
  <c r="G88" i="1"/>
  <c r="H88" i="1"/>
  <c r="G87" i="2"/>
  <c r="F87" i="2"/>
  <c r="E88" i="2"/>
  <c r="G89" i="17" l="1"/>
  <c r="I88" i="17"/>
  <c r="H88" i="17"/>
  <c r="J88" i="17" s="1"/>
  <c r="J87" i="17"/>
  <c r="G91" i="16"/>
  <c r="I90" i="16"/>
  <c r="H90" i="16"/>
  <c r="J90" i="16" s="1"/>
  <c r="H91" i="13"/>
  <c r="I90" i="13"/>
  <c r="J90" i="13"/>
  <c r="K90" i="13"/>
  <c r="H89" i="8"/>
  <c r="I88" i="8"/>
  <c r="K88" i="8" s="1"/>
  <c r="J88" i="8"/>
  <c r="I136" i="7"/>
  <c r="F138" i="7"/>
  <c r="G137" i="7"/>
  <c r="H137" i="7"/>
  <c r="J137" i="5"/>
  <c r="H138" i="5"/>
  <c r="I138" i="5"/>
  <c r="F90" i="1"/>
  <c r="H89" i="1"/>
  <c r="G89" i="1"/>
  <c r="G88" i="2"/>
  <c r="F88" i="2"/>
  <c r="E89" i="2"/>
  <c r="G90" i="17" l="1"/>
  <c r="I89" i="17"/>
  <c r="H89" i="17"/>
  <c r="J89" i="17" s="1"/>
  <c r="G92" i="16"/>
  <c r="I91" i="16"/>
  <c r="H91" i="16"/>
  <c r="J91" i="16" s="1"/>
  <c r="L90" i="13"/>
  <c r="H92" i="13"/>
  <c r="K91" i="13"/>
  <c r="I91" i="13"/>
  <c r="J91" i="13"/>
  <c r="H90" i="8"/>
  <c r="J89" i="8"/>
  <c r="I89" i="8"/>
  <c r="K89" i="8" s="1"/>
  <c r="I137" i="7"/>
  <c r="F139" i="7"/>
  <c r="G138" i="7"/>
  <c r="H138" i="7"/>
  <c r="J138" i="5"/>
  <c r="H139" i="5"/>
  <c r="I139" i="5"/>
  <c r="F91" i="1"/>
  <c r="H90" i="1"/>
  <c r="G90" i="1"/>
  <c r="F89" i="2"/>
  <c r="G89" i="2"/>
  <c r="E90" i="2"/>
  <c r="G91" i="17" l="1"/>
  <c r="H90" i="17"/>
  <c r="I90" i="17"/>
  <c r="G93" i="16"/>
  <c r="I92" i="16"/>
  <c r="H92" i="16"/>
  <c r="J92" i="16" s="1"/>
  <c r="L91" i="13"/>
  <c r="H93" i="13"/>
  <c r="K92" i="13"/>
  <c r="I92" i="13"/>
  <c r="J92" i="13"/>
  <c r="I90" i="8"/>
  <c r="J90" i="8"/>
  <c r="H91" i="8"/>
  <c r="F140" i="7"/>
  <c r="H139" i="7"/>
  <c r="G139" i="7"/>
  <c r="I138" i="7"/>
  <c r="J139" i="5"/>
  <c r="H140" i="5"/>
  <c r="I140" i="5"/>
  <c r="F92" i="1"/>
  <c r="G91" i="1"/>
  <c r="H91" i="1"/>
  <c r="G90" i="2"/>
  <c r="F90" i="2"/>
  <c r="E91" i="2"/>
  <c r="G92" i="17" l="1"/>
  <c r="I91" i="17"/>
  <c r="H91" i="17"/>
  <c r="J91" i="17" s="1"/>
  <c r="J90" i="17"/>
  <c r="G94" i="16"/>
  <c r="H93" i="16"/>
  <c r="I93" i="16"/>
  <c r="L92" i="13"/>
  <c r="H94" i="13"/>
  <c r="K93" i="13"/>
  <c r="J93" i="13"/>
  <c r="I93" i="13"/>
  <c r="H92" i="8"/>
  <c r="I91" i="8"/>
  <c r="K91" i="8" s="1"/>
  <c r="J91" i="8"/>
  <c r="K90" i="8"/>
  <c r="I139" i="7"/>
  <c r="F142" i="7"/>
  <c r="F141" i="7"/>
  <c r="H140" i="7"/>
  <c r="G140" i="7"/>
  <c r="J140" i="5"/>
  <c r="I141" i="5"/>
  <c r="H141" i="5"/>
  <c r="F93" i="1"/>
  <c r="G92" i="1"/>
  <c r="H92" i="1"/>
  <c r="F91" i="2"/>
  <c r="G91" i="2"/>
  <c r="E92" i="2"/>
  <c r="G93" i="17" l="1"/>
  <c r="H92" i="17"/>
  <c r="I92" i="17"/>
  <c r="J93" i="16"/>
  <c r="G95" i="16"/>
  <c r="I94" i="16"/>
  <c r="H94" i="16"/>
  <c r="J94" i="16" s="1"/>
  <c r="L93" i="13"/>
  <c r="H95" i="13"/>
  <c r="I94" i="13"/>
  <c r="K94" i="13"/>
  <c r="J94" i="13"/>
  <c r="J92" i="8"/>
  <c r="I92" i="8"/>
  <c r="K92" i="8" s="1"/>
  <c r="H93" i="8"/>
  <c r="G141" i="7"/>
  <c r="H141" i="7"/>
  <c r="I140" i="7"/>
  <c r="F143" i="7"/>
  <c r="H142" i="7"/>
  <c r="G142" i="7"/>
  <c r="J141" i="5"/>
  <c r="H142" i="5"/>
  <c r="I142" i="5"/>
  <c r="F94" i="1"/>
  <c r="H93" i="1"/>
  <c r="G93" i="1"/>
  <c r="G92" i="2"/>
  <c r="F92" i="2"/>
  <c r="E93" i="2"/>
  <c r="J92" i="17" l="1"/>
  <c r="G94" i="17"/>
  <c r="H93" i="17"/>
  <c r="I93" i="17"/>
  <c r="G96" i="16"/>
  <c r="H95" i="16"/>
  <c r="I95" i="16"/>
  <c r="L94" i="13"/>
  <c r="H96" i="13"/>
  <c r="K95" i="13"/>
  <c r="J95" i="13"/>
  <c r="I95" i="13"/>
  <c r="I93" i="8"/>
  <c r="K93" i="8" s="1"/>
  <c r="H94" i="8"/>
  <c r="J93" i="8"/>
  <c r="I141" i="7"/>
  <c r="F144" i="7"/>
  <c r="G143" i="7"/>
  <c r="H143" i="7"/>
  <c r="I142" i="7"/>
  <c r="J142" i="5"/>
  <c r="I143" i="5"/>
  <c r="H143" i="5"/>
  <c r="F95" i="1"/>
  <c r="H94" i="1"/>
  <c r="G94" i="1"/>
  <c r="G93" i="2"/>
  <c r="F93" i="2"/>
  <c r="E94" i="2"/>
  <c r="J93" i="17" l="1"/>
  <c r="G95" i="17"/>
  <c r="I94" i="17"/>
  <c r="H94" i="17"/>
  <c r="J94" i="17" s="1"/>
  <c r="J95" i="16"/>
  <c r="G97" i="16"/>
  <c r="H96" i="16"/>
  <c r="J96" i="16" s="1"/>
  <c r="I96" i="16"/>
  <c r="L95" i="13"/>
  <c r="H97" i="13"/>
  <c r="I96" i="13"/>
  <c r="K96" i="13"/>
  <c r="J96" i="13"/>
  <c r="I94" i="8"/>
  <c r="J94" i="8"/>
  <c r="H95" i="8"/>
  <c r="I143" i="7"/>
  <c r="F145" i="7"/>
  <c r="G144" i="7"/>
  <c r="H144" i="7"/>
  <c r="I144" i="7" s="1"/>
  <c r="J143" i="5"/>
  <c r="I144" i="5"/>
  <c r="H144" i="5"/>
  <c r="F96" i="1"/>
  <c r="H95" i="1"/>
  <c r="G95" i="1"/>
  <c r="F94" i="2"/>
  <c r="G94" i="2"/>
  <c r="E95" i="2"/>
  <c r="G96" i="17" l="1"/>
  <c r="I95" i="17"/>
  <c r="H95" i="17"/>
  <c r="J95" i="17" s="1"/>
  <c r="G98" i="16"/>
  <c r="I97" i="16"/>
  <c r="H97" i="16"/>
  <c r="J97" i="16" s="1"/>
  <c r="L96" i="13"/>
  <c r="H98" i="13"/>
  <c r="K97" i="13"/>
  <c r="J97" i="13"/>
  <c r="I97" i="13"/>
  <c r="L97" i="13" s="1"/>
  <c r="I95" i="8"/>
  <c r="J95" i="8"/>
  <c r="H96" i="8"/>
  <c r="K94" i="8"/>
  <c r="F146" i="7"/>
  <c r="H145" i="7"/>
  <c r="G145" i="7"/>
  <c r="J144" i="5"/>
  <c r="I145" i="5"/>
  <c r="H145" i="5"/>
  <c r="F97" i="1"/>
  <c r="H96" i="1"/>
  <c r="G96" i="1"/>
  <c r="G95" i="2"/>
  <c r="F95" i="2"/>
  <c r="E96" i="2"/>
  <c r="G97" i="17" l="1"/>
  <c r="I96" i="17"/>
  <c r="H96" i="17"/>
  <c r="J96" i="17" s="1"/>
  <c r="G99" i="16"/>
  <c r="H98" i="16"/>
  <c r="I98" i="16"/>
  <c r="H99" i="13"/>
  <c r="I98" i="13"/>
  <c r="K98" i="13"/>
  <c r="J98" i="13"/>
  <c r="H97" i="8"/>
  <c r="I96" i="8"/>
  <c r="J96" i="8"/>
  <c r="K95" i="8"/>
  <c r="I145" i="7"/>
  <c r="F147" i="7"/>
  <c r="G146" i="7"/>
  <c r="H146" i="7"/>
  <c r="J145" i="5"/>
  <c r="I146" i="5"/>
  <c r="H146" i="5"/>
  <c r="F98" i="1"/>
  <c r="H97" i="1"/>
  <c r="G97" i="1"/>
  <c r="G96" i="2"/>
  <c r="F96" i="2"/>
  <c r="E97" i="2"/>
  <c r="G98" i="17" l="1"/>
  <c r="H97" i="17"/>
  <c r="J97" i="17" s="1"/>
  <c r="I97" i="17"/>
  <c r="J98" i="16"/>
  <c r="G100" i="16"/>
  <c r="H99" i="16"/>
  <c r="J99" i="16" s="1"/>
  <c r="I99" i="16"/>
  <c r="L98" i="13"/>
  <c r="H100" i="13"/>
  <c r="I99" i="13"/>
  <c r="K99" i="13"/>
  <c r="J99" i="13"/>
  <c r="K96" i="8"/>
  <c r="J97" i="8"/>
  <c r="I97" i="8"/>
  <c r="K97" i="8" s="1"/>
  <c r="H98" i="8"/>
  <c r="I146" i="7"/>
  <c r="F148" i="7"/>
  <c r="G147" i="7"/>
  <c r="H147" i="7"/>
  <c r="J146" i="5"/>
  <c r="I147" i="5"/>
  <c r="H147" i="5"/>
  <c r="J147" i="5" s="1"/>
  <c r="F99" i="1"/>
  <c r="G98" i="1"/>
  <c r="H98" i="1"/>
  <c r="F97" i="2"/>
  <c r="G97" i="2"/>
  <c r="E98" i="2"/>
  <c r="G99" i="17" l="1"/>
  <c r="I98" i="17"/>
  <c r="H98" i="17"/>
  <c r="G101" i="16"/>
  <c r="H100" i="16"/>
  <c r="I100" i="16"/>
  <c r="L99" i="13"/>
  <c r="H101" i="13"/>
  <c r="I100" i="13"/>
  <c r="J100" i="13"/>
  <c r="K100" i="13"/>
  <c r="H99" i="8"/>
  <c r="I98" i="8"/>
  <c r="K98" i="8" s="1"/>
  <c r="J98" i="8"/>
  <c r="I147" i="7"/>
  <c r="F149" i="7"/>
  <c r="G148" i="7"/>
  <c r="H148" i="7"/>
  <c r="H148" i="5"/>
  <c r="I148" i="5"/>
  <c r="F100" i="1"/>
  <c r="G99" i="1"/>
  <c r="H99" i="1"/>
  <c r="G98" i="2"/>
  <c r="F98" i="2"/>
  <c r="E99" i="2"/>
  <c r="J98" i="17" l="1"/>
  <c r="G100" i="17"/>
  <c r="H99" i="17"/>
  <c r="I99" i="17"/>
  <c r="J100" i="16"/>
  <c r="G102" i="16"/>
  <c r="I101" i="16"/>
  <c r="H101" i="16"/>
  <c r="H102" i="13"/>
  <c r="K101" i="13"/>
  <c r="I101" i="13"/>
  <c r="J101" i="13"/>
  <c r="L100" i="13"/>
  <c r="H100" i="8"/>
  <c r="I99" i="8"/>
  <c r="K99" i="8" s="1"/>
  <c r="J99" i="8"/>
  <c r="F150" i="7"/>
  <c r="H149" i="7"/>
  <c r="G149" i="7"/>
  <c r="I148" i="7"/>
  <c r="J148" i="5"/>
  <c r="H149" i="5"/>
  <c r="I149" i="5"/>
  <c r="F101" i="1"/>
  <c r="G100" i="1"/>
  <c r="H100" i="1"/>
  <c r="F99" i="2"/>
  <c r="G99" i="2"/>
  <c r="E100" i="2"/>
  <c r="G101" i="17" l="1"/>
  <c r="H100" i="17"/>
  <c r="I100" i="17"/>
  <c r="J99" i="17"/>
  <c r="J101" i="16"/>
  <c r="G103" i="16"/>
  <c r="H102" i="16"/>
  <c r="I102" i="16"/>
  <c r="L101" i="13"/>
  <c r="H103" i="13"/>
  <c r="I102" i="13"/>
  <c r="K102" i="13"/>
  <c r="J102" i="13"/>
  <c r="H101" i="8"/>
  <c r="I100" i="8"/>
  <c r="K100" i="8" s="1"/>
  <c r="J100" i="8"/>
  <c r="I149" i="7"/>
  <c r="F151" i="7"/>
  <c r="H150" i="7"/>
  <c r="G150" i="7"/>
  <c r="J149" i="5"/>
  <c r="I150" i="5"/>
  <c r="H150" i="5"/>
  <c r="F102" i="1"/>
  <c r="H101" i="1"/>
  <c r="G101" i="1"/>
  <c r="G100" i="2"/>
  <c r="F100" i="2"/>
  <c r="E101" i="2"/>
  <c r="G102" i="17" l="1"/>
  <c r="H101" i="17"/>
  <c r="I101" i="17"/>
  <c r="J100" i="17"/>
  <c r="J102" i="16"/>
  <c r="G104" i="16"/>
  <c r="H103" i="16"/>
  <c r="I103" i="16"/>
  <c r="L102" i="13"/>
  <c r="H104" i="13"/>
  <c r="K103" i="13"/>
  <c r="I103" i="13"/>
  <c r="J103" i="13"/>
  <c r="J101" i="8"/>
  <c r="H102" i="8"/>
  <c r="I101" i="8"/>
  <c r="K101" i="8" s="1"/>
  <c r="I150" i="7"/>
  <c r="F152" i="7"/>
  <c r="G151" i="7"/>
  <c r="H151" i="7"/>
  <c r="I151" i="7" s="1"/>
  <c r="J150" i="5"/>
  <c r="I151" i="5"/>
  <c r="H151" i="5"/>
  <c r="F103" i="1"/>
  <c r="H102" i="1"/>
  <c r="G102" i="1"/>
  <c r="F101" i="2"/>
  <c r="G101" i="2"/>
  <c r="E102" i="2"/>
  <c r="J101" i="17" l="1"/>
  <c r="G103" i="17"/>
  <c r="I102" i="17"/>
  <c r="H102" i="17"/>
  <c r="J102" i="17" s="1"/>
  <c r="J103" i="16"/>
  <c r="G105" i="16"/>
  <c r="I104" i="16"/>
  <c r="H104" i="16"/>
  <c r="J104" i="16" s="1"/>
  <c r="L103" i="13"/>
  <c r="H105" i="13"/>
  <c r="J104" i="13"/>
  <c r="K104" i="13"/>
  <c r="I104" i="13"/>
  <c r="H103" i="8"/>
  <c r="I102" i="8"/>
  <c r="K102" i="8" s="1"/>
  <c r="J102" i="8"/>
  <c r="F153" i="7"/>
  <c r="G152" i="7"/>
  <c r="H152" i="7"/>
  <c r="J151" i="5"/>
  <c r="I152" i="5"/>
  <c r="H152" i="5"/>
  <c r="F104" i="1"/>
  <c r="H103" i="1"/>
  <c r="G103" i="1"/>
  <c r="F102" i="2"/>
  <c r="G102" i="2"/>
  <c r="E103" i="2"/>
  <c r="G104" i="17" l="1"/>
  <c r="H103" i="17"/>
  <c r="I103" i="17"/>
  <c r="G106" i="16"/>
  <c r="I105" i="16"/>
  <c r="H105" i="16"/>
  <c r="L104" i="13"/>
  <c r="H106" i="13"/>
  <c r="I105" i="13"/>
  <c r="J105" i="13"/>
  <c r="K105" i="13"/>
  <c r="H104" i="8"/>
  <c r="I103" i="8"/>
  <c r="J103" i="8"/>
  <c r="I152" i="7"/>
  <c r="F154" i="7"/>
  <c r="H153" i="7"/>
  <c r="G153" i="7"/>
  <c r="I153" i="5"/>
  <c r="H153" i="5"/>
  <c r="J153" i="5" s="1"/>
  <c r="J152" i="5"/>
  <c r="F105" i="1"/>
  <c r="G104" i="1"/>
  <c r="H104" i="1"/>
  <c r="G103" i="2"/>
  <c r="F103" i="2"/>
  <c r="E104" i="2"/>
  <c r="J103" i="17" l="1"/>
  <c r="G105" i="17"/>
  <c r="I104" i="17"/>
  <c r="H104" i="17"/>
  <c r="J105" i="16"/>
  <c r="G107" i="16"/>
  <c r="H106" i="16"/>
  <c r="J106" i="16" s="1"/>
  <c r="I106" i="16"/>
  <c r="L105" i="13"/>
  <c r="H107" i="13"/>
  <c r="I106" i="13"/>
  <c r="K106" i="13"/>
  <c r="J106" i="13"/>
  <c r="K103" i="8"/>
  <c r="H105" i="8"/>
  <c r="J104" i="8"/>
  <c r="I104" i="8"/>
  <c r="K104" i="8" s="1"/>
  <c r="I153" i="7"/>
  <c r="F155" i="7"/>
  <c r="G154" i="7"/>
  <c r="H154" i="7"/>
  <c r="I154" i="5"/>
  <c r="H154" i="5"/>
  <c r="F106" i="1"/>
  <c r="G105" i="1"/>
  <c r="H105" i="1"/>
  <c r="G104" i="2"/>
  <c r="F104" i="2"/>
  <c r="E105" i="2"/>
  <c r="G106" i="17" l="1"/>
  <c r="H105" i="17"/>
  <c r="I105" i="17"/>
  <c r="J104" i="17"/>
  <c r="I107" i="16"/>
  <c r="H107" i="16"/>
  <c r="J107" i="16" s="1"/>
  <c r="G108" i="16"/>
  <c r="L106" i="13"/>
  <c r="H108" i="13"/>
  <c r="K107" i="13"/>
  <c r="J107" i="13"/>
  <c r="I107" i="13"/>
  <c r="H106" i="8"/>
  <c r="J105" i="8"/>
  <c r="I105" i="8"/>
  <c r="I154" i="7"/>
  <c r="F156" i="7"/>
  <c r="G155" i="7"/>
  <c r="H155" i="7"/>
  <c r="J154" i="5"/>
  <c r="I155" i="5"/>
  <c r="H155" i="5"/>
  <c r="F107" i="1"/>
  <c r="H106" i="1"/>
  <c r="G106" i="1"/>
  <c r="F105" i="2"/>
  <c r="G105" i="2"/>
  <c r="E106" i="2"/>
  <c r="J105" i="17" l="1"/>
  <c r="G107" i="17"/>
  <c r="I106" i="17"/>
  <c r="H106" i="17"/>
  <c r="J106" i="17" s="1"/>
  <c r="G109" i="16"/>
  <c r="I108" i="16"/>
  <c r="H108" i="16"/>
  <c r="L107" i="13"/>
  <c r="H109" i="13"/>
  <c r="K108" i="13"/>
  <c r="J108" i="13"/>
  <c r="I108" i="13"/>
  <c r="K105" i="8"/>
  <c r="J106" i="8"/>
  <c r="H107" i="8"/>
  <c r="I106" i="8"/>
  <c r="I155" i="7"/>
  <c r="F157" i="7"/>
  <c r="G156" i="7"/>
  <c r="H156" i="7"/>
  <c r="J155" i="5"/>
  <c r="H156" i="5"/>
  <c r="I156" i="5"/>
  <c r="F108" i="1"/>
  <c r="H107" i="1"/>
  <c r="G107" i="1"/>
  <c r="G106" i="2"/>
  <c r="F106" i="2"/>
  <c r="E107" i="2"/>
  <c r="G108" i="17" l="1"/>
  <c r="H107" i="17"/>
  <c r="I107" i="17"/>
  <c r="J108" i="16"/>
  <c r="H109" i="16"/>
  <c r="J109" i="16" s="1"/>
  <c r="I109" i="16"/>
  <c r="G110" i="16"/>
  <c r="L108" i="13"/>
  <c r="H110" i="13"/>
  <c r="K109" i="13"/>
  <c r="I109" i="13"/>
  <c r="J109" i="13"/>
  <c r="H108" i="8"/>
  <c r="H109" i="8"/>
  <c r="J107" i="8"/>
  <c r="I107" i="8"/>
  <c r="K107" i="8" s="1"/>
  <c r="K106" i="8"/>
  <c r="I156" i="7"/>
  <c r="F158" i="7"/>
  <c r="H157" i="7"/>
  <c r="G157" i="7"/>
  <c r="J156" i="5"/>
  <c r="F109" i="1"/>
  <c r="G108" i="1"/>
  <c r="H108" i="1"/>
  <c r="F107" i="2"/>
  <c r="G107" i="2"/>
  <c r="E108" i="2"/>
  <c r="J107" i="17" l="1"/>
  <c r="G109" i="17"/>
  <c r="H108" i="17"/>
  <c r="J108" i="17" s="1"/>
  <c r="I108" i="17"/>
  <c r="H110" i="16"/>
  <c r="G111" i="16"/>
  <c r="I110" i="16"/>
  <c r="L109" i="13"/>
  <c r="H111" i="13"/>
  <c r="I110" i="13"/>
  <c r="K110" i="13"/>
  <c r="J110" i="13"/>
  <c r="I109" i="8"/>
  <c r="H110" i="8"/>
  <c r="J109" i="8"/>
  <c r="I108" i="8"/>
  <c r="J108" i="8"/>
  <c r="K108" i="8" s="1"/>
  <c r="I157" i="7"/>
  <c r="F159" i="7"/>
  <c r="H158" i="7"/>
  <c r="G158" i="7"/>
  <c r="F110" i="1"/>
  <c r="H109" i="1"/>
  <c r="G109" i="1"/>
  <c r="G108" i="2"/>
  <c r="F108" i="2"/>
  <c r="E109" i="2"/>
  <c r="G110" i="17" l="1"/>
  <c r="H109" i="17"/>
  <c r="I109" i="17"/>
  <c r="G112" i="16"/>
  <c r="I111" i="16"/>
  <c r="H111" i="16"/>
  <c r="J110" i="16"/>
  <c r="L110" i="13"/>
  <c r="H112" i="13"/>
  <c r="K111" i="13"/>
  <c r="I111" i="13"/>
  <c r="J111" i="13"/>
  <c r="H111" i="8"/>
  <c r="J110" i="8"/>
  <c r="I110" i="8"/>
  <c r="K110" i="8" s="1"/>
  <c r="K109" i="8"/>
  <c r="I158" i="7"/>
  <c r="F160" i="7"/>
  <c r="G159" i="7"/>
  <c r="H159" i="7"/>
  <c r="I159" i="7" s="1"/>
  <c r="F111" i="1"/>
  <c r="H110" i="1"/>
  <c r="G110" i="1"/>
  <c r="G109" i="2"/>
  <c r="F109" i="2"/>
  <c r="E110" i="2"/>
  <c r="J109" i="17" l="1"/>
  <c r="G111" i="17"/>
  <c r="H110" i="17"/>
  <c r="J110" i="17" s="1"/>
  <c r="I110" i="17"/>
  <c r="J111" i="16"/>
  <c r="I112" i="16"/>
  <c r="G113" i="16"/>
  <c r="H112" i="16"/>
  <c r="J112" i="16" s="1"/>
  <c r="H113" i="13"/>
  <c r="K112" i="13"/>
  <c r="I112" i="13"/>
  <c r="J112" i="13"/>
  <c r="L111" i="13"/>
  <c r="H112" i="8"/>
  <c r="I111" i="8"/>
  <c r="K111" i="8" s="1"/>
  <c r="J111" i="8"/>
  <c r="F161" i="7"/>
  <c r="G160" i="7"/>
  <c r="H160" i="7"/>
  <c r="I160" i="7" s="1"/>
  <c r="F112" i="1"/>
  <c r="H111" i="1"/>
  <c r="G111" i="1"/>
  <c r="G110" i="2"/>
  <c r="F110" i="2"/>
  <c r="E111" i="2"/>
  <c r="G112" i="17" l="1"/>
  <c r="H111" i="17"/>
  <c r="I111" i="17"/>
  <c r="J111" i="17" s="1"/>
  <c r="H113" i="16"/>
  <c r="G114" i="16"/>
  <c r="I113" i="16"/>
  <c r="L112" i="13"/>
  <c r="H114" i="13"/>
  <c r="J113" i="13"/>
  <c r="K113" i="13"/>
  <c r="I113" i="13"/>
  <c r="L113" i="13" s="1"/>
  <c r="H113" i="8"/>
  <c r="I112" i="8"/>
  <c r="K112" i="8" s="1"/>
  <c r="J112" i="8"/>
  <c r="F162" i="7"/>
  <c r="H161" i="7"/>
  <c r="G161" i="7"/>
  <c r="F113" i="1"/>
  <c r="G112" i="1"/>
  <c r="H112" i="1"/>
  <c r="G111" i="2"/>
  <c r="F111" i="2"/>
  <c r="E112" i="2"/>
  <c r="G113" i="17" l="1"/>
  <c r="I112" i="17"/>
  <c r="H112" i="17"/>
  <c r="J112" i="17" s="1"/>
  <c r="I114" i="16"/>
  <c r="H114" i="16"/>
  <c r="J114" i="16" s="1"/>
  <c r="G115" i="16"/>
  <c r="J113" i="16"/>
  <c r="H115" i="13"/>
  <c r="I114" i="13"/>
  <c r="K114" i="13"/>
  <c r="J114" i="13"/>
  <c r="I113" i="8"/>
  <c r="H114" i="8"/>
  <c r="J113" i="8"/>
  <c r="I161" i="7"/>
  <c r="F163" i="7"/>
  <c r="H162" i="7"/>
  <c r="G162" i="7"/>
  <c r="F114" i="1"/>
  <c r="G113" i="1"/>
  <c r="H113" i="1"/>
  <c r="G112" i="2"/>
  <c r="F112" i="2"/>
  <c r="E113" i="2"/>
  <c r="G114" i="17" l="1"/>
  <c r="H113" i="17"/>
  <c r="I113" i="17"/>
  <c r="I115" i="16"/>
  <c r="H115" i="16"/>
  <c r="G116" i="16"/>
  <c r="L114" i="13"/>
  <c r="H116" i="13"/>
  <c r="I115" i="13"/>
  <c r="K115" i="13"/>
  <c r="J115" i="13"/>
  <c r="H115" i="8"/>
  <c r="J114" i="8"/>
  <c r="I114" i="8"/>
  <c r="K114" i="8" s="1"/>
  <c r="K113" i="8"/>
  <c r="I162" i="7"/>
  <c r="F164" i="7"/>
  <c r="H163" i="7"/>
  <c r="G163" i="7"/>
  <c r="F115" i="1"/>
  <c r="H114" i="1"/>
  <c r="G114" i="1"/>
  <c r="F113" i="2"/>
  <c r="G113" i="2"/>
  <c r="E114" i="2"/>
  <c r="J113" i="17" l="1"/>
  <c r="G115" i="17"/>
  <c r="H114" i="17"/>
  <c r="J114" i="17" s="1"/>
  <c r="I114" i="17"/>
  <c r="I116" i="16"/>
  <c r="G117" i="16"/>
  <c r="H116" i="16"/>
  <c r="J116" i="16" s="1"/>
  <c r="J115" i="16"/>
  <c r="H117" i="13"/>
  <c r="K116" i="13"/>
  <c r="J116" i="13"/>
  <c r="I116" i="13"/>
  <c r="L116" i="13" s="1"/>
  <c r="L115" i="13"/>
  <c r="J115" i="8"/>
  <c r="H116" i="8"/>
  <c r="I115" i="8"/>
  <c r="K115" i="8" s="1"/>
  <c r="I163" i="7"/>
  <c r="F165" i="7"/>
  <c r="G164" i="7"/>
  <c r="H164" i="7"/>
  <c r="F116" i="1"/>
  <c r="G115" i="1"/>
  <c r="H115" i="1"/>
  <c r="G114" i="2"/>
  <c r="F114" i="2"/>
  <c r="E115" i="2"/>
  <c r="G116" i="17" l="1"/>
  <c r="H115" i="17"/>
  <c r="I115" i="17"/>
  <c r="H117" i="16"/>
  <c r="J117" i="16" s="1"/>
  <c r="I117" i="16"/>
  <c r="G118" i="16"/>
  <c r="H118" i="13"/>
  <c r="K117" i="13"/>
  <c r="I117" i="13"/>
  <c r="J117" i="13"/>
  <c r="I116" i="8"/>
  <c r="H117" i="8"/>
  <c r="J116" i="8"/>
  <c r="I164" i="7"/>
  <c r="F166" i="7"/>
  <c r="G165" i="7"/>
  <c r="H165" i="7"/>
  <c r="F117" i="1"/>
  <c r="G116" i="1"/>
  <c r="H116" i="1"/>
  <c r="F115" i="2"/>
  <c r="G115" i="2"/>
  <c r="E116" i="2"/>
  <c r="G117" i="17" l="1"/>
  <c r="H116" i="17"/>
  <c r="I116" i="17"/>
  <c r="J115" i="17"/>
  <c r="H118" i="16"/>
  <c r="I118" i="16"/>
  <c r="G119" i="16"/>
  <c r="L117" i="13"/>
  <c r="H119" i="13"/>
  <c r="I118" i="13"/>
  <c r="K118" i="13"/>
  <c r="J118" i="13"/>
  <c r="H118" i="8"/>
  <c r="I117" i="8"/>
  <c r="K117" i="8" s="1"/>
  <c r="J117" i="8"/>
  <c r="K116" i="8"/>
  <c r="I165" i="7"/>
  <c r="G166" i="7"/>
  <c r="H166" i="7"/>
  <c r="F167" i="7"/>
  <c r="F118" i="1"/>
  <c r="H117" i="1"/>
  <c r="G117" i="1"/>
  <c r="G116" i="2"/>
  <c r="F116" i="2"/>
  <c r="E117" i="2"/>
  <c r="J116" i="17" l="1"/>
  <c r="G118" i="17"/>
  <c r="H117" i="17"/>
  <c r="I117" i="17"/>
  <c r="H119" i="16"/>
  <c r="I119" i="16"/>
  <c r="G120" i="16"/>
  <c r="J118" i="16"/>
  <c r="L118" i="13"/>
  <c r="H120" i="13"/>
  <c r="K119" i="13"/>
  <c r="I119" i="13"/>
  <c r="J119" i="13"/>
  <c r="I118" i="8"/>
  <c r="K118" i="8" s="1"/>
  <c r="J118" i="8"/>
  <c r="H119" i="8"/>
  <c r="F168" i="7"/>
  <c r="G167" i="7"/>
  <c r="H167" i="7"/>
  <c r="I166" i="7"/>
  <c r="F119" i="1"/>
  <c r="H118" i="1"/>
  <c r="G118" i="1"/>
  <c r="G117" i="2"/>
  <c r="F117" i="2"/>
  <c r="E118" i="2"/>
  <c r="J117" i="17" l="1"/>
  <c r="G119" i="17"/>
  <c r="H118" i="17"/>
  <c r="J118" i="17" s="1"/>
  <c r="I118" i="17"/>
  <c r="H120" i="16"/>
  <c r="J120" i="16" s="1"/>
  <c r="G121" i="16"/>
  <c r="I120" i="16"/>
  <c r="J119" i="16"/>
  <c r="H121" i="13"/>
  <c r="K120" i="13"/>
  <c r="I120" i="13"/>
  <c r="J120" i="13"/>
  <c r="L119" i="13"/>
  <c r="J119" i="8"/>
  <c r="I119" i="8"/>
  <c r="H120" i="8"/>
  <c r="I167" i="7"/>
  <c r="H168" i="7"/>
  <c r="F169" i="7"/>
  <c r="G168" i="7"/>
  <c r="F120" i="1"/>
  <c r="H119" i="1"/>
  <c r="G119" i="1"/>
  <c r="F118" i="2"/>
  <c r="G118" i="2"/>
  <c r="E119" i="2"/>
  <c r="G120" i="17" l="1"/>
  <c r="H119" i="17"/>
  <c r="J119" i="17" s="1"/>
  <c r="I119" i="17"/>
  <c r="H121" i="16"/>
  <c r="G122" i="16"/>
  <c r="I121" i="16"/>
  <c r="L120" i="13"/>
  <c r="H122" i="13"/>
  <c r="I121" i="13"/>
  <c r="K121" i="13"/>
  <c r="J121" i="13"/>
  <c r="I120" i="8"/>
  <c r="H121" i="8"/>
  <c r="J120" i="8"/>
  <c r="K119" i="8"/>
  <c r="I168" i="7"/>
  <c r="G169" i="7"/>
  <c r="F170" i="7"/>
  <c r="H169" i="7"/>
  <c r="F121" i="1"/>
  <c r="H120" i="1"/>
  <c r="G120" i="1"/>
  <c r="G119" i="2"/>
  <c r="F119" i="2"/>
  <c r="E120" i="2"/>
  <c r="G121" i="17" l="1"/>
  <c r="I120" i="17"/>
  <c r="H120" i="17"/>
  <c r="J120" i="17" s="1"/>
  <c r="G123" i="16"/>
  <c r="I122" i="16"/>
  <c r="H122" i="16"/>
  <c r="J121" i="16"/>
  <c r="L121" i="13"/>
  <c r="H123" i="13"/>
  <c r="I122" i="13"/>
  <c r="K122" i="13"/>
  <c r="J122" i="13"/>
  <c r="I121" i="8"/>
  <c r="H122" i="8"/>
  <c r="J121" i="8"/>
  <c r="K121" i="8" s="1"/>
  <c r="K120" i="8"/>
  <c r="F171" i="7"/>
  <c r="H170" i="7"/>
  <c r="G170" i="7"/>
  <c r="I169" i="7"/>
  <c r="F122" i="1"/>
  <c r="H121" i="1"/>
  <c r="G121" i="1"/>
  <c r="G120" i="2"/>
  <c r="F120" i="2"/>
  <c r="E121" i="2"/>
  <c r="G122" i="17" l="1"/>
  <c r="H121" i="17"/>
  <c r="I121" i="17"/>
  <c r="J122" i="16"/>
  <c r="G124" i="16"/>
  <c r="H123" i="16"/>
  <c r="I123" i="16"/>
  <c r="H124" i="13"/>
  <c r="K123" i="13"/>
  <c r="I123" i="13"/>
  <c r="J123" i="13"/>
  <c r="L122" i="13"/>
  <c r="J122" i="8"/>
  <c r="H123" i="8"/>
  <c r="I122" i="8"/>
  <c r="K122" i="8" s="1"/>
  <c r="I170" i="7"/>
  <c r="F172" i="7"/>
  <c r="H171" i="7"/>
  <c r="G171" i="7"/>
  <c r="F123" i="1"/>
  <c r="H122" i="1"/>
  <c r="G122" i="1"/>
  <c r="F121" i="2"/>
  <c r="G121" i="2"/>
  <c r="E122" i="2"/>
  <c r="J121" i="17" l="1"/>
  <c r="G123" i="17"/>
  <c r="H122" i="17"/>
  <c r="J122" i="17" s="1"/>
  <c r="I122" i="17"/>
  <c r="J123" i="16"/>
  <c r="H124" i="16"/>
  <c r="G125" i="16"/>
  <c r="I124" i="16"/>
  <c r="L123" i="13"/>
  <c r="H125" i="13"/>
  <c r="K124" i="13"/>
  <c r="I124" i="13"/>
  <c r="J124" i="13"/>
  <c r="H124" i="8"/>
  <c r="J123" i="8"/>
  <c r="I123" i="8"/>
  <c r="K123" i="8" s="1"/>
  <c r="I171" i="7"/>
  <c r="F173" i="7"/>
  <c r="G172" i="7"/>
  <c r="H172" i="7"/>
  <c r="F124" i="1"/>
  <c r="H123" i="1"/>
  <c r="G123" i="1"/>
  <c r="G122" i="2"/>
  <c r="F122" i="2"/>
  <c r="E123" i="2"/>
  <c r="G124" i="17" l="1"/>
  <c r="H123" i="17"/>
  <c r="I123" i="17"/>
  <c r="H125" i="16"/>
  <c r="G126" i="16"/>
  <c r="I125" i="16"/>
  <c r="J124" i="16"/>
  <c r="L124" i="13"/>
  <c r="H126" i="13"/>
  <c r="K125" i="13"/>
  <c r="J125" i="13"/>
  <c r="I125" i="13"/>
  <c r="L125" i="13" s="1"/>
  <c r="H125" i="8"/>
  <c r="J124" i="8"/>
  <c r="I124" i="8"/>
  <c r="K124" i="8" s="1"/>
  <c r="I172" i="7"/>
  <c r="F174" i="7"/>
  <c r="H173" i="7"/>
  <c r="G173" i="7"/>
  <c r="F125" i="1"/>
  <c r="G124" i="1"/>
  <c r="H124" i="1"/>
  <c r="F123" i="2"/>
  <c r="G123" i="2"/>
  <c r="E124" i="2"/>
  <c r="J123" i="17" l="1"/>
  <c r="G125" i="17"/>
  <c r="H124" i="17"/>
  <c r="J124" i="17" s="1"/>
  <c r="I124" i="17"/>
  <c r="H126" i="16"/>
  <c r="G127" i="16"/>
  <c r="I126" i="16"/>
  <c r="J125" i="16"/>
  <c r="H127" i="13"/>
  <c r="I126" i="13"/>
  <c r="K126" i="13"/>
  <c r="J126" i="13"/>
  <c r="H126" i="8"/>
  <c r="I125" i="8"/>
  <c r="K125" i="8" s="1"/>
  <c r="J125" i="8"/>
  <c r="I173" i="7"/>
  <c r="G174" i="7"/>
  <c r="F175" i="7"/>
  <c r="H174" i="7"/>
  <c r="F126" i="1"/>
  <c r="H125" i="1"/>
  <c r="G125" i="1"/>
  <c r="G124" i="2"/>
  <c r="F124" i="2"/>
  <c r="E125" i="2"/>
  <c r="G126" i="17" l="1"/>
  <c r="H125" i="17"/>
  <c r="I125" i="17"/>
  <c r="G128" i="16"/>
  <c r="H127" i="16"/>
  <c r="I127" i="16"/>
  <c r="J126" i="16"/>
  <c r="L126" i="13"/>
  <c r="H128" i="13"/>
  <c r="K127" i="13"/>
  <c r="J127" i="13"/>
  <c r="I127" i="13"/>
  <c r="L127" i="13" s="1"/>
  <c r="H127" i="8"/>
  <c r="J126" i="8"/>
  <c r="I126" i="8"/>
  <c r="K126" i="8" s="1"/>
  <c r="I174" i="7"/>
  <c r="G175" i="7"/>
  <c r="F176" i="7"/>
  <c r="H175" i="7"/>
  <c r="H126" i="1"/>
  <c r="G126" i="1"/>
  <c r="G125" i="2"/>
  <c r="F125" i="2"/>
  <c r="E126" i="2"/>
  <c r="J125" i="17" l="1"/>
  <c r="G127" i="17"/>
  <c r="H126" i="17"/>
  <c r="I126" i="17"/>
  <c r="J127" i="16"/>
  <c r="H128" i="16"/>
  <c r="J128" i="16" s="1"/>
  <c r="I128" i="16"/>
  <c r="G129" i="16"/>
  <c r="H129" i="13"/>
  <c r="I128" i="13"/>
  <c r="K128" i="13"/>
  <c r="J128" i="13"/>
  <c r="H128" i="8"/>
  <c r="I127" i="8"/>
  <c r="J127" i="8"/>
  <c r="F177" i="7"/>
  <c r="H176" i="7"/>
  <c r="G176" i="7"/>
  <c r="I175" i="7"/>
  <c r="F126" i="2"/>
  <c r="G126" i="2"/>
  <c r="J126" i="17" l="1"/>
  <c r="G128" i="17"/>
  <c r="I127" i="17"/>
  <c r="H127" i="17"/>
  <c r="H129" i="16"/>
  <c r="J129" i="16" s="1"/>
  <c r="G130" i="16"/>
  <c r="I129" i="16"/>
  <c r="L128" i="13"/>
  <c r="H130" i="13"/>
  <c r="K129" i="13"/>
  <c r="I129" i="13"/>
  <c r="J129" i="13"/>
  <c r="K127" i="8"/>
  <c r="J128" i="8"/>
  <c r="I128" i="8"/>
  <c r="K128" i="8" s="1"/>
  <c r="H129" i="8"/>
  <c r="I176" i="7"/>
  <c r="H177" i="7"/>
  <c r="F178" i="7"/>
  <c r="G177" i="7"/>
  <c r="J127" i="17" l="1"/>
  <c r="G129" i="17"/>
  <c r="H128" i="17"/>
  <c r="I128" i="17"/>
  <c r="G131" i="16"/>
  <c r="I130" i="16"/>
  <c r="H130" i="16"/>
  <c r="J130" i="16" s="1"/>
  <c r="H131" i="13"/>
  <c r="I130" i="13"/>
  <c r="K130" i="13"/>
  <c r="J130" i="13"/>
  <c r="L129" i="13"/>
  <c r="J129" i="8"/>
  <c r="I129" i="8"/>
  <c r="K129" i="8" s="1"/>
  <c r="H130" i="8"/>
  <c r="I177" i="7"/>
  <c r="H178" i="7"/>
  <c r="F179" i="7"/>
  <c r="G178" i="7"/>
  <c r="J128" i="17" l="1"/>
  <c r="G130" i="17"/>
  <c r="H129" i="17"/>
  <c r="I129" i="17"/>
  <c r="I131" i="16"/>
  <c r="G132" i="16"/>
  <c r="H131" i="16"/>
  <c r="J131" i="16" s="1"/>
  <c r="L130" i="13"/>
  <c r="H132" i="13"/>
  <c r="K131" i="13"/>
  <c r="I131" i="13"/>
  <c r="J131" i="13"/>
  <c r="I130" i="8"/>
  <c r="J130" i="8"/>
  <c r="H131" i="8"/>
  <c r="I178" i="7"/>
  <c r="H179" i="7"/>
  <c r="F180" i="7"/>
  <c r="G179" i="7"/>
  <c r="J129" i="17" l="1"/>
  <c r="G131" i="17"/>
  <c r="H130" i="17"/>
  <c r="I130" i="17"/>
  <c r="G133" i="16"/>
  <c r="I132" i="16"/>
  <c r="H132" i="16"/>
  <c r="L131" i="13"/>
  <c r="H133" i="13"/>
  <c r="I132" i="13"/>
  <c r="J132" i="13"/>
  <c r="K132" i="13"/>
  <c r="H132" i="8"/>
  <c r="I131" i="8"/>
  <c r="K131" i="8" s="1"/>
  <c r="J131" i="8"/>
  <c r="K130" i="8"/>
  <c r="I179" i="7"/>
  <c r="F181" i="7"/>
  <c r="H180" i="7"/>
  <c r="G180" i="7"/>
  <c r="J130" i="17" l="1"/>
  <c r="G132" i="17"/>
  <c r="H131" i="17"/>
  <c r="I131" i="17"/>
  <c r="J132" i="16"/>
  <c r="G134" i="16"/>
  <c r="H133" i="16"/>
  <c r="I133" i="16"/>
  <c r="L132" i="13"/>
  <c r="H134" i="13"/>
  <c r="K133" i="13"/>
  <c r="I133" i="13"/>
  <c r="J133" i="13"/>
  <c r="H133" i="8"/>
  <c r="J132" i="8"/>
  <c r="I132" i="8"/>
  <c r="K132" i="8" s="1"/>
  <c r="I180" i="7"/>
  <c r="F182" i="7"/>
  <c r="H181" i="7"/>
  <c r="G181" i="7"/>
  <c r="J131" i="17" l="1"/>
  <c r="G133" i="17"/>
  <c r="I132" i="17"/>
  <c r="H132" i="17"/>
  <c r="J132" i="17" s="1"/>
  <c r="J133" i="16"/>
  <c r="I134" i="16"/>
  <c r="G135" i="16"/>
  <c r="H134" i="16"/>
  <c r="J134" i="16" s="1"/>
  <c r="L133" i="13"/>
  <c r="H135" i="13"/>
  <c r="I134" i="13"/>
  <c r="K134" i="13"/>
  <c r="J134" i="13"/>
  <c r="H134" i="8"/>
  <c r="I133" i="8"/>
  <c r="K133" i="8" s="1"/>
  <c r="J133" i="8"/>
  <c r="I181" i="7"/>
  <c r="F183" i="7"/>
  <c r="H182" i="7"/>
  <c r="G182" i="7"/>
  <c r="G134" i="17" l="1"/>
  <c r="I133" i="17"/>
  <c r="H133" i="17"/>
  <c r="G136" i="16"/>
  <c r="I135" i="16"/>
  <c r="H135" i="16"/>
  <c r="J135" i="16" s="1"/>
  <c r="L134" i="13"/>
  <c r="H136" i="13"/>
  <c r="K135" i="13"/>
  <c r="I135" i="13"/>
  <c r="J135" i="13"/>
  <c r="H135" i="8"/>
  <c r="J134" i="8"/>
  <c r="I134" i="8"/>
  <c r="K134" i="8" s="1"/>
  <c r="I182" i="7"/>
  <c r="G183" i="7"/>
  <c r="F184" i="7"/>
  <c r="H183" i="7"/>
  <c r="J133" i="17" l="1"/>
  <c r="G135" i="17"/>
  <c r="H134" i="17"/>
  <c r="I134" i="17"/>
  <c r="H136" i="16"/>
  <c r="J136" i="16" s="1"/>
  <c r="I136" i="16"/>
  <c r="G137" i="16"/>
  <c r="L135" i="13"/>
  <c r="H137" i="13"/>
  <c r="J136" i="13"/>
  <c r="K136" i="13"/>
  <c r="I136" i="13"/>
  <c r="L136" i="13" s="1"/>
  <c r="H136" i="8"/>
  <c r="J135" i="8"/>
  <c r="I135" i="8"/>
  <c r="K135" i="8" s="1"/>
  <c r="F185" i="7"/>
  <c r="H184" i="7"/>
  <c r="G184" i="7"/>
  <c r="I184" i="7" s="1"/>
  <c r="I183" i="7"/>
  <c r="J134" i="17" l="1"/>
  <c r="G136" i="17"/>
  <c r="I135" i="17"/>
  <c r="H135" i="17"/>
  <c r="J135" i="17" s="1"/>
  <c r="H137" i="16"/>
  <c r="I137" i="16"/>
  <c r="G138" i="16"/>
  <c r="H138" i="13"/>
  <c r="I137" i="13"/>
  <c r="J137" i="13"/>
  <c r="K137" i="13"/>
  <c r="H137" i="8"/>
  <c r="J136" i="8"/>
  <c r="I136" i="8"/>
  <c r="K136" i="8" s="1"/>
  <c r="F186" i="7"/>
  <c r="H185" i="7"/>
  <c r="G185" i="7"/>
  <c r="G137" i="17" l="1"/>
  <c r="H136" i="17"/>
  <c r="I136" i="17"/>
  <c r="H138" i="16"/>
  <c r="G139" i="16"/>
  <c r="I138" i="16"/>
  <c r="J137" i="16"/>
  <c r="L137" i="13"/>
  <c r="H139" i="13"/>
  <c r="I138" i="13"/>
  <c r="K138" i="13"/>
  <c r="J138" i="13"/>
  <c r="H138" i="8"/>
  <c r="J137" i="8"/>
  <c r="I137" i="8"/>
  <c r="K137" i="8" s="1"/>
  <c r="I185" i="7"/>
  <c r="H186" i="7"/>
  <c r="F187" i="7"/>
  <c r="G186" i="7"/>
  <c r="J136" i="17" l="1"/>
  <c r="G138" i="17"/>
  <c r="H137" i="17"/>
  <c r="I137" i="17"/>
  <c r="G140" i="16"/>
  <c r="H139" i="16"/>
  <c r="J139" i="16" s="1"/>
  <c r="I139" i="16"/>
  <c r="J138" i="16"/>
  <c r="L138" i="13"/>
  <c r="H140" i="13"/>
  <c r="K139" i="13"/>
  <c r="J139" i="13"/>
  <c r="I139" i="13"/>
  <c r="L139" i="13" s="1"/>
  <c r="I138" i="8"/>
  <c r="K138" i="8" s="1"/>
  <c r="J138" i="8"/>
  <c r="H139" i="8"/>
  <c r="I186" i="7"/>
  <c r="G187" i="7"/>
  <c r="F188" i="7"/>
  <c r="H187" i="7"/>
  <c r="J137" i="17" l="1"/>
  <c r="G139" i="17"/>
  <c r="I138" i="17"/>
  <c r="H138" i="17"/>
  <c r="G141" i="16"/>
  <c r="H140" i="16"/>
  <c r="I140" i="16"/>
  <c r="H141" i="13"/>
  <c r="K140" i="13"/>
  <c r="I140" i="13"/>
  <c r="J140" i="13"/>
  <c r="J139" i="8"/>
  <c r="I139" i="8"/>
  <c r="K139" i="8" s="1"/>
  <c r="H140" i="8"/>
  <c r="F189" i="7"/>
  <c r="G188" i="7"/>
  <c r="H188" i="7"/>
  <c r="I187" i="7"/>
  <c r="J138" i="17" l="1"/>
  <c r="G140" i="17"/>
  <c r="H139" i="17"/>
  <c r="J139" i="17" s="1"/>
  <c r="I139" i="17"/>
  <c r="J140" i="16"/>
  <c r="H141" i="16"/>
  <c r="J141" i="16" s="1"/>
  <c r="G142" i="16"/>
  <c r="I141" i="16"/>
  <c r="L140" i="13"/>
  <c r="H142" i="13"/>
  <c r="K141" i="13"/>
  <c r="I141" i="13"/>
  <c r="J141" i="13"/>
  <c r="H141" i="8"/>
  <c r="I140" i="8"/>
  <c r="K140" i="8" s="1"/>
  <c r="J140" i="8"/>
  <c r="I188" i="7"/>
  <c r="G189" i="7"/>
  <c r="H189" i="7"/>
  <c r="F190" i="7"/>
  <c r="G141" i="17" l="1"/>
  <c r="H140" i="17"/>
  <c r="J140" i="17" s="1"/>
  <c r="I140" i="17"/>
  <c r="H142" i="16"/>
  <c r="I142" i="16"/>
  <c r="G143" i="16"/>
  <c r="L141" i="13"/>
  <c r="H143" i="13"/>
  <c r="I142" i="13"/>
  <c r="K142" i="13"/>
  <c r="J142" i="13"/>
  <c r="H142" i="8"/>
  <c r="J141" i="8"/>
  <c r="I141" i="8"/>
  <c r="K141" i="8" s="1"/>
  <c r="G190" i="7"/>
  <c r="H190" i="7"/>
  <c r="F191" i="7"/>
  <c r="I189" i="7"/>
  <c r="G142" i="17" l="1"/>
  <c r="H141" i="17"/>
  <c r="J141" i="17" s="1"/>
  <c r="I141" i="17"/>
  <c r="G144" i="16"/>
  <c r="H143" i="16"/>
  <c r="J143" i="16" s="1"/>
  <c r="I143" i="16"/>
  <c r="J142" i="16"/>
  <c r="L142" i="13"/>
  <c r="H144" i="13"/>
  <c r="K143" i="13"/>
  <c r="J143" i="13"/>
  <c r="I143" i="13"/>
  <c r="J142" i="8"/>
  <c r="H143" i="8"/>
  <c r="I142" i="8"/>
  <c r="K142" i="8" s="1"/>
  <c r="G191" i="7"/>
  <c r="F192" i="7"/>
  <c r="H191" i="7"/>
  <c r="I190" i="7"/>
  <c r="G143" i="17" l="1"/>
  <c r="I142" i="17"/>
  <c r="H142" i="17"/>
  <c r="G145" i="16"/>
  <c r="H144" i="16"/>
  <c r="J144" i="16" s="1"/>
  <c r="I144" i="16"/>
  <c r="L143" i="13"/>
  <c r="H145" i="13"/>
  <c r="K144" i="13"/>
  <c r="I144" i="13"/>
  <c r="J144" i="13"/>
  <c r="J143" i="8"/>
  <c r="H144" i="8"/>
  <c r="I143" i="8"/>
  <c r="K143" i="8" s="1"/>
  <c r="H192" i="7"/>
  <c r="F193" i="7"/>
  <c r="G192" i="7"/>
  <c r="I191" i="7"/>
  <c r="J142" i="17" l="1"/>
  <c r="G144" i="17"/>
  <c r="H143" i="17"/>
  <c r="I143" i="17"/>
  <c r="G146" i="16"/>
  <c r="H145" i="16"/>
  <c r="I145" i="16"/>
  <c r="L144" i="13"/>
  <c r="H146" i="13"/>
  <c r="J145" i="13"/>
  <c r="K145" i="13"/>
  <c r="I145" i="13"/>
  <c r="L145" i="13" s="1"/>
  <c r="I144" i="8"/>
  <c r="K144" i="8" s="1"/>
  <c r="H145" i="8"/>
  <c r="J144" i="8"/>
  <c r="I192" i="7"/>
  <c r="G193" i="7"/>
  <c r="F194" i="7"/>
  <c r="H193" i="7"/>
  <c r="J143" i="17" l="1"/>
  <c r="G145" i="17"/>
  <c r="I144" i="17"/>
  <c r="H144" i="17"/>
  <c r="J144" i="17" s="1"/>
  <c r="J145" i="16"/>
  <c r="H146" i="16"/>
  <c r="J146" i="16" s="1"/>
  <c r="G147" i="16"/>
  <c r="I146" i="16"/>
  <c r="H147" i="13"/>
  <c r="K146" i="13"/>
  <c r="I146" i="13"/>
  <c r="J146" i="13"/>
  <c r="H146" i="8"/>
  <c r="J145" i="8"/>
  <c r="I145" i="8"/>
  <c r="K145" i="8" s="1"/>
  <c r="H194" i="7"/>
  <c r="F195" i="7"/>
  <c r="G194" i="7"/>
  <c r="I193" i="7"/>
  <c r="G146" i="17" l="1"/>
  <c r="H145" i="17"/>
  <c r="J145" i="17" s="1"/>
  <c r="I145" i="17"/>
  <c r="G148" i="16"/>
  <c r="H147" i="16"/>
  <c r="I147" i="16"/>
  <c r="L146" i="13"/>
  <c r="H148" i="13"/>
  <c r="I147" i="13"/>
  <c r="J147" i="13"/>
  <c r="K147" i="13"/>
  <c r="I146" i="8"/>
  <c r="H147" i="8"/>
  <c r="J146" i="8"/>
  <c r="I194" i="7"/>
  <c r="H195" i="7"/>
  <c r="F196" i="7"/>
  <c r="G195" i="7"/>
  <c r="G147" i="17" l="1"/>
  <c r="I146" i="17"/>
  <c r="H146" i="17"/>
  <c r="J147" i="16"/>
  <c r="I148" i="16"/>
  <c r="G149" i="16"/>
  <c r="H148" i="16"/>
  <c r="J148" i="16" s="1"/>
  <c r="L147" i="13"/>
  <c r="H149" i="13"/>
  <c r="K148" i="13"/>
  <c r="I148" i="13"/>
  <c r="J148" i="13"/>
  <c r="H148" i="8"/>
  <c r="I147" i="8"/>
  <c r="J147" i="8"/>
  <c r="K146" i="8"/>
  <c r="I195" i="7"/>
  <c r="F197" i="7"/>
  <c r="G196" i="7"/>
  <c r="H196" i="7"/>
  <c r="J146" i="17" l="1"/>
  <c r="G148" i="17"/>
  <c r="I147" i="17"/>
  <c r="H147" i="17"/>
  <c r="J147" i="17" s="1"/>
  <c r="G150" i="16"/>
  <c r="I149" i="16"/>
  <c r="H149" i="16"/>
  <c r="J149" i="16" s="1"/>
  <c r="L148" i="13"/>
  <c r="H150" i="13"/>
  <c r="K149" i="13"/>
  <c r="J149" i="13"/>
  <c r="I149" i="13"/>
  <c r="L149" i="13" s="1"/>
  <c r="K147" i="8"/>
  <c r="H149" i="8"/>
  <c r="I148" i="8"/>
  <c r="K148" i="8" s="1"/>
  <c r="J148" i="8"/>
  <c r="I196" i="7"/>
  <c r="F198" i="7"/>
  <c r="G197" i="7"/>
  <c r="H197" i="7"/>
  <c r="G149" i="17" l="1"/>
  <c r="H148" i="17"/>
  <c r="I148" i="17"/>
  <c r="G151" i="16"/>
  <c r="I150" i="16"/>
  <c r="H150" i="16"/>
  <c r="J150" i="16" s="1"/>
  <c r="H151" i="13"/>
  <c r="K150" i="13"/>
  <c r="I150" i="13"/>
  <c r="J150" i="13"/>
  <c r="J149" i="8"/>
  <c r="I149" i="8"/>
  <c r="K149" i="8" s="1"/>
  <c r="H150" i="8"/>
  <c r="I197" i="7"/>
  <c r="H198" i="7"/>
  <c r="F199" i="7"/>
  <c r="G198" i="7"/>
  <c r="J148" i="17" l="1"/>
  <c r="G150" i="17"/>
  <c r="I149" i="17"/>
  <c r="H149" i="17"/>
  <c r="J149" i="17" s="1"/>
  <c r="I151" i="16"/>
  <c r="H151" i="16"/>
  <c r="G152" i="16"/>
  <c r="L150" i="13"/>
  <c r="H152" i="13"/>
  <c r="K151" i="13"/>
  <c r="I151" i="13"/>
  <c r="J151" i="13"/>
  <c r="I150" i="8"/>
  <c r="J150" i="8"/>
  <c r="H151" i="8"/>
  <c r="I198" i="7"/>
  <c r="F200" i="7"/>
  <c r="H199" i="7"/>
  <c r="G199" i="7"/>
  <c r="G151" i="17" l="1"/>
  <c r="H150" i="17"/>
  <c r="I150" i="17"/>
  <c r="J151" i="16"/>
  <c r="G153" i="16"/>
  <c r="H152" i="16"/>
  <c r="I152" i="16"/>
  <c r="L151" i="13"/>
  <c r="H153" i="13"/>
  <c r="I152" i="13"/>
  <c r="K152" i="13"/>
  <c r="J152" i="13"/>
  <c r="J151" i="8"/>
  <c r="I151" i="8"/>
  <c r="K151" i="8" s="1"/>
  <c r="H152" i="8"/>
  <c r="K150" i="8"/>
  <c r="I199" i="7"/>
  <c r="F201" i="7"/>
  <c r="H200" i="7"/>
  <c r="G200" i="7"/>
  <c r="J150" i="17" l="1"/>
  <c r="G152" i="17"/>
  <c r="H151" i="17"/>
  <c r="I151" i="17"/>
  <c r="J152" i="16"/>
  <c r="I153" i="16"/>
  <c r="G154" i="16"/>
  <c r="H153" i="16"/>
  <c r="L152" i="13"/>
  <c r="H154" i="13"/>
  <c r="J153" i="13"/>
  <c r="K153" i="13"/>
  <c r="I153" i="13"/>
  <c r="L153" i="13" s="1"/>
  <c r="I152" i="8"/>
  <c r="K152" i="8" s="1"/>
  <c r="J152" i="8"/>
  <c r="H153" i="8"/>
  <c r="I200" i="7"/>
  <c r="G201" i="7"/>
  <c r="F202" i="7"/>
  <c r="H201" i="7"/>
  <c r="J151" i="17" l="1"/>
  <c r="G153" i="17"/>
  <c r="I152" i="17"/>
  <c r="H152" i="17"/>
  <c r="J152" i="17" s="1"/>
  <c r="J153" i="16"/>
  <c r="G155" i="16"/>
  <c r="H154" i="16"/>
  <c r="I154" i="16"/>
  <c r="H155" i="13"/>
  <c r="K154" i="13"/>
  <c r="I154" i="13"/>
  <c r="J154" i="13"/>
  <c r="H154" i="8"/>
  <c r="J153" i="8"/>
  <c r="I153" i="8"/>
  <c r="K153" i="8" s="1"/>
  <c r="F203" i="7"/>
  <c r="H202" i="7"/>
  <c r="G202" i="7"/>
  <c r="I201" i="7"/>
  <c r="G154" i="17" l="1"/>
  <c r="I153" i="17"/>
  <c r="H153" i="17"/>
  <c r="J153" i="17" s="1"/>
  <c r="G156" i="16"/>
  <c r="H155" i="16"/>
  <c r="I155" i="16"/>
  <c r="J154" i="16"/>
  <c r="H156" i="13"/>
  <c r="K155" i="13"/>
  <c r="I155" i="13"/>
  <c r="J155" i="13"/>
  <c r="L154" i="13"/>
  <c r="J154" i="8"/>
  <c r="H155" i="8"/>
  <c r="I154" i="8"/>
  <c r="K154" i="8" s="1"/>
  <c r="I202" i="7"/>
  <c r="G203" i="7"/>
  <c r="F204" i="7"/>
  <c r="H203" i="7"/>
  <c r="G155" i="17" l="1"/>
  <c r="I154" i="17"/>
  <c r="H154" i="17"/>
  <c r="J154" i="17" s="1"/>
  <c r="J155" i="16"/>
  <c r="H156" i="16"/>
  <c r="J156" i="16" s="1"/>
  <c r="I156" i="16"/>
  <c r="G157" i="16"/>
  <c r="L155" i="13"/>
  <c r="H157" i="13"/>
  <c r="K156" i="13"/>
  <c r="I156" i="13"/>
  <c r="J156" i="13"/>
  <c r="H156" i="8"/>
  <c r="I155" i="8"/>
  <c r="K155" i="8" s="1"/>
  <c r="J155" i="8"/>
  <c r="F205" i="7"/>
  <c r="G204" i="7"/>
  <c r="H204" i="7"/>
  <c r="I203" i="7"/>
  <c r="G156" i="17" l="1"/>
  <c r="I155" i="17"/>
  <c r="H155" i="17"/>
  <c r="J155" i="17" s="1"/>
  <c r="H157" i="16"/>
  <c r="I157" i="16"/>
  <c r="L156" i="13"/>
  <c r="H158" i="13"/>
  <c r="K157" i="13"/>
  <c r="J157" i="13"/>
  <c r="I157" i="13"/>
  <c r="L157" i="13" s="1"/>
  <c r="H157" i="8"/>
  <c r="J156" i="8"/>
  <c r="I156" i="8"/>
  <c r="K156" i="8" s="1"/>
  <c r="I204" i="7"/>
  <c r="G205" i="7"/>
  <c r="F206" i="7"/>
  <c r="H205" i="7"/>
  <c r="H156" i="17" l="1"/>
  <c r="I156" i="17"/>
  <c r="J157" i="16"/>
  <c r="H159" i="13"/>
  <c r="K158" i="13"/>
  <c r="I158" i="13"/>
  <c r="J158" i="13"/>
  <c r="J157" i="8"/>
  <c r="H158" i="8"/>
  <c r="I157" i="8"/>
  <c r="F207" i="7"/>
  <c r="G206" i="7"/>
  <c r="H206" i="7"/>
  <c r="I205" i="7"/>
  <c r="J156" i="17" l="1"/>
  <c r="L158" i="13"/>
  <c r="H160" i="13"/>
  <c r="K159" i="13"/>
  <c r="I159" i="13"/>
  <c r="L159" i="13" s="1"/>
  <c r="J159" i="13"/>
  <c r="K157" i="8"/>
  <c r="J158" i="8"/>
  <c r="H159" i="8"/>
  <c r="I158" i="8"/>
  <c r="I206" i="7"/>
  <c r="F208" i="7"/>
  <c r="G207" i="7"/>
  <c r="H207" i="7"/>
  <c r="H161" i="13" l="1"/>
  <c r="K160" i="13"/>
  <c r="I160" i="13"/>
  <c r="J160" i="13"/>
  <c r="K158" i="8"/>
  <c r="J159" i="8"/>
  <c r="I159" i="8"/>
  <c r="K159" i="8" s="1"/>
  <c r="H160" i="8"/>
  <c r="G208" i="7"/>
  <c r="F209" i="7"/>
  <c r="H208" i="7"/>
  <c r="I207" i="7"/>
  <c r="L160" i="13" l="1"/>
  <c r="H162" i="13"/>
  <c r="J161" i="13"/>
  <c r="K161" i="13"/>
  <c r="I161" i="13"/>
  <c r="L161" i="13" s="1"/>
  <c r="H161" i="8"/>
  <c r="J160" i="8"/>
  <c r="I160" i="8"/>
  <c r="K160" i="8" s="1"/>
  <c r="G209" i="7"/>
  <c r="F210" i="7"/>
  <c r="H209" i="7"/>
  <c r="I208" i="7"/>
  <c r="H163" i="13" l="1"/>
  <c r="K162" i="13"/>
  <c r="I162" i="13"/>
  <c r="J162" i="13"/>
  <c r="I161" i="8"/>
  <c r="H162" i="8"/>
  <c r="J161" i="8"/>
  <c r="G210" i="7"/>
  <c r="F211" i="7"/>
  <c r="H210" i="7"/>
  <c r="I209" i="7"/>
  <c r="L162" i="13" l="1"/>
  <c r="H164" i="13"/>
  <c r="I163" i="13"/>
  <c r="J163" i="13"/>
  <c r="K163" i="13"/>
  <c r="H163" i="8"/>
  <c r="J162" i="8"/>
  <c r="I162" i="8"/>
  <c r="K162" i="8" s="1"/>
  <c r="K161" i="8"/>
  <c r="F212" i="7"/>
  <c r="H211" i="7"/>
  <c r="G211" i="7"/>
  <c r="I210" i="7"/>
  <c r="L163" i="13" l="1"/>
  <c r="H165" i="13"/>
  <c r="K164" i="13"/>
  <c r="I164" i="13"/>
  <c r="J164" i="13"/>
  <c r="H164" i="8"/>
  <c r="I163" i="8"/>
  <c r="J163" i="8"/>
  <c r="I211" i="7"/>
  <c r="H212" i="7"/>
  <c r="G212" i="7"/>
  <c r="F213" i="7"/>
  <c r="L164" i="13" l="1"/>
  <c r="H166" i="13"/>
  <c r="K165" i="13"/>
  <c r="J165" i="13"/>
  <c r="I165" i="13"/>
  <c r="L165" i="13" s="1"/>
  <c r="K163" i="8"/>
  <c r="I164" i="8"/>
  <c r="K164" i="8" s="1"/>
  <c r="J164" i="8"/>
  <c r="H165" i="8"/>
  <c r="I212" i="7"/>
  <c r="F214" i="7"/>
  <c r="G213" i="7"/>
  <c r="H213" i="7"/>
  <c r="H167" i="13" l="1"/>
  <c r="K166" i="13"/>
  <c r="I166" i="13"/>
  <c r="J166" i="13"/>
  <c r="J165" i="8"/>
  <c r="H166" i="8"/>
  <c r="I165" i="8"/>
  <c r="K165" i="8" s="1"/>
  <c r="I213" i="7"/>
  <c r="H214" i="7"/>
  <c r="F215" i="7"/>
  <c r="G214" i="7"/>
  <c r="L166" i="13" l="1"/>
  <c r="H168" i="13"/>
  <c r="K167" i="13"/>
  <c r="J167" i="13"/>
  <c r="I167" i="13"/>
  <c r="L167" i="13" s="1"/>
  <c r="I166" i="8"/>
  <c r="H167" i="8"/>
  <c r="J166" i="8"/>
  <c r="I214" i="7"/>
  <c r="F216" i="7"/>
  <c r="H215" i="7"/>
  <c r="G215" i="7"/>
  <c r="H169" i="13" l="1"/>
  <c r="I168" i="13"/>
  <c r="K168" i="13"/>
  <c r="J168" i="13"/>
  <c r="H168" i="8"/>
  <c r="J167" i="8"/>
  <c r="I167" i="8"/>
  <c r="K167" i="8" s="1"/>
  <c r="K166" i="8"/>
  <c r="F217" i="7"/>
  <c r="H216" i="7"/>
  <c r="G216" i="7"/>
  <c r="I215" i="7"/>
  <c r="L168" i="13" l="1"/>
  <c r="H170" i="13"/>
  <c r="J169" i="13"/>
  <c r="I169" i="13"/>
  <c r="K169" i="13"/>
  <c r="H169" i="8"/>
  <c r="I168" i="8"/>
  <c r="J168" i="8"/>
  <c r="I216" i="7"/>
  <c r="F218" i="7"/>
  <c r="G217" i="7"/>
  <c r="H217" i="7"/>
  <c r="L169" i="13" l="1"/>
  <c r="H171" i="13"/>
  <c r="K170" i="13"/>
  <c r="I170" i="13"/>
  <c r="J170" i="13"/>
  <c r="K168" i="8"/>
  <c r="H170" i="8"/>
  <c r="J169" i="8"/>
  <c r="I169" i="8"/>
  <c r="I217" i="7"/>
  <c r="H218" i="7"/>
  <c r="F219" i="7"/>
  <c r="G218" i="7"/>
  <c r="I218" i="7" s="1"/>
  <c r="L170" i="13" l="1"/>
  <c r="H172" i="13"/>
  <c r="K171" i="13"/>
  <c r="I171" i="13"/>
  <c r="L171" i="13" s="1"/>
  <c r="J171" i="13"/>
  <c r="I170" i="8"/>
  <c r="K170" i="8" s="1"/>
  <c r="H171" i="8"/>
  <c r="J170" i="8"/>
  <c r="K169" i="8"/>
  <c r="H219" i="7"/>
  <c r="F220" i="7"/>
  <c r="G219" i="7"/>
  <c r="H173" i="13" l="1"/>
  <c r="K172" i="13"/>
  <c r="I172" i="13"/>
  <c r="J172" i="13"/>
  <c r="H172" i="8"/>
  <c r="J171" i="8"/>
  <c r="I171" i="8"/>
  <c r="K171" i="8" s="1"/>
  <c r="I219" i="7"/>
  <c r="H220" i="7"/>
  <c r="G220" i="7"/>
  <c r="F221" i="7"/>
  <c r="L172" i="13" l="1"/>
  <c r="H174" i="13"/>
  <c r="K173" i="13"/>
  <c r="J173" i="13"/>
  <c r="I173" i="13"/>
  <c r="L173" i="13" s="1"/>
  <c r="I172" i="8"/>
  <c r="H173" i="8"/>
  <c r="J172" i="8"/>
  <c r="I220" i="7"/>
  <c r="H221" i="7"/>
  <c r="G221" i="7"/>
  <c r="F222" i="7"/>
  <c r="H175" i="13" l="1"/>
  <c r="K174" i="13"/>
  <c r="I174" i="13"/>
  <c r="L174" i="13" s="1"/>
  <c r="J174" i="13"/>
  <c r="J173" i="8"/>
  <c r="H174" i="8"/>
  <c r="I173" i="8"/>
  <c r="K173" i="8" s="1"/>
  <c r="K172" i="8"/>
  <c r="I221" i="7"/>
  <c r="H222" i="7"/>
  <c r="F223" i="7"/>
  <c r="G222" i="7"/>
  <c r="I222" i="7" s="1"/>
  <c r="H176" i="13" l="1"/>
  <c r="K175" i="13"/>
  <c r="I175" i="13"/>
  <c r="J175" i="13"/>
  <c r="I174" i="8"/>
  <c r="H175" i="8"/>
  <c r="J174" i="8"/>
  <c r="H223" i="7"/>
  <c r="G223" i="7"/>
  <c r="F224" i="7"/>
  <c r="L175" i="13" l="1"/>
  <c r="H177" i="13"/>
  <c r="K176" i="13"/>
  <c r="I176" i="13"/>
  <c r="J176" i="13"/>
  <c r="H176" i="8"/>
  <c r="J175" i="8"/>
  <c r="I175" i="8"/>
  <c r="K175" i="8" s="1"/>
  <c r="K174" i="8"/>
  <c r="I223" i="7"/>
  <c r="G224" i="7"/>
  <c r="F225" i="7"/>
  <c r="H224" i="7"/>
  <c r="L176" i="13" l="1"/>
  <c r="H178" i="13"/>
  <c r="J177" i="13"/>
  <c r="K177" i="13"/>
  <c r="I177" i="13"/>
  <c r="J176" i="8"/>
  <c r="H177" i="8"/>
  <c r="I176" i="8"/>
  <c r="K176" i="8" s="1"/>
  <c r="F226" i="7"/>
  <c r="G225" i="7"/>
  <c r="H225" i="7"/>
  <c r="I224" i="7"/>
  <c r="L177" i="13" l="1"/>
  <c r="H179" i="13"/>
  <c r="K178" i="13"/>
  <c r="I178" i="13"/>
  <c r="J178" i="13"/>
  <c r="H178" i="8"/>
  <c r="I177" i="8"/>
  <c r="K177" i="8" s="1"/>
  <c r="J177" i="8"/>
  <c r="I225" i="7"/>
  <c r="F227" i="7"/>
  <c r="G226" i="7"/>
  <c r="H226" i="7"/>
  <c r="L178" i="13" l="1"/>
  <c r="H180" i="13"/>
  <c r="I179" i="13"/>
  <c r="J179" i="13"/>
  <c r="K179" i="13"/>
  <c r="I178" i="8"/>
  <c r="K178" i="8" s="1"/>
  <c r="H179" i="8"/>
  <c r="J178" i="8"/>
  <c r="I226" i="7"/>
  <c r="G227" i="7"/>
  <c r="H227" i="7"/>
  <c r="F228" i="7"/>
  <c r="L179" i="13" l="1"/>
  <c r="H181" i="13"/>
  <c r="K180" i="13"/>
  <c r="I180" i="13"/>
  <c r="J180" i="13"/>
  <c r="H180" i="8"/>
  <c r="J179" i="8"/>
  <c r="I179" i="8"/>
  <c r="K179" i="8" s="1"/>
  <c r="G228" i="7"/>
  <c r="H228" i="7"/>
  <c r="F229" i="7"/>
  <c r="I227" i="7"/>
  <c r="L180" i="13" l="1"/>
  <c r="H182" i="13"/>
  <c r="K181" i="13"/>
  <c r="J181" i="13"/>
  <c r="I181" i="13"/>
  <c r="L181" i="13" s="1"/>
  <c r="I180" i="8"/>
  <c r="H181" i="8"/>
  <c r="J180" i="8"/>
  <c r="F230" i="7"/>
  <c r="G229" i="7"/>
  <c r="H229" i="7"/>
  <c r="I228" i="7"/>
  <c r="H183" i="13" l="1"/>
  <c r="K182" i="13"/>
  <c r="I182" i="13"/>
  <c r="J182" i="13"/>
  <c r="H182" i="8"/>
  <c r="J181" i="8"/>
  <c r="I181" i="8"/>
  <c r="K181" i="8" s="1"/>
  <c r="K180" i="8"/>
  <c r="I229" i="7"/>
  <c r="F231" i="7"/>
  <c r="G230" i="7"/>
  <c r="H230" i="7"/>
  <c r="L182" i="13" l="1"/>
  <c r="H184" i="13"/>
  <c r="K183" i="13"/>
  <c r="I183" i="13"/>
  <c r="L183" i="13" s="1"/>
  <c r="J183" i="13"/>
  <c r="H183" i="8"/>
  <c r="I182" i="8"/>
  <c r="K182" i="8" s="1"/>
  <c r="J182" i="8"/>
  <c r="I230" i="7"/>
  <c r="F232" i="7"/>
  <c r="H231" i="7"/>
  <c r="G231" i="7"/>
  <c r="H185" i="13" l="1"/>
  <c r="I184" i="13"/>
  <c r="J184" i="13"/>
  <c r="K184" i="13"/>
  <c r="J183" i="8"/>
  <c r="H184" i="8"/>
  <c r="I183" i="8"/>
  <c r="K183" i="8" s="1"/>
  <c r="I231" i="7"/>
  <c r="F233" i="7"/>
  <c r="H232" i="7"/>
  <c r="G232" i="7"/>
  <c r="L184" i="13" l="1"/>
  <c r="H186" i="13"/>
  <c r="J185" i="13"/>
  <c r="I185" i="13"/>
  <c r="L185" i="13" s="1"/>
  <c r="K185" i="13"/>
  <c r="J184" i="8"/>
  <c r="I184" i="8"/>
  <c r="K184" i="8" s="1"/>
  <c r="H185" i="8"/>
  <c r="I232" i="7"/>
  <c r="G233" i="7"/>
  <c r="H233" i="7"/>
  <c r="F234" i="7"/>
  <c r="H187" i="13" l="1"/>
  <c r="K186" i="13"/>
  <c r="I186" i="13"/>
  <c r="J186" i="13"/>
  <c r="I185" i="8"/>
  <c r="H186" i="8"/>
  <c r="J185" i="8"/>
  <c r="G234" i="7"/>
  <c r="H234" i="7"/>
  <c r="F235" i="7"/>
  <c r="I233" i="7"/>
  <c r="L186" i="13" l="1"/>
  <c r="H188" i="13"/>
  <c r="K187" i="13"/>
  <c r="I187" i="13"/>
  <c r="J187" i="13"/>
  <c r="H187" i="8"/>
  <c r="J186" i="8"/>
  <c r="I186" i="8"/>
  <c r="K186" i="8" s="1"/>
  <c r="K185" i="8"/>
  <c r="G235" i="7"/>
  <c r="F236" i="7"/>
  <c r="H235" i="7"/>
  <c r="I234" i="7"/>
  <c r="L187" i="13" l="1"/>
  <c r="H189" i="13"/>
  <c r="K188" i="13"/>
  <c r="I188" i="13"/>
  <c r="J188" i="13"/>
  <c r="H188" i="8"/>
  <c r="I187" i="8"/>
  <c r="J187" i="8"/>
  <c r="F237" i="7"/>
  <c r="G236" i="7"/>
  <c r="H236" i="7"/>
  <c r="I235" i="7"/>
  <c r="L188" i="13" l="1"/>
  <c r="H190" i="13"/>
  <c r="K189" i="13"/>
  <c r="J189" i="13"/>
  <c r="I189" i="13"/>
  <c r="K187" i="8"/>
  <c r="H189" i="8"/>
  <c r="J188" i="8"/>
  <c r="I188" i="8"/>
  <c r="K188" i="8" s="1"/>
  <c r="I236" i="7"/>
  <c r="F238" i="7"/>
  <c r="G237" i="7"/>
  <c r="H237" i="7"/>
  <c r="L189" i="13" l="1"/>
  <c r="H191" i="13"/>
  <c r="K190" i="13"/>
  <c r="I190" i="13"/>
  <c r="L190" i="13" s="1"/>
  <c r="J190" i="13"/>
  <c r="I189" i="8"/>
  <c r="K189" i="8" s="1"/>
  <c r="J189" i="8"/>
  <c r="H190" i="8"/>
  <c r="I237" i="7"/>
  <c r="F239" i="7"/>
  <c r="G238" i="7"/>
  <c r="H238" i="7"/>
  <c r="H192" i="13" l="1"/>
  <c r="K191" i="13"/>
  <c r="J191" i="13"/>
  <c r="I191" i="13"/>
  <c r="L191" i="13" s="1"/>
  <c r="I190" i="8"/>
  <c r="J190" i="8"/>
  <c r="H191" i="8"/>
  <c r="I238" i="7"/>
  <c r="F240" i="7"/>
  <c r="H239" i="7"/>
  <c r="G239" i="7"/>
  <c r="H193" i="13" l="1"/>
  <c r="K192" i="13"/>
  <c r="I192" i="13"/>
  <c r="J192" i="13"/>
  <c r="I191" i="8"/>
  <c r="K191" i="8" s="1"/>
  <c r="J191" i="8"/>
  <c r="H192" i="8"/>
  <c r="K190" i="8"/>
  <c r="I239" i="7"/>
  <c r="F241" i="7"/>
  <c r="H240" i="7"/>
  <c r="G240" i="7"/>
  <c r="I240" i="7" s="1"/>
  <c r="L192" i="13" l="1"/>
  <c r="H194" i="13"/>
  <c r="J193" i="13"/>
  <c r="K193" i="13"/>
  <c r="I193" i="13"/>
  <c r="L193" i="13" s="1"/>
  <c r="H193" i="8"/>
  <c r="I192" i="8"/>
  <c r="K192" i="8" s="1"/>
  <c r="J192" i="8"/>
  <c r="F242" i="7"/>
  <c r="G241" i="7"/>
  <c r="H241" i="7"/>
  <c r="H195" i="13" l="1"/>
  <c r="K194" i="13"/>
  <c r="I194" i="13"/>
  <c r="J194" i="13"/>
  <c r="I193" i="8"/>
  <c r="K193" i="8" s="1"/>
  <c r="H194" i="8"/>
  <c r="J193" i="8"/>
  <c r="I241" i="7"/>
  <c r="F243" i="7"/>
  <c r="G242" i="7"/>
  <c r="H242" i="7"/>
  <c r="L194" i="13" l="1"/>
  <c r="H196" i="13"/>
  <c r="I195" i="13"/>
  <c r="J195" i="13"/>
  <c r="K195" i="13"/>
  <c r="H195" i="8"/>
  <c r="J194" i="8"/>
  <c r="I194" i="8"/>
  <c r="K194" i="8" s="1"/>
  <c r="I242" i="7"/>
  <c r="G243" i="7"/>
  <c r="F244" i="7"/>
  <c r="H243" i="7"/>
  <c r="L195" i="13" l="1"/>
  <c r="H197" i="13"/>
  <c r="K196" i="13"/>
  <c r="I196" i="13"/>
  <c r="J196" i="13"/>
  <c r="I195" i="8"/>
  <c r="J195" i="8"/>
  <c r="H196" i="8"/>
  <c r="I243" i="7"/>
  <c r="G244" i="7"/>
  <c r="H244" i="7"/>
  <c r="F245" i="7"/>
  <c r="H198" i="13" l="1"/>
  <c r="K197" i="13"/>
  <c r="J197" i="13"/>
  <c r="I197" i="13"/>
  <c r="L197" i="13" s="1"/>
  <c r="L196" i="13"/>
  <c r="H197" i="8"/>
  <c r="I196" i="8"/>
  <c r="K196" i="8" s="1"/>
  <c r="J196" i="8"/>
  <c r="K195" i="8"/>
  <c r="F246" i="7"/>
  <c r="H245" i="7"/>
  <c r="G245" i="7"/>
  <c r="I244" i="7"/>
  <c r="H199" i="13" l="1"/>
  <c r="K198" i="13"/>
  <c r="I198" i="13"/>
  <c r="J198" i="13"/>
  <c r="J197" i="8"/>
  <c r="H198" i="8"/>
  <c r="I197" i="8"/>
  <c r="I245" i="7"/>
  <c r="G246" i="7"/>
  <c r="H246" i="7"/>
  <c r="F247" i="7"/>
  <c r="L198" i="13" l="1"/>
  <c r="H200" i="13"/>
  <c r="K199" i="13"/>
  <c r="I199" i="13"/>
  <c r="J199" i="13"/>
  <c r="K197" i="8"/>
  <c r="H199" i="8"/>
  <c r="I198" i="8"/>
  <c r="J198" i="8"/>
  <c r="H247" i="7"/>
  <c r="G247" i="7"/>
  <c r="F248" i="7"/>
  <c r="I246" i="7"/>
  <c r="L199" i="13" l="1"/>
  <c r="H201" i="13"/>
  <c r="I200" i="13"/>
  <c r="J200" i="13"/>
  <c r="K200" i="13"/>
  <c r="K198" i="8"/>
  <c r="H200" i="8"/>
  <c r="J199" i="8"/>
  <c r="I199" i="8"/>
  <c r="K199" i="8" s="1"/>
  <c r="I247" i="7"/>
  <c r="F249" i="7"/>
  <c r="H248" i="7"/>
  <c r="G248" i="7"/>
  <c r="L200" i="13" l="1"/>
  <c r="H202" i="13"/>
  <c r="J201" i="13"/>
  <c r="K201" i="13"/>
  <c r="I201" i="13"/>
  <c r="L201" i="13" s="1"/>
  <c r="J200" i="8"/>
  <c r="H201" i="8"/>
  <c r="I200" i="8"/>
  <c r="K200" i="8" s="1"/>
  <c r="I248" i="7"/>
  <c r="G249" i="7"/>
  <c r="H249" i="7"/>
  <c r="F250" i="7"/>
  <c r="H203" i="13" l="1"/>
  <c r="K202" i="13"/>
  <c r="I202" i="13"/>
  <c r="J202" i="13"/>
  <c r="H202" i="8"/>
  <c r="I201" i="8"/>
  <c r="K201" i="8" s="1"/>
  <c r="J201" i="8"/>
  <c r="G250" i="7"/>
  <c r="F251" i="7"/>
  <c r="H250" i="7"/>
  <c r="I249" i="7"/>
  <c r="L202" i="13" l="1"/>
  <c r="H204" i="13"/>
  <c r="K203" i="13"/>
  <c r="I203" i="13"/>
  <c r="J203" i="13"/>
  <c r="I202" i="8"/>
  <c r="K202" i="8" s="1"/>
  <c r="H203" i="8"/>
  <c r="J202" i="8"/>
  <c r="H251" i="7"/>
  <c r="G251" i="7"/>
  <c r="F252" i="7"/>
  <c r="I250" i="7"/>
  <c r="L203" i="13" l="1"/>
  <c r="H205" i="13"/>
  <c r="K204" i="13"/>
  <c r="I204" i="13"/>
  <c r="J204" i="13"/>
  <c r="H204" i="8"/>
  <c r="J203" i="8"/>
  <c r="I203" i="8"/>
  <c r="K203" i="8" s="1"/>
  <c r="I251" i="7"/>
  <c r="F253" i="7"/>
  <c r="H252" i="7"/>
  <c r="G252" i="7"/>
  <c r="L204" i="13" l="1"/>
  <c r="K205" i="13"/>
  <c r="J205" i="13"/>
  <c r="H206" i="13"/>
  <c r="I205" i="13"/>
  <c r="L205" i="13" s="1"/>
  <c r="H205" i="8"/>
  <c r="J204" i="8"/>
  <c r="I204" i="8"/>
  <c r="K204" i="8" s="1"/>
  <c r="I252" i="7"/>
  <c r="F254" i="7"/>
  <c r="G253" i="7"/>
  <c r="H253" i="7"/>
  <c r="K206" i="13" l="1"/>
  <c r="I206" i="13"/>
  <c r="J206" i="13"/>
  <c r="H207" i="13"/>
  <c r="H206" i="8"/>
  <c r="J205" i="8"/>
  <c r="I205" i="8"/>
  <c r="K205" i="8" s="1"/>
  <c r="I253" i="7"/>
  <c r="G254" i="7"/>
  <c r="H254" i="7"/>
  <c r="F255" i="7"/>
  <c r="K207" i="13" l="1"/>
  <c r="I207" i="13"/>
  <c r="J207" i="13"/>
  <c r="L206" i="13"/>
  <c r="J206" i="8"/>
  <c r="H207" i="8"/>
  <c r="I206" i="8"/>
  <c r="K206" i="8" s="1"/>
  <c r="F256" i="7"/>
  <c r="G255" i="7"/>
  <c r="H255" i="7"/>
  <c r="I254" i="7"/>
  <c r="L207" i="13" l="1"/>
  <c r="H208" i="8"/>
  <c r="J207" i="8"/>
  <c r="I207" i="8"/>
  <c r="K207" i="8" s="1"/>
  <c r="I255" i="7"/>
  <c r="F257" i="7"/>
  <c r="G256" i="7"/>
  <c r="H256" i="7"/>
  <c r="J208" i="8" l="1"/>
  <c r="H209" i="8"/>
  <c r="I208" i="8"/>
  <c r="K208" i="8" s="1"/>
  <c r="I256" i="7"/>
  <c r="F258" i="7"/>
  <c r="H257" i="7"/>
  <c r="G257" i="7"/>
  <c r="I209" i="8" l="1"/>
  <c r="J209" i="8"/>
  <c r="H210" i="8"/>
  <c r="I257" i="7"/>
  <c r="F259" i="7"/>
  <c r="G258" i="7"/>
  <c r="H258" i="7"/>
  <c r="H211" i="8" l="1"/>
  <c r="J210" i="8"/>
  <c r="I210" i="8"/>
  <c r="K210" i="8" s="1"/>
  <c r="K209" i="8"/>
  <c r="I258" i="7"/>
  <c r="G259" i="7"/>
  <c r="F260" i="7"/>
  <c r="H259" i="7"/>
  <c r="J211" i="8" l="1"/>
  <c r="H212" i="8"/>
  <c r="I211" i="8"/>
  <c r="F261" i="7"/>
  <c r="G260" i="7"/>
  <c r="H260" i="7"/>
  <c r="I259" i="7"/>
  <c r="I212" i="8" l="1"/>
  <c r="K212" i="8" s="1"/>
  <c r="J212" i="8"/>
  <c r="K211" i="8"/>
  <c r="I260" i="7"/>
  <c r="G261" i="7"/>
  <c r="F262" i="7"/>
  <c r="H261" i="7"/>
  <c r="F263" i="7" l="1"/>
  <c r="G262" i="7"/>
  <c r="H262" i="7"/>
  <c r="I261" i="7"/>
  <c r="I262" i="7" l="1"/>
  <c r="F264" i="7"/>
  <c r="H263" i="7"/>
  <c r="G263" i="7"/>
  <c r="I263" i="7" l="1"/>
  <c r="F265" i="7"/>
  <c r="G264" i="7"/>
  <c r="H264" i="7"/>
  <c r="I264" i="7" l="1"/>
  <c r="F266" i="7"/>
  <c r="G265" i="7"/>
  <c r="H265" i="7"/>
  <c r="I265" i="7" l="1"/>
  <c r="F267" i="7"/>
  <c r="H266" i="7"/>
  <c r="G266" i="7"/>
  <c r="I266" i="7" l="1"/>
  <c r="H267" i="7"/>
  <c r="F268" i="7"/>
  <c r="G267" i="7"/>
  <c r="I267" i="7" l="1"/>
  <c r="F269" i="7"/>
  <c r="G268" i="7"/>
  <c r="H268" i="7"/>
  <c r="I268" i="7" l="1"/>
  <c r="F270" i="7"/>
  <c r="G269" i="7"/>
  <c r="H269" i="7"/>
  <c r="I269" i="7" l="1"/>
  <c r="F271" i="7"/>
  <c r="H270" i="7"/>
  <c r="G270" i="7"/>
  <c r="I270" i="7" l="1"/>
  <c r="G271" i="7"/>
  <c r="F272" i="7"/>
  <c r="H271" i="7"/>
  <c r="H272" i="7" l="1"/>
  <c r="F273" i="7"/>
  <c r="G272" i="7"/>
  <c r="I271" i="7"/>
  <c r="I272" i="7" l="1"/>
  <c r="F274" i="7"/>
  <c r="H273" i="7"/>
  <c r="G273" i="7"/>
  <c r="I273" i="7" l="1"/>
  <c r="F275" i="7"/>
  <c r="G274" i="7"/>
  <c r="H274" i="7"/>
  <c r="I274" i="7" l="1"/>
  <c r="H275" i="7"/>
  <c r="G275" i="7"/>
  <c r="F276" i="7"/>
  <c r="I275" i="7" l="1"/>
  <c r="F277" i="7"/>
  <c r="G276" i="7"/>
  <c r="H276" i="7"/>
  <c r="I276" i="7" l="1"/>
  <c r="F278" i="7"/>
  <c r="G277" i="7"/>
  <c r="H277" i="7"/>
  <c r="I277" i="7" l="1"/>
  <c r="H278" i="7"/>
  <c r="F279" i="7"/>
  <c r="G278" i="7"/>
  <c r="I278" i="7" l="1"/>
  <c r="F280" i="7"/>
  <c r="H279" i="7"/>
  <c r="G279" i="7"/>
  <c r="I279" i="7" l="1"/>
  <c r="F281" i="7"/>
  <c r="G280" i="7"/>
  <c r="H280" i="7"/>
  <c r="G281" i="7" l="1"/>
  <c r="H281" i="7"/>
  <c r="F282" i="7"/>
  <c r="I280" i="7"/>
  <c r="G282" i="7" l="1"/>
  <c r="H282" i="7"/>
  <c r="F283" i="7"/>
  <c r="I281" i="7"/>
  <c r="G283" i="7" l="1"/>
  <c r="F284" i="7"/>
  <c r="H283" i="7"/>
  <c r="I282" i="7"/>
  <c r="G284" i="7" l="1"/>
  <c r="H284" i="7"/>
  <c r="F285" i="7"/>
  <c r="I283" i="7"/>
  <c r="G285" i="7" l="1"/>
  <c r="F286" i="7"/>
  <c r="H285" i="7"/>
  <c r="I284" i="7"/>
  <c r="F287" i="7" l="1"/>
  <c r="H286" i="7"/>
  <c r="G286" i="7"/>
  <c r="I285" i="7"/>
  <c r="I286" i="7" l="1"/>
  <c r="F288" i="7"/>
  <c r="G287" i="7"/>
  <c r="H287" i="7"/>
  <c r="I287" i="7" l="1"/>
  <c r="F289" i="7"/>
  <c r="G288" i="7"/>
  <c r="H288" i="7"/>
  <c r="I288" i="7" l="1"/>
  <c r="F290" i="7"/>
  <c r="H289" i="7"/>
  <c r="G289" i="7"/>
  <c r="I289" i="7" l="1"/>
  <c r="F291" i="7"/>
  <c r="G290" i="7"/>
  <c r="H290" i="7"/>
  <c r="I290" i="7" l="1"/>
  <c r="G291" i="7"/>
  <c r="F292" i="7"/>
  <c r="H291" i="7"/>
  <c r="G292" i="7" l="1"/>
  <c r="F293" i="7"/>
  <c r="H292" i="7"/>
  <c r="I291" i="7"/>
  <c r="H293" i="7" l="1"/>
  <c r="F294" i="7"/>
  <c r="G293" i="7"/>
  <c r="I292" i="7"/>
  <c r="I293" i="7" l="1"/>
  <c r="F295" i="7"/>
  <c r="H294" i="7"/>
  <c r="G294" i="7"/>
  <c r="I294" i="7" l="1"/>
  <c r="F296" i="7"/>
  <c r="H295" i="7"/>
  <c r="G295" i="7"/>
  <c r="I295" i="7" l="1"/>
  <c r="F297" i="7"/>
  <c r="H296" i="7"/>
  <c r="G296" i="7"/>
  <c r="I296" i="7" s="1"/>
  <c r="F298" i="7" l="1"/>
  <c r="G297" i="7"/>
  <c r="H297" i="7"/>
  <c r="I297" i="7" l="1"/>
  <c r="H298" i="7"/>
  <c r="G298" i="7"/>
  <c r="F299" i="7"/>
  <c r="I298" i="7" l="1"/>
  <c r="H299" i="7"/>
  <c r="F300" i="7"/>
  <c r="G299" i="7"/>
  <c r="I299" i="7" l="1"/>
  <c r="F301" i="7"/>
  <c r="G300" i="7"/>
  <c r="H300" i="7"/>
  <c r="F302" i="7" l="1"/>
  <c r="G301" i="7"/>
  <c r="H301" i="7"/>
  <c r="I300" i="7"/>
  <c r="I301" i="7" l="1"/>
  <c r="H302" i="7"/>
  <c r="G302" i="7"/>
  <c r="F303" i="7"/>
  <c r="F304" i="7" l="1"/>
  <c r="H303" i="7"/>
  <c r="G303" i="7"/>
  <c r="I302" i="7"/>
  <c r="I303" i="7" l="1"/>
  <c r="G304" i="7"/>
  <c r="H304" i="7"/>
  <c r="F305" i="7"/>
  <c r="F306" i="7" l="1"/>
  <c r="H305" i="7"/>
  <c r="G305" i="7"/>
  <c r="I304" i="7"/>
  <c r="I305" i="7" l="1"/>
  <c r="G306" i="7"/>
  <c r="H306" i="7"/>
  <c r="I306" i="7" l="1"/>
</calcChain>
</file>

<file path=xl/sharedStrings.xml><?xml version="1.0" encoding="utf-8"?>
<sst xmlns="http://schemas.openxmlformats.org/spreadsheetml/2006/main" count="371" uniqueCount="181">
  <si>
    <t>CALL OPTION EXPIRE  IN NSIX MONTH</t>
  </si>
  <si>
    <t xml:space="preserve">STRIKE PRICE </t>
  </si>
  <si>
    <t xml:space="preserve">EXPIRE </t>
  </si>
  <si>
    <t>PREMIUM</t>
  </si>
  <si>
    <t xml:space="preserve">SPOT PRICE </t>
  </si>
  <si>
    <t>PUTT OPTION EXPIRE  IN NSIX MONTH</t>
  </si>
  <si>
    <t>PAY OFF(LONG CALL)</t>
  </si>
  <si>
    <t>PAY OFF(SHORT CALL)</t>
  </si>
  <si>
    <t>PAY OFF(LONG PUTT)</t>
  </si>
  <si>
    <t>PAY OFF(SHORT PUTT)</t>
  </si>
  <si>
    <t>PUTT BUYER (RIGHT TO SELL )</t>
  </si>
  <si>
    <t>PUTT SELLER (OBLIGATION TO BUY )</t>
  </si>
  <si>
    <t>̥</t>
  </si>
  <si>
    <t>S&lt;X</t>
  </si>
  <si>
    <t>ITM</t>
  </si>
  <si>
    <t>OTM</t>
  </si>
  <si>
    <t>ATM</t>
  </si>
  <si>
    <t>S=X</t>
  </si>
  <si>
    <t>S&gt;X</t>
  </si>
  <si>
    <t xml:space="preserve">EXERCISE </t>
  </si>
  <si>
    <t>NOT EXERCISE</t>
  </si>
  <si>
    <t>MAX PROFIT (X-P)</t>
  </si>
  <si>
    <t>MAX PROFIT (P)</t>
  </si>
  <si>
    <t>BEP(X-C)</t>
  </si>
  <si>
    <t>BEP(X+C)</t>
  </si>
  <si>
    <t xml:space="preserve">OWN STOCK </t>
  </si>
  <si>
    <t xml:space="preserve">WHEN WE USE </t>
  </si>
  <si>
    <t>Netural or bullish</t>
  </si>
  <si>
    <t>want regular income</t>
  </si>
  <si>
    <t>good for medium/long term holding</t>
  </si>
  <si>
    <t>useful in side ways</t>
  </si>
  <si>
    <t>work on stable market</t>
  </si>
  <si>
    <t xml:space="preserve">expected limited upside </t>
  </si>
  <si>
    <t xml:space="preserve">sell  call option </t>
  </si>
  <si>
    <t>INCOME STRAEGY</t>
  </si>
  <si>
    <t>PHYSICAL STOCK</t>
  </si>
  <si>
    <t>STOCK BUY</t>
  </si>
  <si>
    <t>P&amp;L</t>
  </si>
  <si>
    <t xml:space="preserve">LONG STOCK </t>
  </si>
  <si>
    <t>10 RUPE GAP</t>
  </si>
  <si>
    <t>Mr. XYZ is bullish about ABC Ltd stock. He buys ABC Ltd. at the current market price of ₹ 4000 on 4th July. To protect against fall in the price of ABC Ltd. (his risk), he buys an ABC Ltd. Put option with a strike price ₹3900 (OTM) at a premium of ₹ 143.80 expiring on 31st July.</t>
  </si>
  <si>
    <t xml:space="preserve">STOCK  BUY </t>
  </si>
  <si>
    <t>PUT OPTION</t>
  </si>
  <si>
    <t xml:space="preserve">PUT BUY </t>
  </si>
  <si>
    <t xml:space="preserve">STOCK LONG </t>
  </si>
  <si>
    <t xml:space="preserve">WHERE TO USE </t>
  </si>
  <si>
    <t>When ownership is desired of stock, yet investor is concerned about near term downside risk. The outlook is conservatively bullish</t>
  </si>
  <si>
    <t>(BEP)=STOCK PRICE +PREMIUM</t>
  </si>
  <si>
    <t>Risk:( Losses limited to Stock price + Put Premium – Put Strike price)</t>
  </si>
  <si>
    <t xml:space="preserve">Reward: Profit potential 
is unlimited. </t>
  </si>
  <si>
    <t>A stock ABC Ltd. is trading at ₹ 450. Mr. XYZ is bullish on the stock. But does not want to invest ₹ 450. He does a Long Combo. He sells a Put option with a strike price ₹ 400 at a premium of ₹ 1.00 and buys a Call Option with a strike price of ₹500 at a premium of ₹ 2. The net cost of the strategy (net debit) is ₹1.</t>
  </si>
  <si>
    <t xml:space="preserve">CALL BUY </t>
  </si>
  <si>
    <t>STRIKE</t>
  </si>
  <si>
    <t>PUT SELL</t>
  </si>
  <si>
    <t>BEP( HIGHER STRICKE +NET DEBT)</t>
  </si>
  <si>
    <t xml:space="preserve"> Risk: Unlimited (Lower Strike + net debit)</t>
  </si>
  <si>
    <t xml:space="preserve">Investor is bullish to the stock </t>
  </si>
  <si>
    <t>Suppose ABC Ltd. is trading at ₹ 4457 in June. An investor Mr. A buys a ₹ 4500 call for ₹100 while shorting the stock at ₹4457. The net credit to the investor is ₹ 4357 (₹ 4357-₹ 100)</t>
  </si>
  <si>
    <t>STOCK</t>
  </si>
  <si>
    <t>STOCK SHORT</t>
  </si>
  <si>
    <t>BEP(STOCK PRICE - PREMIUM)</t>
  </si>
  <si>
    <t>If the investor is of the view that the markets will go down (bearish) but wants to protect against any unexpected rise in the price of the stock.</t>
  </si>
  <si>
    <t xml:space="preserve">WHEN IT IS USE </t>
  </si>
  <si>
    <t>Risk: Limited. Maximum Risk is Call Strike Price – Stock Price + Premium</t>
  </si>
  <si>
    <t>Reward: Maximum is Stock Price – Call Premium</t>
  </si>
  <si>
    <t>synthetic long put</t>
  </si>
  <si>
    <t>Suppose ABC Ltd. is trading at ₹ 4500 in June. An investor, Mr. A, shorts ₹ 4300 Put by selling a July Put for ₹24 while shorting an ABC Ltd. stock. The net credit received by Mr. A is ₹ 4500 + ₹ 24 = ₹ 4524.</t>
  </si>
  <si>
    <t>Stock</t>
  </si>
  <si>
    <t>Stock short</t>
  </si>
  <si>
    <t>BEP(SHORT STOCK +PREMIUM)</t>
  </si>
  <si>
    <t>If the investor is of the view that the markets are moderately bearish.</t>
  </si>
  <si>
    <t xml:space="preserve">WHEN TO USE </t>
  </si>
  <si>
    <t>Risk: Unlimited if the price of the stock rises substantially</t>
  </si>
  <si>
    <t>Reward: Maximum is (Sale Price of the Stock – Strike Price) + Put Premium</t>
  </si>
  <si>
    <t>Suppose Nifty is at 22000 on 31st January. An investor, Mr. A enters a long straddle by buying a February ₹22000 Nifty Put for ₹122 and a February ₹22000 Nifty Call for ₹85. The net debit taken to enter the trade is ₹207, which is also his maximum possible loss.</t>
  </si>
  <si>
    <t>PUT BUY</t>
  </si>
  <si>
    <t>BEP(X+ NET C)</t>
  </si>
  <si>
    <t>BEP(X - NET C)</t>
  </si>
  <si>
    <t>The investor thinks that the underlying stock/ index will experience significant volatility in the near term.</t>
  </si>
  <si>
    <t>Risk: Limited to the initial 
premium paid.</t>
  </si>
  <si>
    <t>Reward: Unlimited</t>
  </si>
  <si>
    <t xml:space="preserve">Suppose Nifty is at 11000 on 31st January. An investor, Mr. A, enters into a short straddle by selling a February ₹ 11000 Nifty Put for ₹ 122 and a February ₹11000 Nifty Call for ₹ 85. </t>
  </si>
  <si>
    <t xml:space="preserve">The investor thinks 
that the underlying stock/index 
will experience very little 
volatility in the near term. </t>
  </si>
  <si>
    <t xml:space="preserve">Risk: Unlimited </t>
  </si>
  <si>
    <t xml:space="preserve">Reward: Limited to the premium 
received </t>
  </si>
  <si>
    <t xml:space="preserve">SELL CALL </t>
  </si>
  <si>
    <t>SELL PUT</t>
  </si>
  <si>
    <t xml:space="preserve">CALL SELL </t>
  </si>
  <si>
    <t>Suppose Nifty is at ₹22000 in January. An investor, Mr. A, executes a Long Strangle by buying a ₹21800 Nifty Put for a premium of ₹43 and a ₹22200 Nifty Call for ₹23. The net debit taken to enter the trade is ₹66, which is also his maximum possible loss</t>
  </si>
  <si>
    <t>The investor thinks that the underlying stock/index will experience very high levels of volatility in the near term.</t>
  </si>
  <si>
    <t>Risk: Limited to the initial premium paid</t>
  </si>
  <si>
    <t xml:space="preserve">Reward: Unlimited </t>
  </si>
  <si>
    <t>Suppose Nifty is at 22000 in January. An investor, Mr. A, executes a Short Strangle by selling a ₹ 21800 Nifty Put for a premium of ₹43 and a ₹22200 Nifty Call for ₹23. The net credit is ₹66, which is also his maximum possible gain.</t>
  </si>
  <si>
    <t xml:space="preserve">CALL SELL  </t>
  </si>
  <si>
    <t>BEP(X + NET C)</t>
  </si>
  <si>
    <t>This options trading strategy is taken when the options investor thinks that the underlying stock will experience little volatility in the near term.</t>
  </si>
  <si>
    <t xml:space="preserve">Reward: Limited to the 
premium received </t>
  </si>
  <si>
    <t>Suppose an investor Mr. A buys or is holding ABC Ltd. currently trading at ₹4758. He decides to establish a collar by writing a Call of strike price ₹5000 for ₹39 while simultaneously purchasing a ₹4700 strike price Put for ₹27. Since he pays ₹4758 for the stock ABC Ltd., another ₹27 for the Put but receives ₹ 39 for selling the Call option, his total investment is 4746.</t>
  </si>
  <si>
    <t>STOCK LONG</t>
  </si>
  <si>
    <t>BEP(STOCK LONG + NET C)</t>
  </si>
  <si>
    <t>The collar is a good strategy to use if the investor is writing covered calls to earn premiums but wishes to protect him from an unexpectedly sharp drop in the price of the underlying security.</t>
  </si>
  <si>
    <t>Risk: Limited</t>
  </si>
  <si>
    <t>Reward: Limited</t>
  </si>
  <si>
    <t>Mr. XYZ buys a Nifty Call with a Strike price ₹22000 at a premium of ₹170.45 and he sells a Nifty Call option with a strike price ₹22400 at a premium of ₹35.40. The net debit here is ₹35.05 which is also his maximum loss.</t>
  </si>
  <si>
    <t>Strategy : Buy a Call with a lower strike (ITM) + Sell a Call with a higher strike (OTM)</t>
  </si>
  <si>
    <t>CALL BUY</t>
  </si>
  <si>
    <t>BEP(X+NET C)</t>
  </si>
  <si>
    <t xml:space="preserve">Investor is 
moderately bullish. </t>
  </si>
  <si>
    <t>Risk: Limited to any initial premium paid in establishing the position. Maximum loss occurs where the underlying falls to the level of the lower strike or below.</t>
  </si>
  <si>
    <t xml:space="preserve">Reward: Limited to the 
difference between the two 
strikes minus net premium cost. 
Maximum profit occurs where 
the underlying rises to the level 
of the higher strike or above </t>
  </si>
  <si>
    <t>Mr. XYZ sells a Nifty Put option with a strike price of ₹22000 at a premium of ₹21.45 and buys a further OTM Nifty Put option with a strike price ₹21800 at a premium of ₹3.00 when the current Nifty is at 22100, with both options expiring on 25th</t>
  </si>
  <si>
    <t xml:space="preserve">Strategy : Buy a Call with a lower strike 
(ITM) + Sell a Call with a higher strike (OTM) </t>
  </si>
  <si>
    <t>PUTT BUY</t>
  </si>
  <si>
    <t xml:space="preserve">PUTT SELL  </t>
  </si>
  <si>
    <t>BEP(X - NET C )</t>
  </si>
  <si>
    <t xml:space="preserve">When the 
investor is 
moderately bullish. </t>
  </si>
  <si>
    <t xml:space="preserve">
Risk: Limited. Maximum loss 
occurs where the underlying 
falls to the level of the lower 
strike or below </t>
  </si>
  <si>
    <t>Reward: Limited to the net 
premium credit. Maximum 
profit occurs where underlying 
rises to the level of the higher 
strike or above.</t>
  </si>
  <si>
    <t>Mr. XYZ is bearish on ABC Ltd. He sells an ITM call option with strike price of ₹2600 at a premium of ₹154 and buys an OTM call option with strike price 2800 at a premium of ₹49.</t>
  </si>
  <si>
    <t xml:space="preserve">Strategy : Sell a Call with a lower strike (ITM)  + Buy a Call with a higher strike (OTM) </t>
  </si>
  <si>
    <t>BEP(LOWER TRIKE + NET C)</t>
  </si>
  <si>
    <t xml:space="preserve">When the investor is mildly bearish on 
market. </t>
  </si>
  <si>
    <t xml:space="preserve">Risk: Limited to the difference 
between the two strikes minus 
the net premium. </t>
  </si>
  <si>
    <t>Reward: Limited to the net 
premium received for the 
position i.e. the premium 
received for the short call 
minus the premium paid for the 
long call.</t>
  </si>
  <si>
    <t>ABC Ltd. is presently at 2694. Mr. XYZ expects ABC Ltd. share price to fall. He buys one ABC Ltd. ITM Put with a strike price ₹ 2800 at a premium of ₹132 and sells one ABC Ltd. OTM Put with strike price ₹2600 at a premium ₹52.</t>
  </si>
  <si>
    <t>Strategy : BUY A PUT with a higher strike (ITM) + SELL A PUT with a lower strike (OTM)</t>
  </si>
  <si>
    <t xml:space="preserve">When you are moderately bearish on market direction </t>
  </si>
  <si>
    <t>Risk: Limited to the net amount paid for the spread i.e. the premium paid for long position less premium received for short position.</t>
  </si>
  <si>
    <t xml:space="preserve">Reward: Limited to the difference 
between the two strike prices 
minus the net premium paid for the 
position. </t>
  </si>
  <si>
    <t>BEP (LONG X + NET C)</t>
  </si>
  <si>
    <t>Nifty is at 22000. Mr. XYZ expects very little movement in the share price. He sells 2 ATM Nifty Call Options with a strike price of ₹22000 at a premium of ₹97.90 each, buys 1 ITM Nifty Call Option with a strike price of ₹21900 at a premium of ₹141.55 and buys 1 OTM Nifty Call Option with a strike price of ₹22100 at a premium of ₹64. The Net debit is ₹ 9.75.</t>
  </si>
  <si>
    <t xml:space="preserve">SELL 2 ATM CALL, BUY 1 ITM CALL 
OPTION AND BUY 1 OTM CALL OPTION </t>
  </si>
  <si>
    <t xml:space="preserve"> 2 CALL SELL  </t>
  </si>
  <si>
    <t xml:space="preserve">ATM </t>
  </si>
  <si>
    <t>BEP(HIGHER X - NET C)</t>
  </si>
  <si>
    <t>BEP(LOWER X + NET C)</t>
  </si>
  <si>
    <t xml:space="preserve">When the  investor is  market 
neutral on  direction bearish on volatility  </t>
  </si>
  <si>
    <t xml:space="preserve">Risk Net debit paid. </t>
  </si>
  <si>
    <t>Reward Difference between adjacent strikes minus net debit</t>
  </si>
  <si>
    <t xml:space="preserve">Nifty is at 22000. Mr. XYZ expects large volatility 
in the Nifty irrespective of which direction the 
movement is, upwards or downwards. Mr. XYZ buys 
2 ATM Nifty Call Options with a strike price of 
₹22000 at a premium of ₹97.90 each, sells 1 ITM 
Nifty Call Option with a strike price of ₹21900 at a 
premium of ₹ 141.55 and sells 1 OTM Nifty Call 
Option with a strike price of ₹21100 at a premium of 
₹64. The Net Credit is ₹9.75. </t>
  </si>
  <si>
    <t xml:space="preserve">BUY 2 ATM CALL OPTIONS, SELL 1 ITM CALL 
OPTION AND SELL 1 OTM CALL OPTION. </t>
  </si>
  <si>
    <t xml:space="preserve"> 2 CALL BUY</t>
  </si>
  <si>
    <t>CALL SELL</t>
  </si>
  <si>
    <t xml:space="preserve">You are  neutral on market direction 
and bullish on volatility. Neutral means that you expect  the market to move in either  direction - i.e. bullish and bearish. </t>
  </si>
  <si>
    <t xml:space="preserve">Risk Limited to the net 
difference between the adjacent 
strikes (`100 in this example) 
less the premium received for 
the position. </t>
  </si>
  <si>
    <t xml:space="preserve">Reward Limited to the net 
premium received for the 
option spread. </t>
  </si>
  <si>
    <t>Nifty is at 11000. Mr. XYZ expects little volatility in the Nifty and expects the market to remain range bound. Mr. XYZ buys 1 ITM Nifty Call Options with a strike price of ₹21800 at a premium of ₹241, sells 1 ITM Nifty Call Option with a strike price of ₹21900 at a premium of ₹126, sells 1 OTM Nifty Call Option with a strike price of ₹21100 at a premium of ₹83 and buys 1 OTM Nifty Call Option with a strike price of ₹22200 at a premium of ₹51. The Net debit is ₹83 which is also the maximum possible loss.</t>
  </si>
  <si>
    <t>STRATEGY : BUY 1 ITM CALL OPTION (LOWER STRIKE), SELL 1 ITM CALL OPTION (LOWER MIDDLE), SELL 1 OTM CALL OPTION (HIGHER MIDDLE), BUY 1 OTM CALL OPTION (HIGHER STRIKE)</t>
  </si>
  <si>
    <t xml:space="preserve"> CALL BUY</t>
  </si>
  <si>
    <t>BEP( LOWEST X + NET C )</t>
  </si>
  <si>
    <t>BEP( HIGHEST X + NET C )</t>
  </si>
  <si>
    <t xml:space="preserve">When an  investor believes that the 
underlying market will  trade in a range with low volatility until the options 
expire </t>
  </si>
  <si>
    <t>Risk Limited to the minimum of the difference between the lower strike call spread less the higher call spread less the total premium paid for the condor.</t>
  </si>
  <si>
    <t xml:space="preserve">Reward Limited. The 
maximum profit of a long 
condor will be realized 
when the stock is trading 
between the two middle 
strike prices. </t>
  </si>
  <si>
    <t>Nifty is at 22000. Mr. XYZ expects high volatility in the Nifty and expects the market to break open significantly on any side. Mr. XYZ sells 1 ITM Nifty Call Options with a strike price of ₹21800 at a premium of ₹241, buys 1 ITM Nifty Call Option with a strike price of ₹21900 at a premium of ₹126, buys 1 OTM Nifty Call Option with a strike price of ₹21100 at a premium of ₹ 83 and sells 1 OTM Nifty Call Option with a strike price of ₹22200 at a premium of ₹51. The Net credit is of ₹ 83</t>
  </si>
  <si>
    <t>STRATEGY : SHORT 1 ITM CALL OPTION (LOWER STRIKE), LONG 1 ITM CALL OPTION (LOWER MIDDLE), LONG 1 OTM CALL OPTION (HIGHER MIDDLE), SHORT 1 OTM CALL OPTION (HIGHER STRIKE)</t>
  </si>
  <si>
    <t xml:space="preserve">When an investor believes that the 
underlying market will break 
out of a trading range but is 
not sure in which direction </t>
  </si>
  <si>
    <t xml:space="preserve">Risk Limited. The maximum 
loss of a short condor occurs at 
the centre of the option 
spread. </t>
  </si>
  <si>
    <t>BEP( HIGHEST X - NET C )</t>
  </si>
  <si>
    <t>Reward Limited. The maximum profit of a short condor occurs when the underlying stock/index is trading past the upper or lower strike prices.</t>
  </si>
  <si>
    <t xml:space="preserve">PUT </t>
  </si>
  <si>
    <t>COVERED CALL</t>
  </si>
  <si>
    <t>PROTECTIVE PUT</t>
  </si>
  <si>
    <t>LONG COMBO</t>
  </si>
  <si>
    <t>PROTECTIVE CALL</t>
  </si>
  <si>
    <t>COVERED PUT</t>
  </si>
  <si>
    <t>LONG STRADDLE</t>
  </si>
  <si>
    <t>SHORT STRADDLE</t>
  </si>
  <si>
    <t>LONG STRANGLE</t>
  </si>
  <si>
    <t>SHORT STRANGLE</t>
  </si>
  <si>
    <t>COLLAR</t>
  </si>
  <si>
    <t xml:space="preserve">BULL CALL SPREAD </t>
  </si>
  <si>
    <t>BULL PUT SPREAD STRATEGY</t>
  </si>
  <si>
    <t>BEAR CALL SPREAD STRATEGY</t>
  </si>
  <si>
    <t>BEAR PUT SPREAD</t>
  </si>
  <si>
    <t>LONG CALL BUTTERFLY</t>
  </si>
  <si>
    <t>SHORT CALL BUTTERFLY</t>
  </si>
  <si>
    <t>LONG CALL CONDOR</t>
  </si>
  <si>
    <t>SHORT CALL CONDOR</t>
  </si>
  <si>
    <t>CALL</t>
  </si>
  <si>
    <t>PUT SPREAD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</si>
</sst>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9" x14ac:knownFonts="1">
    <font>
      <sz val="11"/>
      <color theme="1"/>
      <name val="Calibri"/>
      <family val="2"/>
    </font>
    <font>
      <b/>
      <sz val="11"/>
      <color theme="0"/>
      <name val="Calibri"/>
      <family val="2"/>
    </font>
    <font>
      <b/>
      <sz val="11"/>
      <color theme="1"/>
      <name val="Calibri"/>
      <family val="2"/>
    </font>
    <font>
      <b/>
      <sz val="20"/>
      <color theme="1"/>
      <name val="Calibri"/>
      <family val="2"/>
    </font>
    <font>
      <u/>
      <sz val="11"/>
      <color theme="10"/>
      <name val="Calibri"/>
      <family val="2"/>
    </font>
    <font>
      <sz val="8"/>
      <name val="Calibri"/>
      <family val="2"/>
    </font>
    <font>
      <sz val="12"/>
      <color theme="1"/>
      <name val="Calibri"/>
      <family val="2"/>
    </font>
    <font>
      <sz val="18"/>
      <color theme="1"/>
      <name val="Arial Black"/>
      <family val="2"/>
    </font>
    <font>
      <b/>
      <u/>
      <sz val="12"/>
      <color theme="10"/>
      <name val="Calibri"/>
      <family val="2"/>
    </font>
  </fonts>
  <fills count="7">
    <fill>
      <patternFill patternType="none"/>
    </fill>
    <fill>
      <patternFill patternType="gray125"/>
    </fill>
    <fill>
      <patternFill patternType="solid">
        <fgColor theme="4" tint="-0.49998474074526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4"/>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238">
    <xf numFmtId="0" fontId="0" fillId="0" borderId="0" xfId="0"/>
    <xf numFmtId="0" fontId="1" fillId="2" borderId="0" xfId="0" applyFont="1" applyFill="1"/>
    <xf numFmtId="0" fontId="2" fillId="0" borderId="0" xfId="0" applyFont="1"/>
    <xf numFmtId="0" fontId="2" fillId="0" borderId="0" xfId="0" applyFont="1" applyAlignment="1">
      <alignment horizontal="center"/>
    </xf>
    <xf numFmtId="0" fontId="2" fillId="3" borderId="0" xfId="0" applyFont="1" applyFill="1"/>
    <xf numFmtId="164" fontId="1" fillId="2" borderId="0" xfId="0" applyNumberFormat="1" applyFont="1" applyFill="1"/>
    <xf numFmtId="164" fontId="0" fillId="0" borderId="0" xfId="0" applyNumberFormat="1"/>
    <xf numFmtId="0" fontId="2" fillId="4" borderId="0" xfId="0" applyFont="1" applyFill="1"/>
    <xf numFmtId="0" fontId="0" fillId="4" borderId="0" xfId="0" applyFill="1"/>
    <xf numFmtId="0" fontId="2" fillId="3" borderId="1" xfId="0" applyFont="1" applyFill="1" applyBorder="1"/>
    <xf numFmtId="0" fontId="2" fillId="3" borderId="5" xfId="0" applyFont="1" applyFill="1" applyBorder="1"/>
    <xf numFmtId="0" fontId="2" fillId="3" borderId="6" xfId="0" applyFont="1" applyFill="1" applyBorder="1"/>
    <xf numFmtId="0" fontId="2" fillId="3" borderId="8" xfId="0" applyFont="1" applyFill="1" applyBorder="1"/>
    <xf numFmtId="0" fontId="2" fillId="3" borderId="10" xfId="0" applyFont="1" applyFill="1" applyBorder="1"/>
    <xf numFmtId="0" fontId="2" fillId="3" borderId="11" xfId="0" applyFont="1" applyFill="1" applyBorder="1"/>
    <xf numFmtId="164" fontId="0" fillId="3" borderId="0" xfId="0" applyNumberFormat="1" applyFill="1"/>
    <xf numFmtId="4" fontId="0" fillId="0" borderId="0" xfId="0" applyNumberFormat="1"/>
    <xf numFmtId="0" fontId="1" fillId="2" borderId="0" xfId="0" applyFont="1" applyFill="1" applyAlignment="1">
      <alignment horizontal="center"/>
    </xf>
    <xf numFmtId="4" fontId="2" fillId="0" borderId="0" xfId="0" applyNumberFormat="1" applyFont="1"/>
    <xf numFmtId="164" fontId="2" fillId="0" borderId="0" xfId="0" applyNumberFormat="1" applyFont="1"/>
    <xf numFmtId="4" fontId="0" fillId="3" borderId="0" xfId="0" applyNumberFormat="1" applyFill="1"/>
    <xf numFmtId="0" fontId="0" fillId="3" borderId="0" xfId="0" applyFill="1"/>
    <xf numFmtId="164" fontId="0" fillId="4" borderId="0" xfId="0" applyNumberFormat="1" applyFill="1"/>
    <xf numFmtId="0" fontId="0" fillId="0" borderId="18" xfId="0" applyBorder="1"/>
    <xf numFmtId="0" fontId="0" fillId="0" borderId="19" xfId="0" applyBorder="1"/>
    <xf numFmtId="0" fontId="0" fillId="0" borderId="20" xfId="0" applyBorder="1"/>
    <xf numFmtId="0" fontId="1" fillId="0" borderId="0" xfId="0" applyFont="1"/>
    <xf numFmtId="0" fontId="1" fillId="6" borderId="0" xfId="0" applyFont="1" applyFill="1" applyAlignment="1">
      <alignment horizontal="center"/>
    </xf>
    <xf numFmtId="0" fontId="6" fillId="0" borderId="0" xfId="0" applyFont="1"/>
    <xf numFmtId="0" fontId="8" fillId="0" borderId="0" xfId="1" applyFont="1"/>
    <xf numFmtId="0" fontId="8" fillId="0" borderId="0" xfId="1" quotePrefix="1" applyFont="1"/>
    <xf numFmtId="164" fontId="2" fillId="3" borderId="0" xfId="0" applyNumberFormat="1" applyFont="1" applyFill="1"/>
    <xf numFmtId="0" fontId="2" fillId="0" borderId="13" xfId="0" applyFont="1" applyBorder="1" applyAlignment="1">
      <alignment wrapText="1"/>
    </xf>
    <xf numFmtId="0" fontId="2" fillId="0" borderId="14" xfId="0" applyFont="1" applyBorder="1" applyAlignment="1">
      <alignment wrapText="1"/>
    </xf>
    <xf numFmtId="0" fontId="2" fillId="0" borderId="15" xfId="0" applyFont="1" applyBorder="1" applyAlignment="1">
      <alignment wrapText="1"/>
    </xf>
    <xf numFmtId="0" fontId="2" fillId="0" borderId="16" xfId="0" applyFont="1" applyBorder="1" applyAlignment="1">
      <alignment wrapText="1"/>
    </xf>
    <xf numFmtId="0" fontId="2" fillId="0" borderId="0" xfId="0" applyFont="1" applyAlignment="1">
      <alignment wrapText="1"/>
    </xf>
    <xf numFmtId="0" fontId="2" fillId="0" borderId="17" xfId="0" applyFont="1" applyBorder="1" applyAlignment="1">
      <alignment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2" fillId="5" borderId="13" xfId="0" applyFont="1" applyFill="1" applyBorder="1" applyAlignment="1">
      <alignment horizontal="center" vertical="center" wrapText="1"/>
    </xf>
    <xf numFmtId="0" fontId="2" fillId="5" borderId="14" xfId="0" applyFont="1" applyFill="1" applyBorder="1" applyAlignment="1">
      <alignment horizontal="center" vertical="center"/>
    </xf>
    <xf numFmtId="0" fontId="2" fillId="5" borderId="15" xfId="0" applyFont="1" applyFill="1" applyBorder="1" applyAlignment="1">
      <alignment horizontal="center" vertical="center"/>
    </xf>
    <xf numFmtId="0" fontId="2" fillId="5" borderId="16" xfId="0" applyFont="1" applyFill="1" applyBorder="1" applyAlignment="1">
      <alignment horizontal="center" vertical="center"/>
    </xf>
    <xf numFmtId="0" fontId="2" fillId="5" borderId="0" xfId="0" applyFont="1" applyFill="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2" fillId="5" borderId="19" xfId="0" applyFont="1" applyFill="1" applyBorder="1" applyAlignment="1">
      <alignment horizontal="center" vertical="center"/>
    </xf>
    <xf numFmtId="0" fontId="2" fillId="5" borderId="20" xfId="0" applyFont="1" applyFill="1" applyBorder="1" applyAlignment="1">
      <alignment horizontal="center" vertical="center"/>
    </xf>
    <xf numFmtId="0" fontId="2" fillId="3" borderId="0" xfId="0" applyFont="1" applyFill="1" applyAlignment="1">
      <alignment horizontal="center"/>
    </xf>
    <xf numFmtId="0" fontId="2" fillId="3" borderId="13"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0" borderId="16" xfId="0" applyFont="1" applyBorder="1" applyAlignment="1">
      <alignment horizontal="center" wrapText="1"/>
    </xf>
    <xf numFmtId="0" fontId="2" fillId="0" borderId="0" xfId="0" applyFont="1" applyAlignment="1">
      <alignment horizontal="center" wrapText="1"/>
    </xf>
    <xf numFmtId="0" fontId="2" fillId="0" borderId="17" xfId="0" applyFont="1" applyBorder="1" applyAlignment="1">
      <alignment horizontal="center" wrapText="1"/>
    </xf>
    <xf numFmtId="0" fontId="2" fillId="0" borderId="18" xfId="0" applyFont="1" applyBorder="1" applyAlignment="1">
      <alignment horizontal="center" wrapText="1"/>
    </xf>
    <xf numFmtId="0" fontId="2" fillId="0" borderId="19" xfId="0" applyFont="1" applyBorder="1" applyAlignment="1">
      <alignment horizontal="center" wrapText="1"/>
    </xf>
    <xf numFmtId="0" fontId="2" fillId="0" borderId="20" xfId="0" applyFont="1" applyBorder="1" applyAlignment="1">
      <alignment horizontal="center" wrapText="1"/>
    </xf>
    <xf numFmtId="0" fontId="2" fillId="3" borderId="13" xfId="0" applyFont="1" applyFill="1" applyBorder="1" applyAlignment="1">
      <alignment horizontal="center" wrapText="1"/>
    </xf>
    <xf numFmtId="0" fontId="2" fillId="3" borderId="16" xfId="0" applyFont="1" applyFill="1" applyBorder="1" applyAlignment="1">
      <alignment horizontal="center"/>
    </xf>
    <xf numFmtId="0" fontId="2" fillId="3" borderId="17" xfId="0" applyFont="1" applyFill="1" applyBorder="1" applyAlignment="1">
      <alignment horizontal="center"/>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0" xfId="0" applyFont="1" applyFill="1" applyBorder="1" applyAlignment="1">
      <alignment horizontal="center"/>
    </xf>
    <xf numFmtId="0" fontId="2" fillId="3" borderId="14" xfId="0" applyFont="1" applyFill="1" applyBorder="1" applyAlignment="1">
      <alignment horizontal="center" wrapText="1"/>
    </xf>
    <xf numFmtId="0" fontId="2" fillId="3" borderId="15" xfId="0" applyFont="1" applyFill="1" applyBorder="1" applyAlignment="1">
      <alignment horizontal="center" wrapText="1"/>
    </xf>
    <xf numFmtId="0" fontId="2" fillId="3" borderId="16" xfId="0" applyFont="1" applyFill="1" applyBorder="1" applyAlignment="1">
      <alignment horizontal="center" wrapText="1"/>
    </xf>
    <xf numFmtId="0" fontId="2" fillId="3" borderId="0" xfId="0" applyFont="1" applyFill="1" applyAlignment="1">
      <alignment horizontal="center" wrapText="1"/>
    </xf>
    <xf numFmtId="0" fontId="2" fillId="3" borderId="17" xfId="0" applyFont="1" applyFill="1" applyBorder="1" applyAlignment="1">
      <alignment horizontal="center" wrapText="1"/>
    </xf>
    <xf numFmtId="0" fontId="2" fillId="3" borderId="18" xfId="0" applyFont="1" applyFill="1" applyBorder="1" applyAlignment="1">
      <alignment horizontal="center" wrapText="1"/>
    </xf>
    <xf numFmtId="0" fontId="2" fillId="3" borderId="19" xfId="0" applyFont="1" applyFill="1" applyBorder="1" applyAlignment="1">
      <alignment horizontal="center" wrapText="1"/>
    </xf>
    <xf numFmtId="0" fontId="2" fillId="3" borderId="20" xfId="0" applyFont="1" applyFill="1" applyBorder="1" applyAlignment="1">
      <alignment horizontal="center" wrapText="1"/>
    </xf>
    <xf numFmtId="0" fontId="7" fillId="0" borderId="0" xfId="0" applyFont="1" applyAlignment="1">
      <alignment horizontal="center"/>
    </xf>
    <xf numFmtId="0" fontId="2" fillId="0" borderId="0" xfId="0" applyFont="1" applyAlignment="1">
      <alignment horizontal="center"/>
    </xf>
    <xf numFmtId="0" fontId="0" fillId="3" borderId="0" xfId="0" applyFill="1"/>
    <xf numFmtId="0" fontId="2" fillId="3" borderId="1" xfId="0" applyFont="1" applyFill="1" applyBorder="1"/>
    <xf numFmtId="0" fontId="2" fillId="3" borderId="2" xfId="0" applyFont="1" applyFill="1" applyBorder="1"/>
    <xf numFmtId="0" fontId="2" fillId="3" borderId="3" xfId="0" applyFont="1" applyFill="1" applyBorder="1"/>
    <xf numFmtId="0" fontId="2" fillId="3" borderId="4" xfId="0" applyFont="1" applyFill="1" applyBorder="1"/>
    <xf numFmtId="0" fontId="0" fillId="3" borderId="6" xfId="0" applyFill="1" applyBorder="1"/>
    <xf numFmtId="0" fontId="0" fillId="3" borderId="7" xfId="0" applyFill="1" applyBorder="1"/>
    <xf numFmtId="0" fontId="0" fillId="3" borderId="1" xfId="0" applyFill="1" applyBorder="1"/>
    <xf numFmtId="0" fontId="0" fillId="3" borderId="9" xfId="0" applyFill="1" applyBorder="1"/>
    <xf numFmtId="0" fontId="0" fillId="3" borderId="11" xfId="0" applyFill="1" applyBorder="1"/>
    <xf numFmtId="0" fontId="0" fillId="3" borderId="12" xfId="0" applyFill="1" applyBorder="1"/>
    <xf numFmtId="0" fontId="0" fillId="3" borderId="0" xfId="0" applyFill="1" applyAlignment="1">
      <alignment horizontal="center"/>
    </xf>
    <xf numFmtId="0" fontId="0" fillId="0" borderId="0" xfId="0"/>
    <xf numFmtId="0" fontId="2" fillId="3" borderId="0" xfId="0" applyFont="1" applyFill="1"/>
    <xf numFmtId="0" fontId="2" fillId="3" borderId="13" xfId="0" applyFont="1" applyFill="1" applyBorder="1" applyAlignment="1">
      <alignment wrapText="1"/>
    </xf>
    <xf numFmtId="0" fontId="2" fillId="3" borderId="14" xfId="0" applyFont="1" applyFill="1" applyBorder="1" applyAlignment="1">
      <alignment wrapText="1"/>
    </xf>
    <xf numFmtId="0" fontId="2" fillId="3" borderId="15" xfId="0" applyFont="1" applyFill="1" applyBorder="1" applyAlignment="1">
      <alignment wrapText="1"/>
    </xf>
    <xf numFmtId="0" fontId="2" fillId="3" borderId="18" xfId="0" applyFont="1" applyFill="1" applyBorder="1" applyAlignment="1">
      <alignment wrapText="1"/>
    </xf>
    <xf numFmtId="0" fontId="2" fillId="3" borderId="19" xfId="0" applyFont="1" applyFill="1" applyBorder="1" applyAlignment="1">
      <alignment wrapText="1"/>
    </xf>
    <xf numFmtId="0" fontId="2" fillId="3" borderId="20" xfId="0" applyFont="1" applyFill="1" applyBorder="1" applyAlignment="1">
      <alignment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2" fillId="0" borderId="16" xfId="0" applyFont="1" applyBorder="1" applyAlignment="1">
      <alignment vertical="center" wrapText="1"/>
    </xf>
    <xf numFmtId="0" fontId="2" fillId="0" borderId="0" xfId="0" applyFont="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16" xfId="0" applyFont="1" applyBorder="1" applyAlignment="1">
      <alignment horizontal="center" vertical="center" wrapText="1"/>
    </xf>
    <xf numFmtId="0" fontId="2" fillId="0" borderId="0" xfId="0" applyFont="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0" fillId="3" borderId="13" xfId="0" applyFill="1" applyBorder="1" applyAlignment="1">
      <alignment wrapText="1"/>
    </xf>
    <xf numFmtId="0" fontId="0" fillId="3" borderId="14" xfId="0" applyFill="1" applyBorder="1" applyAlignment="1">
      <alignment wrapText="1"/>
    </xf>
    <xf numFmtId="0" fontId="0" fillId="3" borderId="15" xfId="0" applyFill="1" applyBorder="1" applyAlignment="1">
      <alignment wrapText="1"/>
    </xf>
    <xf numFmtId="0" fontId="0" fillId="3" borderId="18" xfId="0" applyFill="1" applyBorder="1" applyAlignment="1">
      <alignment wrapText="1"/>
    </xf>
    <xf numFmtId="0" fontId="0" fillId="3" borderId="19" xfId="0" applyFill="1" applyBorder="1" applyAlignment="1">
      <alignment wrapText="1"/>
    </xf>
    <xf numFmtId="0" fontId="0" fillId="3" borderId="20" xfId="0" applyFill="1"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16" xfId="0" applyBorder="1" applyAlignment="1">
      <alignment vertical="center" wrapText="1"/>
    </xf>
    <xf numFmtId="0" fontId="0" fillId="0" borderId="0" xfId="0"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0" fillId="0" borderId="19" xfId="0" applyBorder="1" applyAlignment="1">
      <alignment vertical="center" wrapText="1"/>
    </xf>
    <xf numFmtId="0" fontId="0" fillId="0" borderId="20" xfId="0" applyBorder="1" applyAlignment="1">
      <alignment vertical="center" wrapText="1"/>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3" fillId="3" borderId="0" xfId="0" applyFont="1" applyFill="1" applyAlignment="1">
      <alignment horizontal="center"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2" fillId="3" borderId="21" xfId="0" applyFont="1" applyFill="1" applyBorder="1" applyAlignment="1">
      <alignment horizontal="center"/>
    </xf>
    <xf numFmtId="0" fontId="2" fillId="3" borderId="22" xfId="0" applyFont="1" applyFill="1" applyBorder="1" applyAlignment="1">
      <alignment horizontal="center"/>
    </xf>
    <xf numFmtId="0" fontId="2" fillId="3" borderId="23" xfId="0" applyFont="1" applyFill="1" applyBorder="1" applyAlignment="1">
      <alignment horizontal="center"/>
    </xf>
    <xf numFmtId="0" fontId="0" fillId="3" borderId="22" xfId="0" applyFill="1" applyBorder="1" applyAlignment="1">
      <alignment horizontal="center"/>
    </xf>
    <xf numFmtId="0" fontId="0" fillId="3" borderId="23" xfId="0" applyFill="1" applyBorder="1" applyAlignment="1">
      <alignment horizontal="center"/>
    </xf>
    <xf numFmtId="0" fontId="2" fillId="3" borderId="14" xfId="0" applyFont="1" applyFill="1" applyBorder="1"/>
    <xf numFmtId="0" fontId="2" fillId="3" borderId="15" xfId="0" applyFont="1" applyFill="1" applyBorder="1"/>
    <xf numFmtId="0" fontId="2" fillId="3" borderId="18" xfId="0" applyFont="1" applyFill="1" applyBorder="1"/>
    <xf numFmtId="0" fontId="2" fillId="3" borderId="19" xfId="0" applyFont="1" applyFill="1" applyBorder="1"/>
    <xf numFmtId="0" fontId="2" fillId="3" borderId="20" xfId="0" applyFont="1" applyFill="1" applyBorder="1"/>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0" fontId="2" fillId="5" borderId="13" xfId="0" applyFont="1" applyFill="1" applyBorder="1" applyAlignment="1">
      <alignment horizontal="center" wrapText="1"/>
    </xf>
    <xf numFmtId="0" fontId="2" fillId="5" borderId="14" xfId="0" applyFont="1" applyFill="1" applyBorder="1" applyAlignment="1">
      <alignment horizontal="center" wrapText="1"/>
    </xf>
    <xf numFmtId="0" fontId="2" fillId="5" borderId="15" xfId="0" applyFont="1" applyFill="1" applyBorder="1" applyAlignment="1">
      <alignment horizontal="center" wrapText="1"/>
    </xf>
    <xf numFmtId="0" fontId="2" fillId="5" borderId="16" xfId="0" applyFont="1" applyFill="1" applyBorder="1" applyAlignment="1">
      <alignment horizontal="center" wrapText="1"/>
    </xf>
    <xf numFmtId="0" fontId="2" fillId="5" borderId="0" xfId="0" applyFont="1" applyFill="1" applyAlignment="1">
      <alignment horizontal="center" wrapText="1"/>
    </xf>
    <xf numFmtId="0" fontId="2" fillId="5" borderId="17" xfId="0" applyFont="1" applyFill="1" applyBorder="1" applyAlignment="1">
      <alignment horizontal="center" wrapText="1"/>
    </xf>
    <xf numFmtId="0" fontId="2" fillId="5" borderId="18" xfId="0" applyFont="1" applyFill="1" applyBorder="1" applyAlignment="1">
      <alignment horizontal="center" wrapText="1"/>
    </xf>
    <xf numFmtId="0" fontId="2" fillId="5" borderId="19" xfId="0" applyFont="1" applyFill="1" applyBorder="1" applyAlignment="1">
      <alignment horizontal="center" wrapText="1"/>
    </xf>
    <xf numFmtId="0" fontId="2" fillId="5" borderId="20" xfId="0" applyFont="1" applyFill="1" applyBorder="1" applyAlignment="1">
      <alignment horizontal="center" wrapText="1"/>
    </xf>
    <xf numFmtId="0" fontId="2" fillId="0" borderId="0" xfId="0" applyFont="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2" fontId="2" fillId="3" borderId="13" xfId="0" applyNumberFormat="1" applyFont="1" applyFill="1" applyBorder="1" applyAlignment="1">
      <alignment horizontal="center"/>
    </xf>
    <xf numFmtId="2" fontId="2" fillId="3" borderId="14" xfId="0" applyNumberFormat="1" applyFont="1" applyFill="1" applyBorder="1" applyAlignment="1">
      <alignment horizontal="center"/>
    </xf>
    <xf numFmtId="2" fontId="2" fillId="3" borderId="15" xfId="0" applyNumberFormat="1" applyFont="1" applyFill="1" applyBorder="1" applyAlignment="1">
      <alignment horizontal="center"/>
    </xf>
    <xf numFmtId="0" fontId="0" fillId="3" borderId="16" xfId="0" applyFill="1" applyBorder="1" applyAlignment="1">
      <alignment horizontal="center"/>
    </xf>
    <xf numFmtId="0" fontId="0" fillId="3" borderId="17" xfId="0"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0" fillId="3" borderId="20" xfId="0" applyFill="1" applyBorder="1" applyAlignment="1">
      <alignment horizontal="center"/>
    </xf>
    <xf numFmtId="0" fontId="2" fillId="5" borderId="13" xfId="0" applyFont="1" applyFill="1" applyBorder="1" applyAlignment="1">
      <alignment wrapText="1"/>
    </xf>
    <xf numFmtId="0" fontId="2" fillId="5" borderId="14" xfId="0" applyFont="1" applyFill="1" applyBorder="1" applyAlignment="1">
      <alignment wrapText="1"/>
    </xf>
    <xf numFmtId="0" fontId="2" fillId="5" borderId="15" xfId="0" applyFont="1" applyFill="1" applyBorder="1" applyAlignment="1">
      <alignment wrapText="1"/>
    </xf>
    <xf numFmtId="0" fontId="2" fillId="5" borderId="16" xfId="0" applyFont="1" applyFill="1" applyBorder="1" applyAlignment="1">
      <alignment wrapText="1"/>
    </xf>
    <xf numFmtId="0" fontId="2" fillId="5" borderId="0" xfId="0" applyFont="1" applyFill="1" applyAlignment="1">
      <alignment wrapText="1"/>
    </xf>
    <xf numFmtId="0" fontId="2" fillId="5" borderId="17" xfId="0" applyFont="1" applyFill="1" applyBorder="1" applyAlignment="1">
      <alignment wrapText="1"/>
    </xf>
    <xf numFmtId="0" fontId="2" fillId="5" borderId="18" xfId="0" applyFont="1" applyFill="1" applyBorder="1" applyAlignment="1">
      <alignment wrapText="1"/>
    </xf>
    <xf numFmtId="0" fontId="2" fillId="5" borderId="19" xfId="0" applyFont="1" applyFill="1" applyBorder="1" applyAlignment="1">
      <alignment wrapText="1"/>
    </xf>
    <xf numFmtId="0" fontId="2" fillId="5" borderId="20" xfId="0" applyFont="1" applyFill="1" applyBorder="1" applyAlignment="1">
      <alignment wrapText="1"/>
    </xf>
    <xf numFmtId="0" fontId="0" fillId="0" borderId="16" xfId="0" applyBorder="1" applyAlignment="1">
      <alignment horizontal="center" wrapText="1"/>
    </xf>
    <xf numFmtId="0" fontId="0" fillId="0" borderId="0" xfId="0"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0" xfId="0" applyFont="1" applyFill="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0" fillId="0" borderId="16" xfId="0" applyBorder="1" applyAlignment="1">
      <alignment horizontal="center" vertical="center" wrapText="1"/>
    </xf>
    <xf numFmtId="0" fontId="0" fillId="0" borderId="0" xfId="0"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2" fillId="5" borderId="14"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7"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0" borderId="16" xfId="0" applyFont="1" applyBorder="1" applyAlignment="1">
      <alignment horizontal="center" vertical="center"/>
    </xf>
    <xf numFmtId="0" fontId="2" fillId="0" borderId="0" xfId="0" applyFont="1"/>
    <xf numFmtId="0" fontId="2" fillId="0" borderId="17" xfId="0" applyFont="1" applyBorder="1"/>
    <xf numFmtId="0" fontId="2" fillId="0" borderId="16" xfId="0" applyFont="1" applyBorder="1"/>
    <xf numFmtId="0" fontId="2" fillId="0" borderId="18" xfId="0" applyFont="1" applyBorder="1"/>
    <xf numFmtId="0" fontId="2" fillId="0" borderId="19" xfId="0" applyFont="1" applyBorder="1"/>
    <xf numFmtId="0" fontId="2" fillId="0" borderId="20" xfId="0" applyFont="1" applyBorder="1"/>
    <xf numFmtId="0" fontId="2" fillId="3" borderId="13" xfId="0" applyFont="1" applyFill="1" applyBorder="1" applyAlignment="1">
      <alignment horizontal="center" vertical="center"/>
    </xf>
    <xf numFmtId="0" fontId="0" fillId="0" borderId="16" xfId="0" applyBorder="1" applyAlignment="1">
      <alignment horizontal="center" vertical="center"/>
    </xf>
    <xf numFmtId="0" fontId="0" fillId="3" borderId="16" xfId="0" applyFill="1" applyBorder="1" applyAlignment="1">
      <alignment horizontal="center" vertical="center"/>
    </xf>
    <xf numFmtId="0" fontId="0" fillId="3" borderId="0" xfId="0" applyFill="1" applyAlignment="1">
      <alignment horizontal="center" vertical="center"/>
    </xf>
    <xf numFmtId="0" fontId="0" fillId="3" borderId="17" xfId="0" applyFill="1" applyBorder="1" applyAlignment="1">
      <alignment horizontal="center" vertical="center"/>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0" fillId="3" borderId="20" xfId="0" applyFill="1" applyBorder="1" applyAlignment="1">
      <alignment horizontal="center" vertical="center"/>
    </xf>
  </cellXfs>
  <cellStyles count="2">
    <cellStyle name="Hyperlink" xfId="1" builtinId="8"/>
    <cellStyle name="Normal" xfId="0" builtinId="0"/>
  </cellStyles>
  <dxfs count="1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LONG</a:t>
            </a:r>
            <a:r>
              <a:rPr lang="en-US" baseline="0"/>
              <a:t> CALL</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CE!$H$5</c:f>
              <c:strCache>
                <c:ptCount val="1"/>
                <c:pt idx="0">
                  <c:v>PAY OFF(SHORT CALL)</c:v>
                </c:pt>
              </c:strCache>
            </c:strRef>
          </c:tx>
          <c:spPr>
            <a:ln w="34925" cap="rnd">
              <a:solidFill>
                <a:schemeClr val="lt1"/>
              </a:solidFill>
              <a:round/>
            </a:ln>
            <a:effectLst>
              <a:outerShdw dist="25400" dir="2700000" algn="tl" rotWithShape="0">
                <a:schemeClr val="accent1"/>
              </a:outerShdw>
            </a:effectLst>
          </c:spPr>
          <c:marker>
            <c:symbol val="none"/>
          </c:marker>
          <c:cat>
            <c:numRef>
              <c:f>CE!$F$6:$F$126</c:f>
              <c:numCache>
                <c:formatCode>#,##0.00;\(#,##0.00\)</c:formatCode>
                <c:ptCount val="121"/>
                <c:pt idx="0">
                  <c:v>50</c:v>
                </c:pt>
                <c:pt idx="1">
                  <c:v>50.25</c:v>
                </c:pt>
                <c:pt idx="2">
                  <c:v>50.5</c:v>
                </c:pt>
                <c:pt idx="3">
                  <c:v>50.75</c:v>
                </c:pt>
                <c:pt idx="4">
                  <c:v>51</c:v>
                </c:pt>
                <c:pt idx="5">
                  <c:v>51.25</c:v>
                </c:pt>
                <c:pt idx="6">
                  <c:v>51.5</c:v>
                </c:pt>
                <c:pt idx="7">
                  <c:v>51.75</c:v>
                </c:pt>
                <c:pt idx="8">
                  <c:v>52</c:v>
                </c:pt>
                <c:pt idx="9">
                  <c:v>52.25</c:v>
                </c:pt>
                <c:pt idx="10">
                  <c:v>52.5</c:v>
                </c:pt>
                <c:pt idx="11">
                  <c:v>52.75</c:v>
                </c:pt>
                <c:pt idx="12">
                  <c:v>53</c:v>
                </c:pt>
                <c:pt idx="13">
                  <c:v>53.25</c:v>
                </c:pt>
                <c:pt idx="14">
                  <c:v>53.5</c:v>
                </c:pt>
                <c:pt idx="15">
                  <c:v>53.75</c:v>
                </c:pt>
                <c:pt idx="16">
                  <c:v>54</c:v>
                </c:pt>
                <c:pt idx="17">
                  <c:v>54.25</c:v>
                </c:pt>
                <c:pt idx="18">
                  <c:v>54.5</c:v>
                </c:pt>
                <c:pt idx="19">
                  <c:v>54.75</c:v>
                </c:pt>
                <c:pt idx="20">
                  <c:v>55</c:v>
                </c:pt>
                <c:pt idx="21">
                  <c:v>55.25</c:v>
                </c:pt>
                <c:pt idx="22">
                  <c:v>55.5</c:v>
                </c:pt>
                <c:pt idx="23">
                  <c:v>55.75</c:v>
                </c:pt>
                <c:pt idx="24">
                  <c:v>56</c:v>
                </c:pt>
                <c:pt idx="25">
                  <c:v>56.25</c:v>
                </c:pt>
                <c:pt idx="26">
                  <c:v>56.5</c:v>
                </c:pt>
                <c:pt idx="27">
                  <c:v>56.75</c:v>
                </c:pt>
                <c:pt idx="28">
                  <c:v>57</c:v>
                </c:pt>
                <c:pt idx="29">
                  <c:v>57.25</c:v>
                </c:pt>
                <c:pt idx="30">
                  <c:v>57.5</c:v>
                </c:pt>
                <c:pt idx="31">
                  <c:v>57.75</c:v>
                </c:pt>
                <c:pt idx="32">
                  <c:v>58</c:v>
                </c:pt>
                <c:pt idx="33">
                  <c:v>58.25</c:v>
                </c:pt>
                <c:pt idx="34">
                  <c:v>58.5</c:v>
                </c:pt>
                <c:pt idx="35">
                  <c:v>58.75</c:v>
                </c:pt>
                <c:pt idx="36">
                  <c:v>59</c:v>
                </c:pt>
                <c:pt idx="37">
                  <c:v>59.25</c:v>
                </c:pt>
                <c:pt idx="38">
                  <c:v>59.5</c:v>
                </c:pt>
                <c:pt idx="39">
                  <c:v>59.75</c:v>
                </c:pt>
                <c:pt idx="40">
                  <c:v>60</c:v>
                </c:pt>
                <c:pt idx="41">
                  <c:v>60.25</c:v>
                </c:pt>
                <c:pt idx="42">
                  <c:v>60.5</c:v>
                </c:pt>
                <c:pt idx="43">
                  <c:v>60.75</c:v>
                </c:pt>
                <c:pt idx="44">
                  <c:v>61</c:v>
                </c:pt>
                <c:pt idx="45">
                  <c:v>61.25</c:v>
                </c:pt>
                <c:pt idx="46">
                  <c:v>61.5</c:v>
                </c:pt>
                <c:pt idx="47">
                  <c:v>61.75</c:v>
                </c:pt>
                <c:pt idx="48">
                  <c:v>62</c:v>
                </c:pt>
                <c:pt idx="49">
                  <c:v>62.25</c:v>
                </c:pt>
                <c:pt idx="50">
                  <c:v>62.5</c:v>
                </c:pt>
                <c:pt idx="51">
                  <c:v>62.75</c:v>
                </c:pt>
                <c:pt idx="52">
                  <c:v>63</c:v>
                </c:pt>
                <c:pt idx="53">
                  <c:v>63.25</c:v>
                </c:pt>
                <c:pt idx="54">
                  <c:v>63.5</c:v>
                </c:pt>
                <c:pt idx="55">
                  <c:v>63.75</c:v>
                </c:pt>
                <c:pt idx="56">
                  <c:v>64</c:v>
                </c:pt>
                <c:pt idx="57">
                  <c:v>64.25</c:v>
                </c:pt>
                <c:pt idx="58">
                  <c:v>64.5</c:v>
                </c:pt>
                <c:pt idx="59">
                  <c:v>64.75</c:v>
                </c:pt>
                <c:pt idx="60">
                  <c:v>65</c:v>
                </c:pt>
                <c:pt idx="61">
                  <c:v>65.25</c:v>
                </c:pt>
                <c:pt idx="62">
                  <c:v>65.5</c:v>
                </c:pt>
                <c:pt idx="63">
                  <c:v>65.75</c:v>
                </c:pt>
                <c:pt idx="64">
                  <c:v>66</c:v>
                </c:pt>
                <c:pt idx="65">
                  <c:v>66.25</c:v>
                </c:pt>
                <c:pt idx="66">
                  <c:v>66.5</c:v>
                </c:pt>
                <c:pt idx="67">
                  <c:v>66.75</c:v>
                </c:pt>
                <c:pt idx="68">
                  <c:v>67</c:v>
                </c:pt>
                <c:pt idx="69">
                  <c:v>67.25</c:v>
                </c:pt>
                <c:pt idx="70">
                  <c:v>67.5</c:v>
                </c:pt>
                <c:pt idx="71">
                  <c:v>67.75</c:v>
                </c:pt>
                <c:pt idx="72">
                  <c:v>68</c:v>
                </c:pt>
                <c:pt idx="73">
                  <c:v>68.25</c:v>
                </c:pt>
                <c:pt idx="74">
                  <c:v>68.5</c:v>
                </c:pt>
                <c:pt idx="75">
                  <c:v>68.75</c:v>
                </c:pt>
                <c:pt idx="76">
                  <c:v>69</c:v>
                </c:pt>
                <c:pt idx="77">
                  <c:v>69.25</c:v>
                </c:pt>
                <c:pt idx="78">
                  <c:v>69.5</c:v>
                </c:pt>
                <c:pt idx="79">
                  <c:v>69.75</c:v>
                </c:pt>
                <c:pt idx="80">
                  <c:v>70</c:v>
                </c:pt>
                <c:pt idx="81">
                  <c:v>70.25</c:v>
                </c:pt>
                <c:pt idx="82">
                  <c:v>70.5</c:v>
                </c:pt>
                <c:pt idx="83">
                  <c:v>70.75</c:v>
                </c:pt>
                <c:pt idx="84">
                  <c:v>71</c:v>
                </c:pt>
                <c:pt idx="85">
                  <c:v>71.25</c:v>
                </c:pt>
                <c:pt idx="86">
                  <c:v>71.5</c:v>
                </c:pt>
                <c:pt idx="87">
                  <c:v>71.75</c:v>
                </c:pt>
                <c:pt idx="88">
                  <c:v>72</c:v>
                </c:pt>
                <c:pt idx="89">
                  <c:v>72.25</c:v>
                </c:pt>
                <c:pt idx="90">
                  <c:v>72.5</c:v>
                </c:pt>
                <c:pt idx="91">
                  <c:v>72.75</c:v>
                </c:pt>
                <c:pt idx="92">
                  <c:v>73</c:v>
                </c:pt>
                <c:pt idx="93">
                  <c:v>73.25</c:v>
                </c:pt>
                <c:pt idx="94">
                  <c:v>73.5</c:v>
                </c:pt>
                <c:pt idx="95">
                  <c:v>73.75</c:v>
                </c:pt>
                <c:pt idx="96">
                  <c:v>74</c:v>
                </c:pt>
                <c:pt idx="97">
                  <c:v>74.25</c:v>
                </c:pt>
                <c:pt idx="98">
                  <c:v>74.5</c:v>
                </c:pt>
                <c:pt idx="99">
                  <c:v>74.75</c:v>
                </c:pt>
                <c:pt idx="100">
                  <c:v>75</c:v>
                </c:pt>
                <c:pt idx="101">
                  <c:v>75.25</c:v>
                </c:pt>
                <c:pt idx="102">
                  <c:v>75.5</c:v>
                </c:pt>
                <c:pt idx="103">
                  <c:v>75.75</c:v>
                </c:pt>
                <c:pt idx="104">
                  <c:v>76</c:v>
                </c:pt>
                <c:pt idx="105">
                  <c:v>76.25</c:v>
                </c:pt>
                <c:pt idx="106">
                  <c:v>76.5</c:v>
                </c:pt>
                <c:pt idx="107">
                  <c:v>76.75</c:v>
                </c:pt>
                <c:pt idx="108">
                  <c:v>77</c:v>
                </c:pt>
                <c:pt idx="109">
                  <c:v>77.25</c:v>
                </c:pt>
                <c:pt idx="110">
                  <c:v>77.5</c:v>
                </c:pt>
                <c:pt idx="111">
                  <c:v>77.75</c:v>
                </c:pt>
                <c:pt idx="112">
                  <c:v>78</c:v>
                </c:pt>
                <c:pt idx="113">
                  <c:v>78.25</c:v>
                </c:pt>
                <c:pt idx="114">
                  <c:v>78.5</c:v>
                </c:pt>
                <c:pt idx="115">
                  <c:v>78.75</c:v>
                </c:pt>
                <c:pt idx="116">
                  <c:v>79</c:v>
                </c:pt>
                <c:pt idx="117">
                  <c:v>79.25</c:v>
                </c:pt>
                <c:pt idx="118">
                  <c:v>79.5</c:v>
                </c:pt>
                <c:pt idx="119">
                  <c:v>79.75</c:v>
                </c:pt>
                <c:pt idx="120">
                  <c:v>80</c:v>
                </c:pt>
              </c:numCache>
            </c:numRef>
          </c:cat>
          <c:val>
            <c:numRef>
              <c:f>CE!$H$6:$H$126</c:f>
              <c:numCache>
                <c:formatCode>#,##0.00;\(#,##0.00\)</c:formatCode>
                <c:ptCount val="121"/>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pt idx="48">
                  <c:v>1.25</c:v>
                </c:pt>
                <c:pt idx="49">
                  <c:v>1</c:v>
                </c:pt>
                <c:pt idx="50">
                  <c:v>0.75</c:v>
                </c:pt>
                <c:pt idx="51">
                  <c:v>0.5</c:v>
                </c:pt>
                <c:pt idx="52">
                  <c:v>0.25</c:v>
                </c:pt>
                <c:pt idx="53">
                  <c:v>0</c:v>
                </c:pt>
                <c:pt idx="54">
                  <c:v>-0.25</c:v>
                </c:pt>
                <c:pt idx="55">
                  <c:v>-0.5</c:v>
                </c:pt>
                <c:pt idx="56">
                  <c:v>-0.75</c:v>
                </c:pt>
                <c:pt idx="57">
                  <c:v>-1</c:v>
                </c:pt>
                <c:pt idx="58">
                  <c:v>-1.25</c:v>
                </c:pt>
                <c:pt idx="59">
                  <c:v>-1.5</c:v>
                </c:pt>
                <c:pt idx="60">
                  <c:v>-1.75</c:v>
                </c:pt>
                <c:pt idx="61">
                  <c:v>-2</c:v>
                </c:pt>
                <c:pt idx="62">
                  <c:v>-2.25</c:v>
                </c:pt>
                <c:pt idx="63">
                  <c:v>-2.5</c:v>
                </c:pt>
                <c:pt idx="64">
                  <c:v>-2.75</c:v>
                </c:pt>
                <c:pt idx="65">
                  <c:v>-3</c:v>
                </c:pt>
                <c:pt idx="66">
                  <c:v>-3.25</c:v>
                </c:pt>
                <c:pt idx="67">
                  <c:v>-3.5</c:v>
                </c:pt>
                <c:pt idx="68">
                  <c:v>-3.75</c:v>
                </c:pt>
                <c:pt idx="69">
                  <c:v>-4</c:v>
                </c:pt>
                <c:pt idx="70">
                  <c:v>-4.25</c:v>
                </c:pt>
                <c:pt idx="71">
                  <c:v>-4.5</c:v>
                </c:pt>
                <c:pt idx="72">
                  <c:v>-4.75</c:v>
                </c:pt>
                <c:pt idx="73">
                  <c:v>-5</c:v>
                </c:pt>
                <c:pt idx="74">
                  <c:v>-5.25</c:v>
                </c:pt>
                <c:pt idx="75">
                  <c:v>-5.5</c:v>
                </c:pt>
                <c:pt idx="76">
                  <c:v>-5.75</c:v>
                </c:pt>
                <c:pt idx="77">
                  <c:v>-6</c:v>
                </c:pt>
                <c:pt idx="78">
                  <c:v>-6.25</c:v>
                </c:pt>
                <c:pt idx="79">
                  <c:v>-6.5</c:v>
                </c:pt>
                <c:pt idx="80">
                  <c:v>-6.75</c:v>
                </c:pt>
                <c:pt idx="81">
                  <c:v>-7</c:v>
                </c:pt>
                <c:pt idx="82">
                  <c:v>-7.25</c:v>
                </c:pt>
                <c:pt idx="83">
                  <c:v>-7.5</c:v>
                </c:pt>
                <c:pt idx="84">
                  <c:v>-7.75</c:v>
                </c:pt>
                <c:pt idx="85">
                  <c:v>-8</c:v>
                </c:pt>
                <c:pt idx="86">
                  <c:v>-8.25</c:v>
                </c:pt>
                <c:pt idx="87">
                  <c:v>-8.5</c:v>
                </c:pt>
                <c:pt idx="88">
                  <c:v>-8.75</c:v>
                </c:pt>
                <c:pt idx="89">
                  <c:v>-9</c:v>
                </c:pt>
                <c:pt idx="90">
                  <c:v>-9.25</c:v>
                </c:pt>
                <c:pt idx="91">
                  <c:v>-9.5</c:v>
                </c:pt>
                <c:pt idx="92">
                  <c:v>-9.75</c:v>
                </c:pt>
                <c:pt idx="93">
                  <c:v>-10</c:v>
                </c:pt>
                <c:pt idx="94">
                  <c:v>-10.25</c:v>
                </c:pt>
                <c:pt idx="95">
                  <c:v>-10.5</c:v>
                </c:pt>
                <c:pt idx="96">
                  <c:v>-10.75</c:v>
                </c:pt>
                <c:pt idx="97">
                  <c:v>-11</c:v>
                </c:pt>
                <c:pt idx="98">
                  <c:v>-11.25</c:v>
                </c:pt>
                <c:pt idx="99">
                  <c:v>-11.5</c:v>
                </c:pt>
                <c:pt idx="100">
                  <c:v>-11.75</c:v>
                </c:pt>
                <c:pt idx="101">
                  <c:v>-12</c:v>
                </c:pt>
                <c:pt idx="102">
                  <c:v>-12.25</c:v>
                </c:pt>
                <c:pt idx="103">
                  <c:v>-12.5</c:v>
                </c:pt>
                <c:pt idx="104">
                  <c:v>-12.75</c:v>
                </c:pt>
                <c:pt idx="105">
                  <c:v>-13</c:v>
                </c:pt>
                <c:pt idx="106">
                  <c:v>-13.25</c:v>
                </c:pt>
                <c:pt idx="107">
                  <c:v>-13.5</c:v>
                </c:pt>
                <c:pt idx="108">
                  <c:v>-13.75</c:v>
                </c:pt>
                <c:pt idx="109">
                  <c:v>-14</c:v>
                </c:pt>
                <c:pt idx="110">
                  <c:v>-14.25</c:v>
                </c:pt>
                <c:pt idx="111">
                  <c:v>-14.5</c:v>
                </c:pt>
                <c:pt idx="112">
                  <c:v>-14.75</c:v>
                </c:pt>
                <c:pt idx="113">
                  <c:v>-15</c:v>
                </c:pt>
                <c:pt idx="114">
                  <c:v>-15.25</c:v>
                </c:pt>
                <c:pt idx="115">
                  <c:v>-15.5</c:v>
                </c:pt>
                <c:pt idx="116">
                  <c:v>-15.75</c:v>
                </c:pt>
                <c:pt idx="117">
                  <c:v>-16</c:v>
                </c:pt>
                <c:pt idx="118">
                  <c:v>-16.25</c:v>
                </c:pt>
                <c:pt idx="119">
                  <c:v>-16.5</c:v>
                </c:pt>
                <c:pt idx="120">
                  <c:v>-16.75</c:v>
                </c:pt>
              </c:numCache>
            </c:numRef>
          </c:val>
          <c:smooth val="0"/>
          <c:extLst>
            <c:ext xmlns:c16="http://schemas.microsoft.com/office/drawing/2014/chart" uri="{C3380CC4-5D6E-409C-BE32-E72D297353CC}">
              <c16:uniqueId val="{00000000-DD26-4092-9318-F46702F2166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708620400"/>
        <c:axId val="1708620880"/>
      </c:lineChart>
      <c:catAx>
        <c:axId val="170862040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00;\(#,##0.00\)"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08620880"/>
        <c:crosses val="autoZero"/>
        <c:auto val="1"/>
        <c:lblAlgn val="ctr"/>
        <c:lblOffset val="100"/>
        <c:noMultiLvlLbl val="0"/>
      </c:catAx>
      <c:valAx>
        <c:axId val="1708620880"/>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08620400"/>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CE!$G$5</c:f>
              <c:strCache>
                <c:ptCount val="1"/>
                <c:pt idx="0">
                  <c:v>PAY OFF(LONG CALL)</c:v>
                </c:pt>
              </c:strCache>
            </c:strRef>
          </c:tx>
          <c:spPr>
            <a:ln w="34925" cap="rnd">
              <a:solidFill>
                <a:schemeClr val="lt1"/>
              </a:solidFill>
              <a:round/>
            </a:ln>
            <a:effectLst>
              <a:outerShdw dist="25400" dir="2700000" algn="tl" rotWithShape="0">
                <a:schemeClr val="accent1"/>
              </a:outerShdw>
            </a:effectLst>
          </c:spPr>
          <c:marker>
            <c:symbol val="none"/>
          </c:marker>
          <c:cat>
            <c:numRef>
              <c:f>CE!$F$6:$F$126</c:f>
              <c:numCache>
                <c:formatCode>#,##0.00;\(#,##0.00\)</c:formatCode>
                <c:ptCount val="121"/>
                <c:pt idx="0">
                  <c:v>50</c:v>
                </c:pt>
                <c:pt idx="1">
                  <c:v>50.25</c:v>
                </c:pt>
                <c:pt idx="2">
                  <c:v>50.5</c:v>
                </c:pt>
                <c:pt idx="3">
                  <c:v>50.75</c:v>
                </c:pt>
                <c:pt idx="4">
                  <c:v>51</c:v>
                </c:pt>
                <c:pt idx="5">
                  <c:v>51.25</c:v>
                </c:pt>
                <c:pt idx="6">
                  <c:v>51.5</c:v>
                </c:pt>
                <c:pt idx="7">
                  <c:v>51.75</c:v>
                </c:pt>
                <c:pt idx="8">
                  <c:v>52</c:v>
                </c:pt>
                <c:pt idx="9">
                  <c:v>52.25</c:v>
                </c:pt>
                <c:pt idx="10">
                  <c:v>52.5</c:v>
                </c:pt>
                <c:pt idx="11">
                  <c:v>52.75</c:v>
                </c:pt>
                <c:pt idx="12">
                  <c:v>53</c:v>
                </c:pt>
                <c:pt idx="13">
                  <c:v>53.25</c:v>
                </c:pt>
                <c:pt idx="14">
                  <c:v>53.5</c:v>
                </c:pt>
                <c:pt idx="15">
                  <c:v>53.75</c:v>
                </c:pt>
                <c:pt idx="16">
                  <c:v>54</c:v>
                </c:pt>
                <c:pt idx="17">
                  <c:v>54.25</c:v>
                </c:pt>
                <c:pt idx="18">
                  <c:v>54.5</c:v>
                </c:pt>
                <c:pt idx="19">
                  <c:v>54.75</c:v>
                </c:pt>
                <c:pt idx="20">
                  <c:v>55</c:v>
                </c:pt>
                <c:pt idx="21">
                  <c:v>55.25</c:v>
                </c:pt>
                <c:pt idx="22">
                  <c:v>55.5</c:v>
                </c:pt>
                <c:pt idx="23">
                  <c:v>55.75</c:v>
                </c:pt>
                <c:pt idx="24">
                  <c:v>56</c:v>
                </c:pt>
                <c:pt idx="25">
                  <c:v>56.25</c:v>
                </c:pt>
                <c:pt idx="26">
                  <c:v>56.5</c:v>
                </c:pt>
                <c:pt idx="27">
                  <c:v>56.75</c:v>
                </c:pt>
                <c:pt idx="28">
                  <c:v>57</c:v>
                </c:pt>
                <c:pt idx="29">
                  <c:v>57.25</c:v>
                </c:pt>
                <c:pt idx="30">
                  <c:v>57.5</c:v>
                </c:pt>
                <c:pt idx="31">
                  <c:v>57.75</c:v>
                </c:pt>
                <c:pt idx="32">
                  <c:v>58</c:v>
                </c:pt>
                <c:pt idx="33">
                  <c:v>58.25</c:v>
                </c:pt>
                <c:pt idx="34">
                  <c:v>58.5</c:v>
                </c:pt>
                <c:pt idx="35">
                  <c:v>58.75</c:v>
                </c:pt>
                <c:pt idx="36">
                  <c:v>59</c:v>
                </c:pt>
                <c:pt idx="37">
                  <c:v>59.25</c:v>
                </c:pt>
                <c:pt idx="38">
                  <c:v>59.5</c:v>
                </c:pt>
                <c:pt idx="39">
                  <c:v>59.75</c:v>
                </c:pt>
                <c:pt idx="40">
                  <c:v>60</c:v>
                </c:pt>
                <c:pt idx="41">
                  <c:v>60.25</c:v>
                </c:pt>
                <c:pt idx="42">
                  <c:v>60.5</c:v>
                </c:pt>
                <c:pt idx="43">
                  <c:v>60.75</c:v>
                </c:pt>
                <c:pt idx="44">
                  <c:v>61</c:v>
                </c:pt>
                <c:pt idx="45">
                  <c:v>61.25</c:v>
                </c:pt>
                <c:pt idx="46">
                  <c:v>61.5</c:v>
                </c:pt>
                <c:pt idx="47">
                  <c:v>61.75</c:v>
                </c:pt>
                <c:pt idx="48">
                  <c:v>62</c:v>
                </c:pt>
                <c:pt idx="49">
                  <c:v>62.25</c:v>
                </c:pt>
                <c:pt idx="50">
                  <c:v>62.5</c:v>
                </c:pt>
                <c:pt idx="51">
                  <c:v>62.75</c:v>
                </c:pt>
                <c:pt idx="52">
                  <c:v>63</c:v>
                </c:pt>
                <c:pt idx="53">
                  <c:v>63.25</c:v>
                </c:pt>
                <c:pt idx="54">
                  <c:v>63.5</c:v>
                </c:pt>
                <c:pt idx="55">
                  <c:v>63.75</c:v>
                </c:pt>
                <c:pt idx="56">
                  <c:v>64</c:v>
                </c:pt>
                <c:pt idx="57">
                  <c:v>64.25</c:v>
                </c:pt>
                <c:pt idx="58">
                  <c:v>64.5</c:v>
                </c:pt>
                <c:pt idx="59">
                  <c:v>64.75</c:v>
                </c:pt>
                <c:pt idx="60">
                  <c:v>65</c:v>
                </c:pt>
                <c:pt idx="61">
                  <c:v>65.25</c:v>
                </c:pt>
                <c:pt idx="62">
                  <c:v>65.5</c:v>
                </c:pt>
                <c:pt idx="63">
                  <c:v>65.75</c:v>
                </c:pt>
                <c:pt idx="64">
                  <c:v>66</c:v>
                </c:pt>
                <c:pt idx="65">
                  <c:v>66.25</c:v>
                </c:pt>
                <c:pt idx="66">
                  <c:v>66.5</c:v>
                </c:pt>
                <c:pt idx="67">
                  <c:v>66.75</c:v>
                </c:pt>
                <c:pt idx="68">
                  <c:v>67</c:v>
                </c:pt>
                <c:pt idx="69">
                  <c:v>67.25</c:v>
                </c:pt>
                <c:pt idx="70">
                  <c:v>67.5</c:v>
                </c:pt>
                <c:pt idx="71">
                  <c:v>67.75</c:v>
                </c:pt>
                <c:pt idx="72">
                  <c:v>68</c:v>
                </c:pt>
                <c:pt idx="73">
                  <c:v>68.25</c:v>
                </c:pt>
                <c:pt idx="74">
                  <c:v>68.5</c:v>
                </c:pt>
                <c:pt idx="75">
                  <c:v>68.75</c:v>
                </c:pt>
                <c:pt idx="76">
                  <c:v>69</c:v>
                </c:pt>
                <c:pt idx="77">
                  <c:v>69.25</c:v>
                </c:pt>
                <c:pt idx="78">
                  <c:v>69.5</c:v>
                </c:pt>
                <c:pt idx="79">
                  <c:v>69.75</c:v>
                </c:pt>
                <c:pt idx="80">
                  <c:v>70</c:v>
                </c:pt>
                <c:pt idx="81">
                  <c:v>70.25</c:v>
                </c:pt>
                <c:pt idx="82">
                  <c:v>70.5</c:v>
                </c:pt>
                <c:pt idx="83">
                  <c:v>70.75</c:v>
                </c:pt>
                <c:pt idx="84">
                  <c:v>71</c:v>
                </c:pt>
                <c:pt idx="85">
                  <c:v>71.25</c:v>
                </c:pt>
                <c:pt idx="86">
                  <c:v>71.5</c:v>
                </c:pt>
                <c:pt idx="87">
                  <c:v>71.75</c:v>
                </c:pt>
                <c:pt idx="88">
                  <c:v>72</c:v>
                </c:pt>
                <c:pt idx="89">
                  <c:v>72.25</c:v>
                </c:pt>
                <c:pt idx="90">
                  <c:v>72.5</c:v>
                </c:pt>
                <c:pt idx="91">
                  <c:v>72.75</c:v>
                </c:pt>
                <c:pt idx="92">
                  <c:v>73</c:v>
                </c:pt>
                <c:pt idx="93">
                  <c:v>73.25</c:v>
                </c:pt>
                <c:pt idx="94">
                  <c:v>73.5</c:v>
                </c:pt>
                <c:pt idx="95">
                  <c:v>73.75</c:v>
                </c:pt>
                <c:pt idx="96">
                  <c:v>74</c:v>
                </c:pt>
                <c:pt idx="97">
                  <c:v>74.25</c:v>
                </c:pt>
                <c:pt idx="98">
                  <c:v>74.5</c:v>
                </c:pt>
                <c:pt idx="99">
                  <c:v>74.75</c:v>
                </c:pt>
                <c:pt idx="100">
                  <c:v>75</c:v>
                </c:pt>
                <c:pt idx="101">
                  <c:v>75.25</c:v>
                </c:pt>
                <c:pt idx="102">
                  <c:v>75.5</c:v>
                </c:pt>
                <c:pt idx="103">
                  <c:v>75.75</c:v>
                </c:pt>
                <c:pt idx="104">
                  <c:v>76</c:v>
                </c:pt>
                <c:pt idx="105">
                  <c:v>76.25</c:v>
                </c:pt>
                <c:pt idx="106">
                  <c:v>76.5</c:v>
                </c:pt>
                <c:pt idx="107">
                  <c:v>76.75</c:v>
                </c:pt>
                <c:pt idx="108">
                  <c:v>77</c:v>
                </c:pt>
                <c:pt idx="109">
                  <c:v>77.25</c:v>
                </c:pt>
                <c:pt idx="110">
                  <c:v>77.5</c:v>
                </c:pt>
                <c:pt idx="111">
                  <c:v>77.75</c:v>
                </c:pt>
                <c:pt idx="112">
                  <c:v>78</c:v>
                </c:pt>
                <c:pt idx="113">
                  <c:v>78.25</c:v>
                </c:pt>
                <c:pt idx="114">
                  <c:v>78.5</c:v>
                </c:pt>
                <c:pt idx="115">
                  <c:v>78.75</c:v>
                </c:pt>
                <c:pt idx="116">
                  <c:v>79</c:v>
                </c:pt>
                <c:pt idx="117">
                  <c:v>79.25</c:v>
                </c:pt>
                <c:pt idx="118">
                  <c:v>79.5</c:v>
                </c:pt>
                <c:pt idx="119">
                  <c:v>79.75</c:v>
                </c:pt>
                <c:pt idx="120">
                  <c:v>80</c:v>
                </c:pt>
              </c:numCache>
            </c:numRef>
          </c:cat>
          <c:val>
            <c:numRef>
              <c:f>CE!$G$6:$G$126</c:f>
              <c:numCache>
                <c:formatCode>#,##0.00;\(#,##0.00\)</c:formatCode>
                <c:ptCount val="121"/>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pt idx="48">
                  <c:v>-1.25</c:v>
                </c:pt>
                <c:pt idx="49">
                  <c:v>-1</c:v>
                </c:pt>
                <c:pt idx="50">
                  <c:v>-0.75</c:v>
                </c:pt>
                <c:pt idx="51">
                  <c:v>-0.5</c:v>
                </c:pt>
                <c:pt idx="52">
                  <c:v>-0.25</c:v>
                </c:pt>
                <c:pt idx="53">
                  <c:v>0</c:v>
                </c:pt>
                <c:pt idx="54">
                  <c:v>0.25</c:v>
                </c:pt>
                <c:pt idx="55">
                  <c:v>0.5</c:v>
                </c:pt>
                <c:pt idx="56">
                  <c:v>0.75</c:v>
                </c:pt>
                <c:pt idx="57">
                  <c:v>1</c:v>
                </c:pt>
                <c:pt idx="58">
                  <c:v>1.25</c:v>
                </c:pt>
                <c:pt idx="59">
                  <c:v>1.5</c:v>
                </c:pt>
                <c:pt idx="60">
                  <c:v>1.75</c:v>
                </c:pt>
                <c:pt idx="61">
                  <c:v>2</c:v>
                </c:pt>
                <c:pt idx="62">
                  <c:v>2.25</c:v>
                </c:pt>
                <c:pt idx="63">
                  <c:v>2.5</c:v>
                </c:pt>
                <c:pt idx="64">
                  <c:v>2.75</c:v>
                </c:pt>
                <c:pt idx="65">
                  <c:v>3</c:v>
                </c:pt>
                <c:pt idx="66">
                  <c:v>3.25</c:v>
                </c:pt>
                <c:pt idx="67">
                  <c:v>3.5</c:v>
                </c:pt>
                <c:pt idx="68">
                  <c:v>3.75</c:v>
                </c:pt>
                <c:pt idx="69">
                  <c:v>4</c:v>
                </c:pt>
                <c:pt idx="70">
                  <c:v>4.25</c:v>
                </c:pt>
                <c:pt idx="71">
                  <c:v>4.5</c:v>
                </c:pt>
                <c:pt idx="72">
                  <c:v>4.75</c:v>
                </c:pt>
                <c:pt idx="73">
                  <c:v>5</c:v>
                </c:pt>
                <c:pt idx="74">
                  <c:v>5.25</c:v>
                </c:pt>
                <c:pt idx="75">
                  <c:v>5.5</c:v>
                </c:pt>
                <c:pt idx="76">
                  <c:v>5.75</c:v>
                </c:pt>
                <c:pt idx="77">
                  <c:v>6</c:v>
                </c:pt>
                <c:pt idx="78">
                  <c:v>6.25</c:v>
                </c:pt>
                <c:pt idx="79">
                  <c:v>6.5</c:v>
                </c:pt>
                <c:pt idx="80">
                  <c:v>6.75</c:v>
                </c:pt>
                <c:pt idx="81">
                  <c:v>7</c:v>
                </c:pt>
                <c:pt idx="82">
                  <c:v>7.25</c:v>
                </c:pt>
                <c:pt idx="83">
                  <c:v>7.5</c:v>
                </c:pt>
                <c:pt idx="84">
                  <c:v>7.75</c:v>
                </c:pt>
                <c:pt idx="85">
                  <c:v>8</c:v>
                </c:pt>
                <c:pt idx="86">
                  <c:v>8.25</c:v>
                </c:pt>
                <c:pt idx="87">
                  <c:v>8.5</c:v>
                </c:pt>
                <c:pt idx="88">
                  <c:v>8.75</c:v>
                </c:pt>
                <c:pt idx="89">
                  <c:v>9</c:v>
                </c:pt>
                <c:pt idx="90">
                  <c:v>9.25</c:v>
                </c:pt>
                <c:pt idx="91">
                  <c:v>9.5</c:v>
                </c:pt>
                <c:pt idx="92">
                  <c:v>9.75</c:v>
                </c:pt>
                <c:pt idx="93">
                  <c:v>10</c:v>
                </c:pt>
                <c:pt idx="94">
                  <c:v>10.25</c:v>
                </c:pt>
                <c:pt idx="95">
                  <c:v>10.5</c:v>
                </c:pt>
                <c:pt idx="96">
                  <c:v>10.75</c:v>
                </c:pt>
                <c:pt idx="97">
                  <c:v>11</c:v>
                </c:pt>
                <c:pt idx="98">
                  <c:v>11.25</c:v>
                </c:pt>
                <c:pt idx="99">
                  <c:v>11.5</c:v>
                </c:pt>
                <c:pt idx="100">
                  <c:v>11.75</c:v>
                </c:pt>
                <c:pt idx="101">
                  <c:v>12</c:v>
                </c:pt>
                <c:pt idx="102">
                  <c:v>12.25</c:v>
                </c:pt>
                <c:pt idx="103">
                  <c:v>12.5</c:v>
                </c:pt>
                <c:pt idx="104">
                  <c:v>12.75</c:v>
                </c:pt>
                <c:pt idx="105">
                  <c:v>13</c:v>
                </c:pt>
                <c:pt idx="106">
                  <c:v>13.25</c:v>
                </c:pt>
                <c:pt idx="107">
                  <c:v>13.5</c:v>
                </c:pt>
                <c:pt idx="108">
                  <c:v>13.75</c:v>
                </c:pt>
                <c:pt idx="109">
                  <c:v>14</c:v>
                </c:pt>
                <c:pt idx="110">
                  <c:v>14.25</c:v>
                </c:pt>
                <c:pt idx="111">
                  <c:v>14.5</c:v>
                </c:pt>
                <c:pt idx="112">
                  <c:v>14.75</c:v>
                </c:pt>
                <c:pt idx="113">
                  <c:v>15</c:v>
                </c:pt>
                <c:pt idx="114">
                  <c:v>15.25</c:v>
                </c:pt>
                <c:pt idx="115">
                  <c:v>15.5</c:v>
                </c:pt>
                <c:pt idx="116">
                  <c:v>15.75</c:v>
                </c:pt>
                <c:pt idx="117">
                  <c:v>16</c:v>
                </c:pt>
                <c:pt idx="118">
                  <c:v>16.25</c:v>
                </c:pt>
                <c:pt idx="119">
                  <c:v>16.5</c:v>
                </c:pt>
                <c:pt idx="120">
                  <c:v>16.75</c:v>
                </c:pt>
              </c:numCache>
            </c:numRef>
          </c:val>
          <c:smooth val="0"/>
          <c:extLst>
            <c:ext xmlns:c16="http://schemas.microsoft.com/office/drawing/2014/chart" uri="{C3380CC4-5D6E-409C-BE32-E72D297353CC}">
              <c16:uniqueId val="{00000000-BC41-4701-AD1D-4C2C63FE80F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770021056"/>
        <c:axId val="1769490160"/>
      </c:lineChart>
      <c:catAx>
        <c:axId val="1770021056"/>
        <c:scaling>
          <c:orientation val="minMax"/>
        </c:scaling>
        <c:delete val="0"/>
        <c:axPos val="b"/>
        <c:numFmt formatCode="#,##0.00;\(#,##0.00\)"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69490160"/>
        <c:crosses val="autoZero"/>
        <c:auto val="1"/>
        <c:lblAlgn val="ctr"/>
        <c:lblOffset val="100"/>
        <c:noMultiLvlLbl val="0"/>
      </c:catAx>
      <c:valAx>
        <c:axId val="1769490160"/>
        <c:scaling>
          <c:orientation val="minMax"/>
        </c:scaling>
        <c:delete val="0"/>
        <c:axPos val="l"/>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70021056"/>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PE!$F$5</c:f>
              <c:strCache>
                <c:ptCount val="1"/>
                <c:pt idx="0">
                  <c:v>PAY OFF(LONG PUTT)</c:v>
                </c:pt>
              </c:strCache>
            </c:strRef>
          </c:tx>
          <c:spPr>
            <a:ln w="34925" cap="rnd">
              <a:solidFill>
                <a:schemeClr val="lt1"/>
              </a:solidFill>
              <a:round/>
            </a:ln>
            <a:effectLst>
              <a:outerShdw dist="25400" dir="2700000" algn="tl" rotWithShape="0">
                <a:schemeClr val="accent1"/>
              </a:outerShdw>
            </a:effectLst>
          </c:spPr>
          <c:marker>
            <c:symbol val="none"/>
          </c:marker>
          <c:cat>
            <c:numRef>
              <c:f>PE!$E$6:$E$126</c:f>
              <c:numCache>
                <c:formatCode>#,##0.00;\(#,##0.00\)</c:formatCode>
                <c:ptCount val="121"/>
                <c:pt idx="0">
                  <c:v>50</c:v>
                </c:pt>
                <c:pt idx="1">
                  <c:v>50.25</c:v>
                </c:pt>
                <c:pt idx="2">
                  <c:v>50.5</c:v>
                </c:pt>
                <c:pt idx="3">
                  <c:v>50.75</c:v>
                </c:pt>
                <c:pt idx="4">
                  <c:v>51</c:v>
                </c:pt>
                <c:pt idx="5">
                  <c:v>51.25</c:v>
                </c:pt>
                <c:pt idx="6">
                  <c:v>51.5</c:v>
                </c:pt>
                <c:pt idx="7">
                  <c:v>51.75</c:v>
                </c:pt>
                <c:pt idx="8">
                  <c:v>52</c:v>
                </c:pt>
                <c:pt idx="9">
                  <c:v>52.25</c:v>
                </c:pt>
                <c:pt idx="10">
                  <c:v>52.5</c:v>
                </c:pt>
                <c:pt idx="11">
                  <c:v>52.75</c:v>
                </c:pt>
                <c:pt idx="12">
                  <c:v>53</c:v>
                </c:pt>
                <c:pt idx="13">
                  <c:v>53.25</c:v>
                </c:pt>
                <c:pt idx="14">
                  <c:v>53.5</c:v>
                </c:pt>
                <c:pt idx="15">
                  <c:v>53.75</c:v>
                </c:pt>
                <c:pt idx="16">
                  <c:v>54</c:v>
                </c:pt>
                <c:pt idx="17">
                  <c:v>54.25</c:v>
                </c:pt>
                <c:pt idx="18">
                  <c:v>54.5</c:v>
                </c:pt>
                <c:pt idx="19">
                  <c:v>54.75</c:v>
                </c:pt>
                <c:pt idx="20">
                  <c:v>55</c:v>
                </c:pt>
                <c:pt idx="21">
                  <c:v>55.25</c:v>
                </c:pt>
                <c:pt idx="22">
                  <c:v>55.5</c:v>
                </c:pt>
                <c:pt idx="23">
                  <c:v>55.75</c:v>
                </c:pt>
                <c:pt idx="24">
                  <c:v>56</c:v>
                </c:pt>
                <c:pt idx="25">
                  <c:v>56.25</c:v>
                </c:pt>
                <c:pt idx="26">
                  <c:v>56.5</c:v>
                </c:pt>
                <c:pt idx="27">
                  <c:v>56.75</c:v>
                </c:pt>
                <c:pt idx="28">
                  <c:v>57</c:v>
                </c:pt>
                <c:pt idx="29">
                  <c:v>57.25</c:v>
                </c:pt>
                <c:pt idx="30">
                  <c:v>57.5</c:v>
                </c:pt>
                <c:pt idx="31">
                  <c:v>57.75</c:v>
                </c:pt>
                <c:pt idx="32">
                  <c:v>58</c:v>
                </c:pt>
                <c:pt idx="33">
                  <c:v>58.25</c:v>
                </c:pt>
                <c:pt idx="34">
                  <c:v>58.5</c:v>
                </c:pt>
                <c:pt idx="35">
                  <c:v>58.75</c:v>
                </c:pt>
                <c:pt idx="36">
                  <c:v>59</c:v>
                </c:pt>
                <c:pt idx="37">
                  <c:v>59.25</c:v>
                </c:pt>
                <c:pt idx="38">
                  <c:v>59.5</c:v>
                </c:pt>
                <c:pt idx="39">
                  <c:v>59.75</c:v>
                </c:pt>
                <c:pt idx="40">
                  <c:v>60</c:v>
                </c:pt>
                <c:pt idx="41">
                  <c:v>60.25</c:v>
                </c:pt>
                <c:pt idx="42">
                  <c:v>60.5</c:v>
                </c:pt>
                <c:pt idx="43">
                  <c:v>60.75</c:v>
                </c:pt>
                <c:pt idx="44">
                  <c:v>61</c:v>
                </c:pt>
                <c:pt idx="45">
                  <c:v>61.25</c:v>
                </c:pt>
                <c:pt idx="46">
                  <c:v>61.5</c:v>
                </c:pt>
                <c:pt idx="47">
                  <c:v>61.75</c:v>
                </c:pt>
                <c:pt idx="48">
                  <c:v>62</c:v>
                </c:pt>
                <c:pt idx="49">
                  <c:v>62.25</c:v>
                </c:pt>
                <c:pt idx="50">
                  <c:v>62.5</c:v>
                </c:pt>
                <c:pt idx="51">
                  <c:v>62.75</c:v>
                </c:pt>
                <c:pt idx="52">
                  <c:v>63</c:v>
                </c:pt>
                <c:pt idx="53">
                  <c:v>63.25</c:v>
                </c:pt>
                <c:pt idx="54">
                  <c:v>63.5</c:v>
                </c:pt>
                <c:pt idx="55">
                  <c:v>63.75</c:v>
                </c:pt>
                <c:pt idx="56">
                  <c:v>64</c:v>
                </c:pt>
                <c:pt idx="57">
                  <c:v>64.25</c:v>
                </c:pt>
                <c:pt idx="58">
                  <c:v>64.5</c:v>
                </c:pt>
                <c:pt idx="59">
                  <c:v>64.75</c:v>
                </c:pt>
                <c:pt idx="60">
                  <c:v>65</c:v>
                </c:pt>
                <c:pt idx="61">
                  <c:v>65.25</c:v>
                </c:pt>
                <c:pt idx="62">
                  <c:v>65.5</c:v>
                </c:pt>
                <c:pt idx="63">
                  <c:v>65.75</c:v>
                </c:pt>
                <c:pt idx="64">
                  <c:v>66</c:v>
                </c:pt>
                <c:pt idx="65">
                  <c:v>66.25</c:v>
                </c:pt>
                <c:pt idx="66">
                  <c:v>66.5</c:v>
                </c:pt>
                <c:pt idx="67">
                  <c:v>66.75</c:v>
                </c:pt>
                <c:pt idx="68">
                  <c:v>67</c:v>
                </c:pt>
                <c:pt idx="69">
                  <c:v>67.25</c:v>
                </c:pt>
                <c:pt idx="70">
                  <c:v>67.5</c:v>
                </c:pt>
                <c:pt idx="71">
                  <c:v>67.75</c:v>
                </c:pt>
                <c:pt idx="72">
                  <c:v>68</c:v>
                </c:pt>
                <c:pt idx="73">
                  <c:v>68.25</c:v>
                </c:pt>
                <c:pt idx="74">
                  <c:v>68.5</c:v>
                </c:pt>
                <c:pt idx="75">
                  <c:v>68.75</c:v>
                </c:pt>
                <c:pt idx="76">
                  <c:v>69</c:v>
                </c:pt>
                <c:pt idx="77">
                  <c:v>69.25</c:v>
                </c:pt>
                <c:pt idx="78">
                  <c:v>69.5</c:v>
                </c:pt>
                <c:pt idx="79">
                  <c:v>69.75</c:v>
                </c:pt>
                <c:pt idx="80">
                  <c:v>70</c:v>
                </c:pt>
                <c:pt idx="81">
                  <c:v>70.25</c:v>
                </c:pt>
                <c:pt idx="82">
                  <c:v>70.5</c:v>
                </c:pt>
                <c:pt idx="83">
                  <c:v>70.75</c:v>
                </c:pt>
                <c:pt idx="84">
                  <c:v>71</c:v>
                </c:pt>
                <c:pt idx="85">
                  <c:v>71.25</c:v>
                </c:pt>
                <c:pt idx="86">
                  <c:v>71.5</c:v>
                </c:pt>
                <c:pt idx="87">
                  <c:v>71.75</c:v>
                </c:pt>
                <c:pt idx="88">
                  <c:v>72</c:v>
                </c:pt>
                <c:pt idx="89">
                  <c:v>72.25</c:v>
                </c:pt>
                <c:pt idx="90">
                  <c:v>72.5</c:v>
                </c:pt>
                <c:pt idx="91">
                  <c:v>72.75</c:v>
                </c:pt>
                <c:pt idx="92">
                  <c:v>73</c:v>
                </c:pt>
                <c:pt idx="93">
                  <c:v>73.25</c:v>
                </c:pt>
                <c:pt idx="94">
                  <c:v>73.5</c:v>
                </c:pt>
                <c:pt idx="95">
                  <c:v>73.75</c:v>
                </c:pt>
                <c:pt idx="96">
                  <c:v>74</c:v>
                </c:pt>
                <c:pt idx="97">
                  <c:v>74.25</c:v>
                </c:pt>
                <c:pt idx="98">
                  <c:v>74.5</c:v>
                </c:pt>
                <c:pt idx="99">
                  <c:v>74.75</c:v>
                </c:pt>
                <c:pt idx="100">
                  <c:v>75</c:v>
                </c:pt>
                <c:pt idx="101">
                  <c:v>75.25</c:v>
                </c:pt>
                <c:pt idx="102">
                  <c:v>75.5</c:v>
                </c:pt>
                <c:pt idx="103">
                  <c:v>75.75</c:v>
                </c:pt>
                <c:pt idx="104">
                  <c:v>76</c:v>
                </c:pt>
                <c:pt idx="105">
                  <c:v>76.25</c:v>
                </c:pt>
                <c:pt idx="106">
                  <c:v>76.5</c:v>
                </c:pt>
                <c:pt idx="107">
                  <c:v>76.75</c:v>
                </c:pt>
                <c:pt idx="108">
                  <c:v>77</c:v>
                </c:pt>
                <c:pt idx="109">
                  <c:v>77.25</c:v>
                </c:pt>
                <c:pt idx="110">
                  <c:v>77.5</c:v>
                </c:pt>
                <c:pt idx="111">
                  <c:v>77.75</c:v>
                </c:pt>
                <c:pt idx="112">
                  <c:v>78</c:v>
                </c:pt>
                <c:pt idx="113">
                  <c:v>78.25</c:v>
                </c:pt>
                <c:pt idx="114">
                  <c:v>78.5</c:v>
                </c:pt>
                <c:pt idx="115">
                  <c:v>78.75</c:v>
                </c:pt>
                <c:pt idx="116">
                  <c:v>79</c:v>
                </c:pt>
                <c:pt idx="117">
                  <c:v>79.25</c:v>
                </c:pt>
                <c:pt idx="118">
                  <c:v>79.5</c:v>
                </c:pt>
                <c:pt idx="119">
                  <c:v>79.75</c:v>
                </c:pt>
                <c:pt idx="120">
                  <c:v>80</c:v>
                </c:pt>
              </c:numCache>
            </c:numRef>
          </c:cat>
          <c:val>
            <c:numRef>
              <c:f>PE!$F$6:$F$126</c:f>
              <c:numCache>
                <c:formatCode>#,##0.00;\(#,##0.00\)</c:formatCode>
                <c:ptCount val="121"/>
                <c:pt idx="0">
                  <c:v>10.75</c:v>
                </c:pt>
                <c:pt idx="1">
                  <c:v>10.5</c:v>
                </c:pt>
                <c:pt idx="2">
                  <c:v>10.25</c:v>
                </c:pt>
                <c:pt idx="3">
                  <c:v>10</c:v>
                </c:pt>
                <c:pt idx="4">
                  <c:v>9.75</c:v>
                </c:pt>
                <c:pt idx="5">
                  <c:v>9.5</c:v>
                </c:pt>
                <c:pt idx="6">
                  <c:v>9.25</c:v>
                </c:pt>
                <c:pt idx="7">
                  <c:v>9</c:v>
                </c:pt>
                <c:pt idx="8">
                  <c:v>8.75</c:v>
                </c:pt>
                <c:pt idx="9">
                  <c:v>8.5</c:v>
                </c:pt>
                <c:pt idx="10">
                  <c:v>8.25</c:v>
                </c:pt>
                <c:pt idx="11">
                  <c:v>8</c:v>
                </c:pt>
                <c:pt idx="12">
                  <c:v>7.75</c:v>
                </c:pt>
                <c:pt idx="13">
                  <c:v>7.5</c:v>
                </c:pt>
                <c:pt idx="14">
                  <c:v>7.25</c:v>
                </c:pt>
                <c:pt idx="15">
                  <c:v>7</c:v>
                </c:pt>
                <c:pt idx="16">
                  <c:v>6.75</c:v>
                </c:pt>
                <c:pt idx="17">
                  <c:v>6.5</c:v>
                </c:pt>
                <c:pt idx="18">
                  <c:v>6.25</c:v>
                </c:pt>
                <c:pt idx="19">
                  <c:v>6</c:v>
                </c:pt>
                <c:pt idx="20">
                  <c:v>5.75</c:v>
                </c:pt>
                <c:pt idx="21">
                  <c:v>5.5</c:v>
                </c:pt>
                <c:pt idx="22">
                  <c:v>5.25</c:v>
                </c:pt>
                <c:pt idx="23">
                  <c:v>5</c:v>
                </c:pt>
                <c:pt idx="24">
                  <c:v>4.75</c:v>
                </c:pt>
                <c:pt idx="25">
                  <c:v>4.5</c:v>
                </c:pt>
                <c:pt idx="26">
                  <c:v>4.25</c:v>
                </c:pt>
                <c:pt idx="27">
                  <c:v>4</c:v>
                </c:pt>
                <c:pt idx="28">
                  <c:v>3.75</c:v>
                </c:pt>
                <c:pt idx="29">
                  <c:v>3.5</c:v>
                </c:pt>
                <c:pt idx="30">
                  <c:v>3.25</c:v>
                </c:pt>
                <c:pt idx="31">
                  <c:v>3</c:v>
                </c:pt>
                <c:pt idx="32">
                  <c:v>2.75</c:v>
                </c:pt>
                <c:pt idx="33">
                  <c:v>2.5</c:v>
                </c:pt>
                <c:pt idx="34">
                  <c:v>2.25</c:v>
                </c:pt>
                <c:pt idx="35">
                  <c:v>2</c:v>
                </c:pt>
                <c:pt idx="36">
                  <c:v>1.75</c:v>
                </c:pt>
                <c:pt idx="37">
                  <c:v>1.5</c:v>
                </c:pt>
                <c:pt idx="38">
                  <c:v>1.25</c:v>
                </c:pt>
                <c:pt idx="39">
                  <c:v>1</c:v>
                </c:pt>
                <c:pt idx="40">
                  <c:v>0.75</c:v>
                </c:pt>
                <c:pt idx="41">
                  <c:v>0.5</c:v>
                </c:pt>
                <c:pt idx="42">
                  <c:v>0.25</c:v>
                </c:pt>
                <c:pt idx="43">
                  <c:v>0</c:v>
                </c:pt>
                <c:pt idx="44">
                  <c:v>-0.25</c:v>
                </c:pt>
                <c:pt idx="45">
                  <c:v>-0.5</c:v>
                </c:pt>
                <c:pt idx="46">
                  <c:v>-0.75</c:v>
                </c:pt>
                <c:pt idx="47">
                  <c:v>-1</c:v>
                </c:pt>
                <c:pt idx="48">
                  <c:v>-1.25</c:v>
                </c:pt>
                <c:pt idx="49">
                  <c:v>-1.25</c:v>
                </c:pt>
                <c:pt idx="50">
                  <c:v>-1.25</c:v>
                </c:pt>
                <c:pt idx="51">
                  <c:v>-1.25</c:v>
                </c:pt>
                <c:pt idx="52">
                  <c:v>-1.25</c:v>
                </c:pt>
                <c:pt idx="53">
                  <c:v>-1.25</c:v>
                </c:pt>
                <c:pt idx="54">
                  <c:v>-1.25</c:v>
                </c:pt>
                <c:pt idx="55">
                  <c:v>-1.25</c:v>
                </c:pt>
                <c:pt idx="56">
                  <c:v>-1.25</c:v>
                </c:pt>
                <c:pt idx="57">
                  <c:v>-1.25</c:v>
                </c:pt>
                <c:pt idx="58">
                  <c:v>-1.25</c:v>
                </c:pt>
                <c:pt idx="59">
                  <c:v>-1.25</c:v>
                </c:pt>
                <c:pt idx="60">
                  <c:v>-1.25</c:v>
                </c:pt>
                <c:pt idx="61">
                  <c:v>-1.25</c:v>
                </c:pt>
                <c:pt idx="62">
                  <c:v>-1.25</c:v>
                </c:pt>
                <c:pt idx="63">
                  <c:v>-1.25</c:v>
                </c:pt>
                <c:pt idx="64">
                  <c:v>-1.25</c:v>
                </c:pt>
                <c:pt idx="65">
                  <c:v>-1.25</c:v>
                </c:pt>
                <c:pt idx="66">
                  <c:v>-1.25</c:v>
                </c:pt>
                <c:pt idx="67">
                  <c:v>-1.25</c:v>
                </c:pt>
                <c:pt idx="68">
                  <c:v>-1.25</c:v>
                </c:pt>
                <c:pt idx="69">
                  <c:v>-1.25</c:v>
                </c:pt>
                <c:pt idx="70">
                  <c:v>-1.25</c:v>
                </c:pt>
                <c:pt idx="71">
                  <c:v>-1.25</c:v>
                </c:pt>
                <c:pt idx="72">
                  <c:v>-1.25</c:v>
                </c:pt>
                <c:pt idx="73">
                  <c:v>-1.25</c:v>
                </c:pt>
                <c:pt idx="74">
                  <c:v>-1.25</c:v>
                </c:pt>
                <c:pt idx="75">
                  <c:v>-1.25</c:v>
                </c:pt>
                <c:pt idx="76">
                  <c:v>-1.25</c:v>
                </c:pt>
                <c:pt idx="77">
                  <c:v>-1.25</c:v>
                </c:pt>
                <c:pt idx="78">
                  <c:v>-1.25</c:v>
                </c:pt>
                <c:pt idx="79">
                  <c:v>-1.25</c:v>
                </c:pt>
                <c:pt idx="80">
                  <c:v>-1.25</c:v>
                </c:pt>
                <c:pt idx="81">
                  <c:v>-1.25</c:v>
                </c:pt>
                <c:pt idx="82">
                  <c:v>-1.25</c:v>
                </c:pt>
                <c:pt idx="83">
                  <c:v>-1.25</c:v>
                </c:pt>
                <c:pt idx="84">
                  <c:v>-1.25</c:v>
                </c:pt>
                <c:pt idx="85">
                  <c:v>-1.25</c:v>
                </c:pt>
                <c:pt idx="86">
                  <c:v>-1.25</c:v>
                </c:pt>
                <c:pt idx="87">
                  <c:v>-1.25</c:v>
                </c:pt>
                <c:pt idx="88">
                  <c:v>-1.25</c:v>
                </c:pt>
                <c:pt idx="89">
                  <c:v>-1.25</c:v>
                </c:pt>
                <c:pt idx="90">
                  <c:v>-1.25</c:v>
                </c:pt>
                <c:pt idx="91">
                  <c:v>-1.25</c:v>
                </c:pt>
                <c:pt idx="92">
                  <c:v>-1.25</c:v>
                </c:pt>
                <c:pt idx="93">
                  <c:v>-1.25</c:v>
                </c:pt>
                <c:pt idx="94">
                  <c:v>-1.25</c:v>
                </c:pt>
                <c:pt idx="95">
                  <c:v>-1.25</c:v>
                </c:pt>
                <c:pt idx="96">
                  <c:v>-1.25</c:v>
                </c:pt>
                <c:pt idx="97">
                  <c:v>-1.25</c:v>
                </c:pt>
                <c:pt idx="98">
                  <c:v>-1.25</c:v>
                </c:pt>
                <c:pt idx="99">
                  <c:v>-1.25</c:v>
                </c:pt>
                <c:pt idx="100">
                  <c:v>-1.25</c:v>
                </c:pt>
                <c:pt idx="101">
                  <c:v>-1.25</c:v>
                </c:pt>
                <c:pt idx="102">
                  <c:v>-1.25</c:v>
                </c:pt>
                <c:pt idx="103">
                  <c:v>-1.25</c:v>
                </c:pt>
                <c:pt idx="104">
                  <c:v>-1.25</c:v>
                </c:pt>
                <c:pt idx="105">
                  <c:v>-1.25</c:v>
                </c:pt>
                <c:pt idx="106">
                  <c:v>-1.25</c:v>
                </c:pt>
                <c:pt idx="107">
                  <c:v>-1.25</c:v>
                </c:pt>
                <c:pt idx="108">
                  <c:v>-1.25</c:v>
                </c:pt>
                <c:pt idx="109">
                  <c:v>-1.25</c:v>
                </c:pt>
                <c:pt idx="110">
                  <c:v>-1.25</c:v>
                </c:pt>
                <c:pt idx="111">
                  <c:v>-1.25</c:v>
                </c:pt>
                <c:pt idx="112">
                  <c:v>-1.25</c:v>
                </c:pt>
                <c:pt idx="113">
                  <c:v>-1.25</c:v>
                </c:pt>
                <c:pt idx="114">
                  <c:v>-1.25</c:v>
                </c:pt>
                <c:pt idx="115">
                  <c:v>-1.25</c:v>
                </c:pt>
                <c:pt idx="116">
                  <c:v>-1.25</c:v>
                </c:pt>
                <c:pt idx="117">
                  <c:v>-1.25</c:v>
                </c:pt>
                <c:pt idx="118">
                  <c:v>-1.25</c:v>
                </c:pt>
                <c:pt idx="119">
                  <c:v>-1.25</c:v>
                </c:pt>
                <c:pt idx="120">
                  <c:v>-1.25</c:v>
                </c:pt>
              </c:numCache>
            </c:numRef>
          </c:val>
          <c:smooth val="0"/>
          <c:extLst>
            <c:ext xmlns:c16="http://schemas.microsoft.com/office/drawing/2014/chart" uri="{C3380CC4-5D6E-409C-BE32-E72D297353CC}">
              <c16:uniqueId val="{00000000-FCFD-496E-BA9E-E511EB17AB3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68069168"/>
        <c:axId val="768066768"/>
      </c:lineChart>
      <c:catAx>
        <c:axId val="768069168"/>
        <c:scaling>
          <c:orientation val="minMax"/>
        </c:scaling>
        <c:delete val="0"/>
        <c:axPos val="b"/>
        <c:numFmt formatCode="#,##0.00;\(#,##0.00\)"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68066768"/>
        <c:crosses val="autoZero"/>
        <c:auto val="1"/>
        <c:lblAlgn val="ctr"/>
        <c:lblOffset val="100"/>
        <c:noMultiLvlLbl val="0"/>
      </c:catAx>
      <c:valAx>
        <c:axId val="768066768"/>
        <c:scaling>
          <c:orientation val="minMax"/>
        </c:scaling>
        <c:delete val="0"/>
        <c:axPos val="l"/>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8069168"/>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PE!$G$5</c:f>
              <c:strCache>
                <c:ptCount val="1"/>
                <c:pt idx="0">
                  <c:v>PAY OFF(SHORT PUTT)</c:v>
                </c:pt>
              </c:strCache>
            </c:strRef>
          </c:tx>
          <c:spPr>
            <a:ln w="34925" cap="rnd">
              <a:solidFill>
                <a:schemeClr val="lt1"/>
              </a:solidFill>
              <a:round/>
            </a:ln>
            <a:effectLst>
              <a:outerShdw dist="25400" dir="2700000" algn="tl" rotWithShape="0">
                <a:schemeClr val="accent1"/>
              </a:outerShdw>
            </a:effectLst>
          </c:spPr>
          <c:marker>
            <c:symbol val="none"/>
          </c:marker>
          <c:cat>
            <c:numRef>
              <c:f>PE!$E$6:$E$126</c:f>
              <c:numCache>
                <c:formatCode>#,##0.00;\(#,##0.00\)</c:formatCode>
                <c:ptCount val="121"/>
                <c:pt idx="0">
                  <c:v>50</c:v>
                </c:pt>
                <c:pt idx="1">
                  <c:v>50.25</c:v>
                </c:pt>
                <c:pt idx="2">
                  <c:v>50.5</c:v>
                </c:pt>
                <c:pt idx="3">
                  <c:v>50.75</c:v>
                </c:pt>
                <c:pt idx="4">
                  <c:v>51</c:v>
                </c:pt>
                <c:pt idx="5">
                  <c:v>51.25</c:v>
                </c:pt>
                <c:pt idx="6">
                  <c:v>51.5</c:v>
                </c:pt>
                <c:pt idx="7">
                  <c:v>51.75</c:v>
                </c:pt>
                <c:pt idx="8">
                  <c:v>52</c:v>
                </c:pt>
                <c:pt idx="9">
                  <c:v>52.25</c:v>
                </c:pt>
                <c:pt idx="10">
                  <c:v>52.5</c:v>
                </c:pt>
                <c:pt idx="11">
                  <c:v>52.75</c:v>
                </c:pt>
                <c:pt idx="12">
                  <c:v>53</c:v>
                </c:pt>
                <c:pt idx="13">
                  <c:v>53.25</c:v>
                </c:pt>
                <c:pt idx="14">
                  <c:v>53.5</c:v>
                </c:pt>
                <c:pt idx="15">
                  <c:v>53.75</c:v>
                </c:pt>
                <c:pt idx="16">
                  <c:v>54</c:v>
                </c:pt>
                <c:pt idx="17">
                  <c:v>54.25</c:v>
                </c:pt>
                <c:pt idx="18">
                  <c:v>54.5</c:v>
                </c:pt>
                <c:pt idx="19">
                  <c:v>54.75</c:v>
                </c:pt>
                <c:pt idx="20">
                  <c:v>55</c:v>
                </c:pt>
                <c:pt idx="21">
                  <c:v>55.25</c:v>
                </c:pt>
                <c:pt idx="22">
                  <c:v>55.5</c:v>
                </c:pt>
                <c:pt idx="23">
                  <c:v>55.75</c:v>
                </c:pt>
                <c:pt idx="24">
                  <c:v>56</c:v>
                </c:pt>
                <c:pt idx="25">
                  <c:v>56.25</c:v>
                </c:pt>
                <c:pt idx="26">
                  <c:v>56.5</c:v>
                </c:pt>
                <c:pt idx="27">
                  <c:v>56.75</c:v>
                </c:pt>
                <c:pt idx="28">
                  <c:v>57</c:v>
                </c:pt>
                <c:pt idx="29">
                  <c:v>57.25</c:v>
                </c:pt>
                <c:pt idx="30">
                  <c:v>57.5</c:v>
                </c:pt>
                <c:pt idx="31">
                  <c:v>57.75</c:v>
                </c:pt>
                <c:pt idx="32">
                  <c:v>58</c:v>
                </c:pt>
                <c:pt idx="33">
                  <c:v>58.25</c:v>
                </c:pt>
                <c:pt idx="34">
                  <c:v>58.5</c:v>
                </c:pt>
                <c:pt idx="35">
                  <c:v>58.75</c:v>
                </c:pt>
                <c:pt idx="36">
                  <c:v>59</c:v>
                </c:pt>
                <c:pt idx="37">
                  <c:v>59.25</c:v>
                </c:pt>
                <c:pt idx="38">
                  <c:v>59.5</c:v>
                </c:pt>
                <c:pt idx="39">
                  <c:v>59.75</c:v>
                </c:pt>
                <c:pt idx="40">
                  <c:v>60</c:v>
                </c:pt>
                <c:pt idx="41">
                  <c:v>60.25</c:v>
                </c:pt>
                <c:pt idx="42">
                  <c:v>60.5</c:v>
                </c:pt>
                <c:pt idx="43">
                  <c:v>60.75</c:v>
                </c:pt>
                <c:pt idx="44">
                  <c:v>61</c:v>
                </c:pt>
                <c:pt idx="45">
                  <c:v>61.25</c:v>
                </c:pt>
                <c:pt idx="46">
                  <c:v>61.5</c:v>
                </c:pt>
                <c:pt idx="47">
                  <c:v>61.75</c:v>
                </c:pt>
                <c:pt idx="48">
                  <c:v>62</c:v>
                </c:pt>
                <c:pt idx="49">
                  <c:v>62.25</c:v>
                </c:pt>
                <c:pt idx="50">
                  <c:v>62.5</c:v>
                </c:pt>
                <c:pt idx="51">
                  <c:v>62.75</c:v>
                </c:pt>
                <c:pt idx="52">
                  <c:v>63</c:v>
                </c:pt>
                <c:pt idx="53">
                  <c:v>63.25</c:v>
                </c:pt>
                <c:pt idx="54">
                  <c:v>63.5</c:v>
                </c:pt>
                <c:pt idx="55">
                  <c:v>63.75</c:v>
                </c:pt>
                <c:pt idx="56">
                  <c:v>64</c:v>
                </c:pt>
                <c:pt idx="57">
                  <c:v>64.25</c:v>
                </c:pt>
                <c:pt idx="58">
                  <c:v>64.5</c:v>
                </c:pt>
                <c:pt idx="59">
                  <c:v>64.75</c:v>
                </c:pt>
                <c:pt idx="60">
                  <c:v>65</c:v>
                </c:pt>
                <c:pt idx="61">
                  <c:v>65.25</c:v>
                </c:pt>
                <c:pt idx="62">
                  <c:v>65.5</c:v>
                </c:pt>
                <c:pt idx="63">
                  <c:v>65.75</c:v>
                </c:pt>
                <c:pt idx="64">
                  <c:v>66</c:v>
                </c:pt>
                <c:pt idx="65">
                  <c:v>66.25</c:v>
                </c:pt>
                <c:pt idx="66">
                  <c:v>66.5</c:v>
                </c:pt>
                <c:pt idx="67">
                  <c:v>66.75</c:v>
                </c:pt>
                <c:pt idx="68">
                  <c:v>67</c:v>
                </c:pt>
                <c:pt idx="69">
                  <c:v>67.25</c:v>
                </c:pt>
                <c:pt idx="70">
                  <c:v>67.5</c:v>
                </c:pt>
                <c:pt idx="71">
                  <c:v>67.75</c:v>
                </c:pt>
                <c:pt idx="72">
                  <c:v>68</c:v>
                </c:pt>
                <c:pt idx="73">
                  <c:v>68.25</c:v>
                </c:pt>
                <c:pt idx="74">
                  <c:v>68.5</c:v>
                </c:pt>
                <c:pt idx="75">
                  <c:v>68.75</c:v>
                </c:pt>
                <c:pt idx="76">
                  <c:v>69</c:v>
                </c:pt>
                <c:pt idx="77">
                  <c:v>69.25</c:v>
                </c:pt>
                <c:pt idx="78">
                  <c:v>69.5</c:v>
                </c:pt>
                <c:pt idx="79">
                  <c:v>69.75</c:v>
                </c:pt>
                <c:pt idx="80">
                  <c:v>70</c:v>
                </c:pt>
                <c:pt idx="81">
                  <c:v>70.25</c:v>
                </c:pt>
                <c:pt idx="82">
                  <c:v>70.5</c:v>
                </c:pt>
                <c:pt idx="83">
                  <c:v>70.75</c:v>
                </c:pt>
                <c:pt idx="84">
                  <c:v>71</c:v>
                </c:pt>
                <c:pt idx="85">
                  <c:v>71.25</c:v>
                </c:pt>
                <c:pt idx="86">
                  <c:v>71.5</c:v>
                </c:pt>
                <c:pt idx="87">
                  <c:v>71.75</c:v>
                </c:pt>
                <c:pt idx="88">
                  <c:v>72</c:v>
                </c:pt>
                <c:pt idx="89">
                  <c:v>72.25</c:v>
                </c:pt>
                <c:pt idx="90">
                  <c:v>72.5</c:v>
                </c:pt>
                <c:pt idx="91">
                  <c:v>72.75</c:v>
                </c:pt>
                <c:pt idx="92">
                  <c:v>73</c:v>
                </c:pt>
                <c:pt idx="93">
                  <c:v>73.25</c:v>
                </c:pt>
                <c:pt idx="94">
                  <c:v>73.5</c:v>
                </c:pt>
                <c:pt idx="95">
                  <c:v>73.75</c:v>
                </c:pt>
                <c:pt idx="96">
                  <c:v>74</c:v>
                </c:pt>
                <c:pt idx="97">
                  <c:v>74.25</c:v>
                </c:pt>
                <c:pt idx="98">
                  <c:v>74.5</c:v>
                </c:pt>
                <c:pt idx="99">
                  <c:v>74.75</c:v>
                </c:pt>
                <c:pt idx="100">
                  <c:v>75</c:v>
                </c:pt>
                <c:pt idx="101">
                  <c:v>75.25</c:v>
                </c:pt>
                <c:pt idx="102">
                  <c:v>75.5</c:v>
                </c:pt>
                <c:pt idx="103">
                  <c:v>75.75</c:v>
                </c:pt>
                <c:pt idx="104">
                  <c:v>76</c:v>
                </c:pt>
                <c:pt idx="105">
                  <c:v>76.25</c:v>
                </c:pt>
                <c:pt idx="106">
                  <c:v>76.5</c:v>
                </c:pt>
                <c:pt idx="107">
                  <c:v>76.75</c:v>
                </c:pt>
                <c:pt idx="108">
                  <c:v>77</c:v>
                </c:pt>
                <c:pt idx="109">
                  <c:v>77.25</c:v>
                </c:pt>
                <c:pt idx="110">
                  <c:v>77.5</c:v>
                </c:pt>
                <c:pt idx="111">
                  <c:v>77.75</c:v>
                </c:pt>
                <c:pt idx="112">
                  <c:v>78</c:v>
                </c:pt>
                <c:pt idx="113">
                  <c:v>78.25</c:v>
                </c:pt>
                <c:pt idx="114">
                  <c:v>78.5</c:v>
                </c:pt>
                <c:pt idx="115">
                  <c:v>78.75</c:v>
                </c:pt>
                <c:pt idx="116">
                  <c:v>79</c:v>
                </c:pt>
                <c:pt idx="117">
                  <c:v>79.25</c:v>
                </c:pt>
                <c:pt idx="118">
                  <c:v>79.5</c:v>
                </c:pt>
                <c:pt idx="119">
                  <c:v>79.75</c:v>
                </c:pt>
                <c:pt idx="120">
                  <c:v>80</c:v>
                </c:pt>
              </c:numCache>
            </c:numRef>
          </c:cat>
          <c:val>
            <c:numRef>
              <c:f>PE!$G$6:$G$126</c:f>
              <c:numCache>
                <c:formatCode>#,##0.00;\(#,##0.00\)</c:formatCode>
                <c:ptCount val="121"/>
                <c:pt idx="0">
                  <c:v>-10.75</c:v>
                </c:pt>
                <c:pt idx="1">
                  <c:v>-10.5</c:v>
                </c:pt>
                <c:pt idx="2">
                  <c:v>-10.25</c:v>
                </c:pt>
                <c:pt idx="3">
                  <c:v>-10</c:v>
                </c:pt>
                <c:pt idx="4">
                  <c:v>-9.75</c:v>
                </c:pt>
                <c:pt idx="5">
                  <c:v>-9.5</c:v>
                </c:pt>
                <c:pt idx="6">
                  <c:v>-9.25</c:v>
                </c:pt>
                <c:pt idx="7">
                  <c:v>-9</c:v>
                </c:pt>
                <c:pt idx="8">
                  <c:v>-8.75</c:v>
                </c:pt>
                <c:pt idx="9">
                  <c:v>-8.5</c:v>
                </c:pt>
                <c:pt idx="10">
                  <c:v>-8.25</c:v>
                </c:pt>
                <c:pt idx="11">
                  <c:v>-8</c:v>
                </c:pt>
                <c:pt idx="12">
                  <c:v>-7.75</c:v>
                </c:pt>
                <c:pt idx="13">
                  <c:v>-7.5</c:v>
                </c:pt>
                <c:pt idx="14">
                  <c:v>-7.25</c:v>
                </c:pt>
                <c:pt idx="15">
                  <c:v>-7</c:v>
                </c:pt>
                <c:pt idx="16">
                  <c:v>-6.75</c:v>
                </c:pt>
                <c:pt idx="17">
                  <c:v>-6.5</c:v>
                </c:pt>
                <c:pt idx="18">
                  <c:v>-6.25</c:v>
                </c:pt>
                <c:pt idx="19">
                  <c:v>-6</c:v>
                </c:pt>
                <c:pt idx="20">
                  <c:v>-5.75</c:v>
                </c:pt>
                <c:pt idx="21">
                  <c:v>-5.5</c:v>
                </c:pt>
                <c:pt idx="22">
                  <c:v>-5.25</c:v>
                </c:pt>
                <c:pt idx="23">
                  <c:v>-5</c:v>
                </c:pt>
                <c:pt idx="24">
                  <c:v>-4.75</c:v>
                </c:pt>
                <c:pt idx="25">
                  <c:v>-4.5</c:v>
                </c:pt>
                <c:pt idx="26">
                  <c:v>-4.25</c:v>
                </c:pt>
                <c:pt idx="27">
                  <c:v>-4</c:v>
                </c:pt>
                <c:pt idx="28">
                  <c:v>-3.75</c:v>
                </c:pt>
                <c:pt idx="29">
                  <c:v>-3.5</c:v>
                </c:pt>
                <c:pt idx="30">
                  <c:v>-3.25</c:v>
                </c:pt>
                <c:pt idx="31">
                  <c:v>-3</c:v>
                </c:pt>
                <c:pt idx="32">
                  <c:v>-2.75</c:v>
                </c:pt>
                <c:pt idx="33">
                  <c:v>-2.5</c:v>
                </c:pt>
                <c:pt idx="34">
                  <c:v>-2.25</c:v>
                </c:pt>
                <c:pt idx="35">
                  <c:v>-2</c:v>
                </c:pt>
                <c:pt idx="36">
                  <c:v>-1.75</c:v>
                </c:pt>
                <c:pt idx="37">
                  <c:v>-1.5</c:v>
                </c:pt>
                <c:pt idx="38">
                  <c:v>-1.25</c:v>
                </c:pt>
                <c:pt idx="39">
                  <c:v>-1</c:v>
                </c:pt>
                <c:pt idx="40">
                  <c:v>-0.75</c:v>
                </c:pt>
                <c:pt idx="41">
                  <c:v>-0.5</c:v>
                </c:pt>
                <c:pt idx="42">
                  <c:v>-0.25</c:v>
                </c:pt>
                <c:pt idx="43">
                  <c:v>0</c:v>
                </c:pt>
                <c:pt idx="44">
                  <c:v>0.25</c:v>
                </c:pt>
                <c:pt idx="45">
                  <c:v>0.5</c:v>
                </c:pt>
                <c:pt idx="46">
                  <c:v>0.75</c:v>
                </c:pt>
                <c:pt idx="47">
                  <c:v>1</c:v>
                </c:pt>
                <c:pt idx="48">
                  <c:v>1.25</c:v>
                </c:pt>
                <c:pt idx="49">
                  <c:v>1.25</c:v>
                </c:pt>
                <c:pt idx="50">
                  <c:v>1.25</c:v>
                </c:pt>
                <c:pt idx="51">
                  <c:v>1.25</c:v>
                </c:pt>
                <c:pt idx="52">
                  <c:v>1.25</c:v>
                </c:pt>
                <c:pt idx="53">
                  <c:v>1.25</c:v>
                </c:pt>
                <c:pt idx="54">
                  <c:v>1.25</c:v>
                </c:pt>
                <c:pt idx="55">
                  <c:v>1.25</c:v>
                </c:pt>
                <c:pt idx="56">
                  <c:v>1.25</c:v>
                </c:pt>
                <c:pt idx="57">
                  <c:v>1.25</c:v>
                </c:pt>
                <c:pt idx="58">
                  <c:v>1.25</c:v>
                </c:pt>
                <c:pt idx="59">
                  <c:v>1.25</c:v>
                </c:pt>
                <c:pt idx="60">
                  <c:v>1.25</c:v>
                </c:pt>
                <c:pt idx="61">
                  <c:v>1.25</c:v>
                </c:pt>
                <c:pt idx="62">
                  <c:v>1.25</c:v>
                </c:pt>
                <c:pt idx="63">
                  <c:v>1.25</c:v>
                </c:pt>
                <c:pt idx="64">
                  <c:v>1.25</c:v>
                </c:pt>
                <c:pt idx="65">
                  <c:v>1.25</c:v>
                </c:pt>
                <c:pt idx="66">
                  <c:v>1.25</c:v>
                </c:pt>
                <c:pt idx="67">
                  <c:v>1.25</c:v>
                </c:pt>
                <c:pt idx="68">
                  <c:v>1.25</c:v>
                </c:pt>
                <c:pt idx="69">
                  <c:v>1.25</c:v>
                </c:pt>
                <c:pt idx="70">
                  <c:v>1.25</c:v>
                </c:pt>
                <c:pt idx="71">
                  <c:v>1.25</c:v>
                </c:pt>
                <c:pt idx="72">
                  <c:v>1.25</c:v>
                </c:pt>
                <c:pt idx="73">
                  <c:v>1.25</c:v>
                </c:pt>
                <c:pt idx="74">
                  <c:v>1.25</c:v>
                </c:pt>
                <c:pt idx="75">
                  <c:v>1.25</c:v>
                </c:pt>
                <c:pt idx="76">
                  <c:v>1.25</c:v>
                </c:pt>
                <c:pt idx="77">
                  <c:v>1.25</c:v>
                </c:pt>
                <c:pt idx="78">
                  <c:v>1.25</c:v>
                </c:pt>
                <c:pt idx="79">
                  <c:v>1.25</c:v>
                </c:pt>
                <c:pt idx="80">
                  <c:v>1.25</c:v>
                </c:pt>
                <c:pt idx="81">
                  <c:v>1.25</c:v>
                </c:pt>
                <c:pt idx="82">
                  <c:v>1.25</c:v>
                </c:pt>
                <c:pt idx="83">
                  <c:v>1.25</c:v>
                </c:pt>
                <c:pt idx="84">
                  <c:v>1.25</c:v>
                </c:pt>
                <c:pt idx="85">
                  <c:v>1.25</c:v>
                </c:pt>
                <c:pt idx="86">
                  <c:v>1.25</c:v>
                </c:pt>
                <c:pt idx="87">
                  <c:v>1.25</c:v>
                </c:pt>
                <c:pt idx="88">
                  <c:v>1.25</c:v>
                </c:pt>
                <c:pt idx="89">
                  <c:v>1.25</c:v>
                </c:pt>
                <c:pt idx="90">
                  <c:v>1.25</c:v>
                </c:pt>
                <c:pt idx="91">
                  <c:v>1.25</c:v>
                </c:pt>
                <c:pt idx="92">
                  <c:v>1.25</c:v>
                </c:pt>
                <c:pt idx="93">
                  <c:v>1.25</c:v>
                </c:pt>
                <c:pt idx="94">
                  <c:v>1.25</c:v>
                </c:pt>
                <c:pt idx="95">
                  <c:v>1.25</c:v>
                </c:pt>
                <c:pt idx="96">
                  <c:v>1.25</c:v>
                </c:pt>
                <c:pt idx="97">
                  <c:v>1.25</c:v>
                </c:pt>
                <c:pt idx="98">
                  <c:v>1.25</c:v>
                </c:pt>
                <c:pt idx="99">
                  <c:v>1.25</c:v>
                </c:pt>
                <c:pt idx="100">
                  <c:v>1.25</c:v>
                </c:pt>
                <c:pt idx="101">
                  <c:v>1.25</c:v>
                </c:pt>
                <c:pt idx="102">
                  <c:v>1.25</c:v>
                </c:pt>
                <c:pt idx="103">
                  <c:v>1.25</c:v>
                </c:pt>
                <c:pt idx="104">
                  <c:v>1.25</c:v>
                </c:pt>
                <c:pt idx="105">
                  <c:v>1.25</c:v>
                </c:pt>
                <c:pt idx="106">
                  <c:v>1.25</c:v>
                </c:pt>
                <c:pt idx="107">
                  <c:v>1.25</c:v>
                </c:pt>
                <c:pt idx="108">
                  <c:v>1.25</c:v>
                </c:pt>
                <c:pt idx="109">
                  <c:v>1.25</c:v>
                </c:pt>
                <c:pt idx="110">
                  <c:v>1.25</c:v>
                </c:pt>
                <c:pt idx="111">
                  <c:v>1.25</c:v>
                </c:pt>
                <c:pt idx="112">
                  <c:v>1.25</c:v>
                </c:pt>
                <c:pt idx="113">
                  <c:v>1.25</c:v>
                </c:pt>
                <c:pt idx="114">
                  <c:v>1.25</c:v>
                </c:pt>
                <c:pt idx="115">
                  <c:v>1.25</c:v>
                </c:pt>
                <c:pt idx="116">
                  <c:v>1.25</c:v>
                </c:pt>
                <c:pt idx="117">
                  <c:v>1.25</c:v>
                </c:pt>
                <c:pt idx="118">
                  <c:v>1.25</c:v>
                </c:pt>
                <c:pt idx="119">
                  <c:v>1.25</c:v>
                </c:pt>
                <c:pt idx="120">
                  <c:v>1.25</c:v>
                </c:pt>
              </c:numCache>
            </c:numRef>
          </c:val>
          <c:smooth val="0"/>
          <c:extLst>
            <c:ext xmlns:c16="http://schemas.microsoft.com/office/drawing/2014/chart" uri="{C3380CC4-5D6E-409C-BE32-E72D297353CC}">
              <c16:uniqueId val="{00000000-2DE4-4517-8D41-B45D0055261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819246736"/>
        <c:axId val="819245776"/>
      </c:lineChart>
      <c:catAx>
        <c:axId val="819246736"/>
        <c:scaling>
          <c:orientation val="minMax"/>
        </c:scaling>
        <c:delete val="0"/>
        <c:axPos val="b"/>
        <c:numFmt formatCode="#,##0.00;\(#,##0.00\)"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19245776"/>
        <c:crosses val="autoZero"/>
        <c:auto val="1"/>
        <c:lblAlgn val="ctr"/>
        <c:lblOffset val="100"/>
        <c:noMultiLvlLbl val="0"/>
      </c:catAx>
      <c:valAx>
        <c:axId val="819245776"/>
        <c:scaling>
          <c:orientation val="minMax"/>
        </c:scaling>
        <c:delete val="0"/>
        <c:axPos val="l"/>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19246736"/>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'COVERED CALL '!$K$11</c:f>
              <c:strCache>
                <c:ptCount val="1"/>
                <c:pt idx="0">
                  <c:v>PAY OFF(SHORT CALL)</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'COVERED CALL '!$I$71:$I$128</c:f>
              <c:numCache>
                <c:formatCode>General</c:formatCode>
                <c:ptCount val="58"/>
                <c:pt idx="0">
                  <c:v>3830</c:v>
                </c:pt>
                <c:pt idx="1">
                  <c:v>3840</c:v>
                </c:pt>
                <c:pt idx="2">
                  <c:v>3850</c:v>
                </c:pt>
                <c:pt idx="3">
                  <c:v>3860</c:v>
                </c:pt>
                <c:pt idx="4">
                  <c:v>3870</c:v>
                </c:pt>
                <c:pt idx="5">
                  <c:v>3880</c:v>
                </c:pt>
                <c:pt idx="6">
                  <c:v>3890</c:v>
                </c:pt>
                <c:pt idx="7">
                  <c:v>3900</c:v>
                </c:pt>
                <c:pt idx="8">
                  <c:v>3910</c:v>
                </c:pt>
                <c:pt idx="9">
                  <c:v>3920</c:v>
                </c:pt>
                <c:pt idx="10">
                  <c:v>3930</c:v>
                </c:pt>
                <c:pt idx="11">
                  <c:v>3940</c:v>
                </c:pt>
                <c:pt idx="12">
                  <c:v>3950</c:v>
                </c:pt>
                <c:pt idx="13">
                  <c:v>3960</c:v>
                </c:pt>
                <c:pt idx="14">
                  <c:v>3970</c:v>
                </c:pt>
                <c:pt idx="15">
                  <c:v>3980</c:v>
                </c:pt>
                <c:pt idx="16">
                  <c:v>3990</c:v>
                </c:pt>
                <c:pt idx="17">
                  <c:v>4000</c:v>
                </c:pt>
                <c:pt idx="18">
                  <c:v>4010</c:v>
                </c:pt>
                <c:pt idx="19">
                  <c:v>4020</c:v>
                </c:pt>
                <c:pt idx="20">
                  <c:v>4030</c:v>
                </c:pt>
                <c:pt idx="21">
                  <c:v>4040</c:v>
                </c:pt>
                <c:pt idx="22">
                  <c:v>4050</c:v>
                </c:pt>
                <c:pt idx="23">
                  <c:v>4060</c:v>
                </c:pt>
                <c:pt idx="24">
                  <c:v>4070</c:v>
                </c:pt>
                <c:pt idx="25">
                  <c:v>4080</c:v>
                </c:pt>
                <c:pt idx="26">
                  <c:v>4090</c:v>
                </c:pt>
                <c:pt idx="27">
                  <c:v>4100</c:v>
                </c:pt>
                <c:pt idx="28">
                  <c:v>4110</c:v>
                </c:pt>
                <c:pt idx="29">
                  <c:v>4120</c:v>
                </c:pt>
                <c:pt idx="30">
                  <c:v>4130</c:v>
                </c:pt>
                <c:pt idx="31">
                  <c:v>4140</c:v>
                </c:pt>
                <c:pt idx="32">
                  <c:v>4150</c:v>
                </c:pt>
                <c:pt idx="33">
                  <c:v>4160</c:v>
                </c:pt>
                <c:pt idx="34">
                  <c:v>4170</c:v>
                </c:pt>
                <c:pt idx="35">
                  <c:v>4180</c:v>
                </c:pt>
                <c:pt idx="36">
                  <c:v>4190</c:v>
                </c:pt>
                <c:pt idx="37">
                  <c:v>4200</c:v>
                </c:pt>
                <c:pt idx="38">
                  <c:v>4210</c:v>
                </c:pt>
                <c:pt idx="39">
                  <c:v>4220</c:v>
                </c:pt>
                <c:pt idx="40">
                  <c:v>4230</c:v>
                </c:pt>
                <c:pt idx="41">
                  <c:v>4240</c:v>
                </c:pt>
                <c:pt idx="42">
                  <c:v>4250</c:v>
                </c:pt>
                <c:pt idx="43">
                  <c:v>4260</c:v>
                </c:pt>
                <c:pt idx="44">
                  <c:v>4270</c:v>
                </c:pt>
                <c:pt idx="45">
                  <c:v>4280</c:v>
                </c:pt>
                <c:pt idx="46">
                  <c:v>4290</c:v>
                </c:pt>
                <c:pt idx="47">
                  <c:v>4300</c:v>
                </c:pt>
                <c:pt idx="48">
                  <c:v>4310</c:v>
                </c:pt>
                <c:pt idx="49">
                  <c:v>4320</c:v>
                </c:pt>
                <c:pt idx="50">
                  <c:v>4330</c:v>
                </c:pt>
                <c:pt idx="51">
                  <c:v>4340</c:v>
                </c:pt>
                <c:pt idx="52">
                  <c:v>4350</c:v>
                </c:pt>
                <c:pt idx="53">
                  <c:v>4360</c:v>
                </c:pt>
                <c:pt idx="54">
                  <c:v>4370</c:v>
                </c:pt>
                <c:pt idx="55">
                  <c:v>4380</c:v>
                </c:pt>
                <c:pt idx="56">
                  <c:v>4390</c:v>
                </c:pt>
                <c:pt idx="57">
                  <c:v>4400</c:v>
                </c:pt>
              </c:numCache>
            </c:numRef>
          </c:xVal>
          <c:yVal>
            <c:numRef>
              <c:f>'COVERED CALL '!$K$71:$K$128</c:f>
              <c:numCache>
                <c:formatCode>#,##0.00;\(#,##0.00\)</c:formatCode>
                <c:ptCount val="58"/>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70</c:v>
                </c:pt>
                <c:pt idx="19">
                  <c:v>60</c:v>
                </c:pt>
                <c:pt idx="20">
                  <c:v>50</c:v>
                </c:pt>
                <c:pt idx="21">
                  <c:v>40</c:v>
                </c:pt>
                <c:pt idx="22">
                  <c:v>30</c:v>
                </c:pt>
                <c:pt idx="23">
                  <c:v>20</c:v>
                </c:pt>
                <c:pt idx="24">
                  <c:v>10</c:v>
                </c:pt>
                <c:pt idx="25">
                  <c:v>0</c:v>
                </c:pt>
                <c:pt idx="26">
                  <c:v>-10</c:v>
                </c:pt>
                <c:pt idx="27">
                  <c:v>-20</c:v>
                </c:pt>
                <c:pt idx="28">
                  <c:v>-30</c:v>
                </c:pt>
                <c:pt idx="29">
                  <c:v>-40</c:v>
                </c:pt>
                <c:pt idx="30">
                  <c:v>-50</c:v>
                </c:pt>
                <c:pt idx="31">
                  <c:v>-60</c:v>
                </c:pt>
                <c:pt idx="32">
                  <c:v>-70</c:v>
                </c:pt>
                <c:pt idx="33">
                  <c:v>-80</c:v>
                </c:pt>
                <c:pt idx="34">
                  <c:v>-90</c:v>
                </c:pt>
                <c:pt idx="35">
                  <c:v>-100</c:v>
                </c:pt>
                <c:pt idx="36">
                  <c:v>-110</c:v>
                </c:pt>
                <c:pt idx="37">
                  <c:v>-120</c:v>
                </c:pt>
                <c:pt idx="38">
                  <c:v>-130</c:v>
                </c:pt>
                <c:pt idx="39">
                  <c:v>-140</c:v>
                </c:pt>
                <c:pt idx="40">
                  <c:v>-150</c:v>
                </c:pt>
                <c:pt idx="41">
                  <c:v>-160</c:v>
                </c:pt>
                <c:pt idx="42">
                  <c:v>-170</c:v>
                </c:pt>
                <c:pt idx="43">
                  <c:v>-180</c:v>
                </c:pt>
                <c:pt idx="44">
                  <c:v>-190</c:v>
                </c:pt>
                <c:pt idx="45">
                  <c:v>-200</c:v>
                </c:pt>
                <c:pt idx="46">
                  <c:v>-210</c:v>
                </c:pt>
                <c:pt idx="47">
                  <c:v>-220</c:v>
                </c:pt>
                <c:pt idx="48">
                  <c:v>-230</c:v>
                </c:pt>
                <c:pt idx="49">
                  <c:v>-240</c:v>
                </c:pt>
                <c:pt idx="50">
                  <c:v>-250</c:v>
                </c:pt>
                <c:pt idx="51">
                  <c:v>-260</c:v>
                </c:pt>
                <c:pt idx="52">
                  <c:v>-270</c:v>
                </c:pt>
                <c:pt idx="53">
                  <c:v>-280</c:v>
                </c:pt>
                <c:pt idx="54">
                  <c:v>-290</c:v>
                </c:pt>
                <c:pt idx="55">
                  <c:v>-300</c:v>
                </c:pt>
                <c:pt idx="56">
                  <c:v>-310</c:v>
                </c:pt>
                <c:pt idx="57">
                  <c:v>-320</c:v>
                </c:pt>
              </c:numCache>
            </c:numRef>
          </c:yVal>
          <c:smooth val="0"/>
          <c:extLst>
            <c:ext xmlns:c16="http://schemas.microsoft.com/office/drawing/2014/chart" uri="{C3380CC4-5D6E-409C-BE32-E72D297353CC}">
              <c16:uniqueId val="{00000000-3E17-4028-9020-EB8BCC93A556}"/>
            </c:ext>
          </c:extLst>
        </c:ser>
        <c:dLbls>
          <c:showLegendKey val="0"/>
          <c:showVal val="0"/>
          <c:showCatName val="0"/>
          <c:showSerName val="0"/>
          <c:showPercent val="0"/>
          <c:showBubbleSize val="0"/>
        </c:dLbls>
        <c:axId val="1348827199"/>
        <c:axId val="1348824319"/>
      </c:scatterChart>
      <c:valAx>
        <c:axId val="134882719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8824319"/>
        <c:crosses val="autoZero"/>
        <c:crossBetween val="midCat"/>
      </c:valAx>
      <c:valAx>
        <c:axId val="134882431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8827199"/>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'COVERED CALL '!$L$11</c:f>
              <c:strCache>
                <c:ptCount val="1"/>
                <c:pt idx="0">
                  <c:v>P&amp;L</c:v>
                </c:pt>
              </c:strCache>
            </c:strRef>
          </c:tx>
          <c:spPr>
            <a:ln w="28575" cap="rnd">
              <a:solidFill>
                <a:schemeClr val="accent1"/>
              </a:solidFill>
              <a:round/>
            </a:ln>
            <a:effectLst/>
          </c:spPr>
          <c:marker>
            <c:symbol val="none"/>
          </c:marker>
          <c:cat>
            <c:numRef>
              <c:f>'COVERED CALL '!$I$12:$I$128</c:f>
              <c:numCache>
                <c:formatCode>General</c:formatCode>
                <c:ptCount val="117"/>
                <c:pt idx="0">
                  <c:v>3240</c:v>
                </c:pt>
                <c:pt idx="1">
                  <c:v>3250</c:v>
                </c:pt>
                <c:pt idx="2">
                  <c:v>3260</c:v>
                </c:pt>
                <c:pt idx="3">
                  <c:v>3270</c:v>
                </c:pt>
                <c:pt idx="4">
                  <c:v>3280</c:v>
                </c:pt>
                <c:pt idx="5">
                  <c:v>3290</c:v>
                </c:pt>
                <c:pt idx="6">
                  <c:v>3300</c:v>
                </c:pt>
                <c:pt idx="7">
                  <c:v>3310</c:v>
                </c:pt>
                <c:pt idx="8">
                  <c:v>3320</c:v>
                </c:pt>
                <c:pt idx="9">
                  <c:v>3330</c:v>
                </c:pt>
                <c:pt idx="10">
                  <c:v>3340</c:v>
                </c:pt>
                <c:pt idx="11">
                  <c:v>3350</c:v>
                </c:pt>
                <c:pt idx="12">
                  <c:v>3360</c:v>
                </c:pt>
                <c:pt idx="13">
                  <c:v>3370</c:v>
                </c:pt>
                <c:pt idx="14">
                  <c:v>3380</c:v>
                </c:pt>
                <c:pt idx="15">
                  <c:v>3390</c:v>
                </c:pt>
                <c:pt idx="16">
                  <c:v>3400</c:v>
                </c:pt>
                <c:pt idx="17">
                  <c:v>3410</c:v>
                </c:pt>
                <c:pt idx="18">
                  <c:v>3420</c:v>
                </c:pt>
                <c:pt idx="19">
                  <c:v>3430</c:v>
                </c:pt>
                <c:pt idx="20">
                  <c:v>3440</c:v>
                </c:pt>
                <c:pt idx="21">
                  <c:v>3450</c:v>
                </c:pt>
                <c:pt idx="22">
                  <c:v>3460</c:v>
                </c:pt>
                <c:pt idx="23">
                  <c:v>3470</c:v>
                </c:pt>
                <c:pt idx="24">
                  <c:v>3480</c:v>
                </c:pt>
                <c:pt idx="25">
                  <c:v>3490</c:v>
                </c:pt>
                <c:pt idx="26">
                  <c:v>3500</c:v>
                </c:pt>
                <c:pt idx="27">
                  <c:v>3510</c:v>
                </c:pt>
                <c:pt idx="28">
                  <c:v>3520</c:v>
                </c:pt>
                <c:pt idx="29">
                  <c:v>3530</c:v>
                </c:pt>
                <c:pt idx="30">
                  <c:v>3540</c:v>
                </c:pt>
                <c:pt idx="31">
                  <c:v>3550</c:v>
                </c:pt>
                <c:pt idx="32">
                  <c:v>3560</c:v>
                </c:pt>
                <c:pt idx="33">
                  <c:v>3570</c:v>
                </c:pt>
                <c:pt idx="34">
                  <c:v>3580</c:v>
                </c:pt>
                <c:pt idx="35">
                  <c:v>3590</c:v>
                </c:pt>
                <c:pt idx="36">
                  <c:v>3600</c:v>
                </c:pt>
                <c:pt idx="37">
                  <c:v>3610</c:v>
                </c:pt>
                <c:pt idx="38">
                  <c:v>3620</c:v>
                </c:pt>
                <c:pt idx="39">
                  <c:v>3630</c:v>
                </c:pt>
                <c:pt idx="40">
                  <c:v>3640</c:v>
                </c:pt>
                <c:pt idx="41">
                  <c:v>3650</c:v>
                </c:pt>
                <c:pt idx="42">
                  <c:v>3660</c:v>
                </c:pt>
                <c:pt idx="43">
                  <c:v>3670</c:v>
                </c:pt>
                <c:pt idx="44">
                  <c:v>3680</c:v>
                </c:pt>
                <c:pt idx="45">
                  <c:v>3690</c:v>
                </c:pt>
                <c:pt idx="46">
                  <c:v>3700</c:v>
                </c:pt>
                <c:pt idx="47">
                  <c:v>3710</c:v>
                </c:pt>
                <c:pt idx="48">
                  <c:v>3720</c:v>
                </c:pt>
                <c:pt idx="49">
                  <c:v>3730</c:v>
                </c:pt>
                <c:pt idx="50">
                  <c:v>3740</c:v>
                </c:pt>
                <c:pt idx="51">
                  <c:v>3750</c:v>
                </c:pt>
                <c:pt idx="52">
                  <c:v>3760</c:v>
                </c:pt>
                <c:pt idx="53">
                  <c:v>3770</c:v>
                </c:pt>
                <c:pt idx="54">
                  <c:v>3780</c:v>
                </c:pt>
                <c:pt idx="55">
                  <c:v>3790</c:v>
                </c:pt>
                <c:pt idx="56">
                  <c:v>3800</c:v>
                </c:pt>
                <c:pt idx="57">
                  <c:v>3810</c:v>
                </c:pt>
                <c:pt idx="58">
                  <c:v>3820</c:v>
                </c:pt>
                <c:pt idx="59">
                  <c:v>3830</c:v>
                </c:pt>
                <c:pt idx="60">
                  <c:v>3840</c:v>
                </c:pt>
                <c:pt idx="61">
                  <c:v>3850</c:v>
                </c:pt>
                <c:pt idx="62">
                  <c:v>3860</c:v>
                </c:pt>
                <c:pt idx="63">
                  <c:v>3870</c:v>
                </c:pt>
                <c:pt idx="64">
                  <c:v>3880</c:v>
                </c:pt>
                <c:pt idx="65">
                  <c:v>3890</c:v>
                </c:pt>
                <c:pt idx="66">
                  <c:v>3900</c:v>
                </c:pt>
                <c:pt idx="67">
                  <c:v>3910</c:v>
                </c:pt>
                <c:pt idx="68">
                  <c:v>3920</c:v>
                </c:pt>
                <c:pt idx="69">
                  <c:v>3930</c:v>
                </c:pt>
                <c:pt idx="70">
                  <c:v>3940</c:v>
                </c:pt>
                <c:pt idx="71">
                  <c:v>3950</c:v>
                </c:pt>
                <c:pt idx="72">
                  <c:v>3960</c:v>
                </c:pt>
                <c:pt idx="73">
                  <c:v>3970</c:v>
                </c:pt>
                <c:pt idx="74">
                  <c:v>3980</c:v>
                </c:pt>
                <c:pt idx="75">
                  <c:v>3990</c:v>
                </c:pt>
                <c:pt idx="76">
                  <c:v>4000</c:v>
                </c:pt>
                <c:pt idx="77">
                  <c:v>4010</c:v>
                </c:pt>
                <c:pt idx="78">
                  <c:v>4020</c:v>
                </c:pt>
                <c:pt idx="79">
                  <c:v>4030</c:v>
                </c:pt>
                <c:pt idx="80">
                  <c:v>4040</c:v>
                </c:pt>
                <c:pt idx="81">
                  <c:v>4050</c:v>
                </c:pt>
                <c:pt idx="82">
                  <c:v>4060</c:v>
                </c:pt>
                <c:pt idx="83">
                  <c:v>4070</c:v>
                </c:pt>
                <c:pt idx="84">
                  <c:v>4080</c:v>
                </c:pt>
                <c:pt idx="85">
                  <c:v>4090</c:v>
                </c:pt>
                <c:pt idx="86">
                  <c:v>4100</c:v>
                </c:pt>
                <c:pt idx="87">
                  <c:v>4110</c:v>
                </c:pt>
                <c:pt idx="88">
                  <c:v>4120</c:v>
                </c:pt>
                <c:pt idx="89">
                  <c:v>4130</c:v>
                </c:pt>
                <c:pt idx="90">
                  <c:v>4140</c:v>
                </c:pt>
                <c:pt idx="91">
                  <c:v>4150</c:v>
                </c:pt>
                <c:pt idx="92">
                  <c:v>4160</c:v>
                </c:pt>
                <c:pt idx="93">
                  <c:v>4170</c:v>
                </c:pt>
                <c:pt idx="94">
                  <c:v>4180</c:v>
                </c:pt>
                <c:pt idx="95">
                  <c:v>4190</c:v>
                </c:pt>
                <c:pt idx="96">
                  <c:v>4200</c:v>
                </c:pt>
                <c:pt idx="97">
                  <c:v>4210</c:v>
                </c:pt>
                <c:pt idx="98">
                  <c:v>4220</c:v>
                </c:pt>
                <c:pt idx="99">
                  <c:v>4230</c:v>
                </c:pt>
                <c:pt idx="100">
                  <c:v>4240</c:v>
                </c:pt>
                <c:pt idx="101">
                  <c:v>4250</c:v>
                </c:pt>
                <c:pt idx="102">
                  <c:v>4260</c:v>
                </c:pt>
                <c:pt idx="103">
                  <c:v>4270</c:v>
                </c:pt>
                <c:pt idx="104">
                  <c:v>4280</c:v>
                </c:pt>
                <c:pt idx="105">
                  <c:v>4290</c:v>
                </c:pt>
                <c:pt idx="106">
                  <c:v>4300</c:v>
                </c:pt>
                <c:pt idx="107">
                  <c:v>4310</c:v>
                </c:pt>
                <c:pt idx="108">
                  <c:v>4320</c:v>
                </c:pt>
                <c:pt idx="109">
                  <c:v>4330</c:v>
                </c:pt>
                <c:pt idx="110">
                  <c:v>4340</c:v>
                </c:pt>
                <c:pt idx="111">
                  <c:v>4350</c:v>
                </c:pt>
                <c:pt idx="112">
                  <c:v>4360</c:v>
                </c:pt>
                <c:pt idx="113">
                  <c:v>4370</c:v>
                </c:pt>
                <c:pt idx="114">
                  <c:v>4380</c:v>
                </c:pt>
                <c:pt idx="115">
                  <c:v>4390</c:v>
                </c:pt>
                <c:pt idx="116">
                  <c:v>4400</c:v>
                </c:pt>
              </c:numCache>
            </c:numRef>
          </c:cat>
          <c:val>
            <c:numRef>
              <c:f>'COVERED CALL '!$L$12:$L$128</c:f>
              <c:numCache>
                <c:formatCode>#,##0.00</c:formatCode>
                <c:ptCount val="117"/>
                <c:pt idx="0">
                  <c:v>-530</c:v>
                </c:pt>
                <c:pt idx="1">
                  <c:v>-520</c:v>
                </c:pt>
                <c:pt idx="2">
                  <c:v>-510</c:v>
                </c:pt>
                <c:pt idx="3">
                  <c:v>-500</c:v>
                </c:pt>
                <c:pt idx="4">
                  <c:v>-490</c:v>
                </c:pt>
                <c:pt idx="5">
                  <c:v>-480</c:v>
                </c:pt>
                <c:pt idx="6">
                  <c:v>-470</c:v>
                </c:pt>
                <c:pt idx="7">
                  <c:v>-460</c:v>
                </c:pt>
                <c:pt idx="8">
                  <c:v>-450</c:v>
                </c:pt>
                <c:pt idx="9">
                  <c:v>-440</c:v>
                </c:pt>
                <c:pt idx="10">
                  <c:v>-430</c:v>
                </c:pt>
                <c:pt idx="11">
                  <c:v>-420</c:v>
                </c:pt>
                <c:pt idx="12">
                  <c:v>-410</c:v>
                </c:pt>
                <c:pt idx="13">
                  <c:v>-400</c:v>
                </c:pt>
                <c:pt idx="14">
                  <c:v>-390</c:v>
                </c:pt>
                <c:pt idx="15">
                  <c:v>-380</c:v>
                </c:pt>
                <c:pt idx="16">
                  <c:v>-370</c:v>
                </c:pt>
                <c:pt idx="17">
                  <c:v>-360</c:v>
                </c:pt>
                <c:pt idx="18">
                  <c:v>-350</c:v>
                </c:pt>
                <c:pt idx="19">
                  <c:v>-340</c:v>
                </c:pt>
                <c:pt idx="20">
                  <c:v>-330</c:v>
                </c:pt>
                <c:pt idx="21">
                  <c:v>-320</c:v>
                </c:pt>
                <c:pt idx="22">
                  <c:v>-310</c:v>
                </c:pt>
                <c:pt idx="23">
                  <c:v>-300</c:v>
                </c:pt>
                <c:pt idx="24">
                  <c:v>-290</c:v>
                </c:pt>
                <c:pt idx="25">
                  <c:v>-280</c:v>
                </c:pt>
                <c:pt idx="26">
                  <c:v>-270</c:v>
                </c:pt>
                <c:pt idx="27">
                  <c:v>-260</c:v>
                </c:pt>
                <c:pt idx="28">
                  <c:v>-250</c:v>
                </c:pt>
                <c:pt idx="29">
                  <c:v>-240</c:v>
                </c:pt>
                <c:pt idx="30">
                  <c:v>-230</c:v>
                </c:pt>
                <c:pt idx="31">
                  <c:v>-220</c:v>
                </c:pt>
                <c:pt idx="32">
                  <c:v>-210</c:v>
                </c:pt>
                <c:pt idx="33">
                  <c:v>-200</c:v>
                </c:pt>
                <c:pt idx="34">
                  <c:v>-190</c:v>
                </c:pt>
                <c:pt idx="35">
                  <c:v>-180</c:v>
                </c:pt>
                <c:pt idx="36">
                  <c:v>-170</c:v>
                </c:pt>
                <c:pt idx="37">
                  <c:v>-160</c:v>
                </c:pt>
                <c:pt idx="38">
                  <c:v>-150</c:v>
                </c:pt>
                <c:pt idx="39">
                  <c:v>-140</c:v>
                </c:pt>
                <c:pt idx="40">
                  <c:v>-130</c:v>
                </c:pt>
                <c:pt idx="41">
                  <c:v>-120</c:v>
                </c:pt>
                <c:pt idx="42">
                  <c:v>-110</c:v>
                </c:pt>
                <c:pt idx="43">
                  <c:v>-100</c:v>
                </c:pt>
                <c:pt idx="44">
                  <c:v>-90</c:v>
                </c:pt>
                <c:pt idx="45">
                  <c:v>-80</c:v>
                </c:pt>
                <c:pt idx="46">
                  <c:v>-70</c:v>
                </c:pt>
                <c:pt idx="47">
                  <c:v>-60</c:v>
                </c:pt>
                <c:pt idx="48">
                  <c:v>-50</c:v>
                </c:pt>
                <c:pt idx="49">
                  <c:v>-40</c:v>
                </c:pt>
                <c:pt idx="50">
                  <c:v>-30</c:v>
                </c:pt>
                <c:pt idx="51">
                  <c:v>-20</c:v>
                </c:pt>
                <c:pt idx="52">
                  <c:v>-10</c:v>
                </c:pt>
                <c:pt idx="53">
                  <c:v>0</c:v>
                </c:pt>
                <c:pt idx="54">
                  <c:v>10</c:v>
                </c:pt>
                <c:pt idx="55">
                  <c:v>20</c:v>
                </c:pt>
                <c:pt idx="56">
                  <c:v>30</c:v>
                </c:pt>
                <c:pt idx="57">
                  <c:v>40</c:v>
                </c:pt>
                <c:pt idx="58">
                  <c:v>50</c:v>
                </c:pt>
                <c:pt idx="59">
                  <c:v>60</c:v>
                </c:pt>
                <c:pt idx="60">
                  <c:v>70</c:v>
                </c:pt>
                <c:pt idx="61">
                  <c:v>80</c:v>
                </c:pt>
                <c:pt idx="62">
                  <c:v>90</c:v>
                </c:pt>
                <c:pt idx="63">
                  <c:v>100</c:v>
                </c:pt>
                <c:pt idx="64">
                  <c:v>110</c:v>
                </c:pt>
                <c:pt idx="65">
                  <c:v>120</c:v>
                </c:pt>
                <c:pt idx="66">
                  <c:v>130</c:v>
                </c:pt>
                <c:pt idx="67">
                  <c:v>140</c:v>
                </c:pt>
                <c:pt idx="68">
                  <c:v>150</c:v>
                </c:pt>
                <c:pt idx="69">
                  <c:v>160</c:v>
                </c:pt>
                <c:pt idx="70">
                  <c:v>170</c:v>
                </c:pt>
                <c:pt idx="71">
                  <c:v>180</c:v>
                </c:pt>
                <c:pt idx="72">
                  <c:v>190</c:v>
                </c:pt>
                <c:pt idx="73">
                  <c:v>200</c:v>
                </c:pt>
                <c:pt idx="74">
                  <c:v>210</c:v>
                </c:pt>
                <c:pt idx="75">
                  <c:v>220</c:v>
                </c:pt>
                <c:pt idx="76">
                  <c:v>230</c:v>
                </c:pt>
                <c:pt idx="77">
                  <c:v>230</c:v>
                </c:pt>
                <c:pt idx="78">
                  <c:v>230</c:v>
                </c:pt>
                <c:pt idx="79">
                  <c:v>230</c:v>
                </c:pt>
                <c:pt idx="80">
                  <c:v>230</c:v>
                </c:pt>
                <c:pt idx="81">
                  <c:v>230</c:v>
                </c:pt>
                <c:pt idx="82">
                  <c:v>230</c:v>
                </c:pt>
                <c:pt idx="83">
                  <c:v>230</c:v>
                </c:pt>
                <c:pt idx="84">
                  <c:v>230</c:v>
                </c:pt>
                <c:pt idx="85">
                  <c:v>230</c:v>
                </c:pt>
                <c:pt idx="86">
                  <c:v>230</c:v>
                </c:pt>
                <c:pt idx="87">
                  <c:v>230</c:v>
                </c:pt>
                <c:pt idx="88">
                  <c:v>230</c:v>
                </c:pt>
                <c:pt idx="89">
                  <c:v>230</c:v>
                </c:pt>
                <c:pt idx="90">
                  <c:v>230</c:v>
                </c:pt>
                <c:pt idx="91">
                  <c:v>230</c:v>
                </c:pt>
                <c:pt idx="92">
                  <c:v>230</c:v>
                </c:pt>
                <c:pt idx="93">
                  <c:v>230</c:v>
                </c:pt>
                <c:pt idx="94">
                  <c:v>230</c:v>
                </c:pt>
                <c:pt idx="95">
                  <c:v>230</c:v>
                </c:pt>
                <c:pt idx="96">
                  <c:v>230</c:v>
                </c:pt>
                <c:pt idx="97">
                  <c:v>230</c:v>
                </c:pt>
                <c:pt idx="98">
                  <c:v>230</c:v>
                </c:pt>
                <c:pt idx="99">
                  <c:v>230</c:v>
                </c:pt>
                <c:pt idx="100">
                  <c:v>230</c:v>
                </c:pt>
                <c:pt idx="101">
                  <c:v>230</c:v>
                </c:pt>
                <c:pt idx="102">
                  <c:v>230</c:v>
                </c:pt>
                <c:pt idx="103">
                  <c:v>230</c:v>
                </c:pt>
                <c:pt idx="104">
                  <c:v>230</c:v>
                </c:pt>
                <c:pt idx="105">
                  <c:v>230</c:v>
                </c:pt>
                <c:pt idx="106">
                  <c:v>230</c:v>
                </c:pt>
                <c:pt idx="107">
                  <c:v>230</c:v>
                </c:pt>
                <c:pt idx="108">
                  <c:v>230</c:v>
                </c:pt>
                <c:pt idx="109">
                  <c:v>230</c:v>
                </c:pt>
                <c:pt idx="110">
                  <c:v>230</c:v>
                </c:pt>
                <c:pt idx="111">
                  <c:v>230</c:v>
                </c:pt>
                <c:pt idx="112">
                  <c:v>230</c:v>
                </c:pt>
                <c:pt idx="113">
                  <c:v>230</c:v>
                </c:pt>
                <c:pt idx="114">
                  <c:v>230</c:v>
                </c:pt>
                <c:pt idx="115">
                  <c:v>230</c:v>
                </c:pt>
                <c:pt idx="116">
                  <c:v>230</c:v>
                </c:pt>
              </c:numCache>
            </c:numRef>
          </c:val>
          <c:smooth val="0"/>
          <c:extLst>
            <c:ext xmlns:c16="http://schemas.microsoft.com/office/drawing/2014/chart" uri="{C3380CC4-5D6E-409C-BE32-E72D297353CC}">
              <c16:uniqueId val="{00000000-5325-4F0E-B3C2-C54332FE30ED}"/>
            </c:ext>
          </c:extLst>
        </c:ser>
        <c:dLbls>
          <c:showLegendKey val="0"/>
          <c:showVal val="0"/>
          <c:showCatName val="0"/>
          <c:showSerName val="0"/>
          <c:showPercent val="0"/>
          <c:showBubbleSize val="0"/>
        </c:dLbls>
        <c:smooth val="0"/>
        <c:axId val="1428198255"/>
        <c:axId val="1428200175"/>
      </c:lineChart>
      <c:catAx>
        <c:axId val="142819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200175"/>
        <c:crosses val="autoZero"/>
        <c:auto val="1"/>
        <c:lblAlgn val="ctr"/>
        <c:lblOffset val="100"/>
        <c:noMultiLvlLbl val="0"/>
      </c:catAx>
      <c:valAx>
        <c:axId val="1428200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198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'PROTECTIVE PUT '!$J$4</c:f>
              <c:strCache>
                <c:ptCount val="1"/>
                <c:pt idx="0">
                  <c:v>P&amp;L</c:v>
                </c:pt>
              </c:strCache>
            </c:strRef>
          </c:tx>
          <c:spPr>
            <a:ln w="25400" cap="rnd">
              <a:noFill/>
              <a:round/>
            </a:ln>
            <a:effectLst/>
          </c:spPr>
          <c:marker>
            <c:symbol val="circle"/>
            <c:size val="6"/>
            <c:spPr>
              <a:solidFill>
                <a:schemeClr val="lt1"/>
              </a:solidFill>
              <a:ln w="38100">
                <a:solidFill>
                  <a:schemeClr val="accent1">
                    <a:alpha val="60000"/>
                  </a:schemeClr>
                </a:solidFill>
              </a:ln>
              <a:effectLst/>
            </c:spPr>
          </c:marker>
          <c:xVal>
            <c:numRef>
              <c:f>'PROTECTIVE PUT '!$G$5:$G$207</c:f>
              <c:numCache>
                <c:formatCode>#,##0.00;\(#,##0.00\)</c:formatCode>
                <c:ptCount val="203"/>
                <c:pt idx="0">
                  <c:v>3000</c:v>
                </c:pt>
                <c:pt idx="1">
                  <c:v>3010</c:v>
                </c:pt>
                <c:pt idx="2">
                  <c:v>3020</c:v>
                </c:pt>
                <c:pt idx="3">
                  <c:v>3030</c:v>
                </c:pt>
                <c:pt idx="4">
                  <c:v>3040</c:v>
                </c:pt>
                <c:pt idx="5">
                  <c:v>3050</c:v>
                </c:pt>
                <c:pt idx="6">
                  <c:v>3060</c:v>
                </c:pt>
                <c:pt idx="7">
                  <c:v>3070</c:v>
                </c:pt>
                <c:pt idx="8">
                  <c:v>3080</c:v>
                </c:pt>
                <c:pt idx="9">
                  <c:v>3090</c:v>
                </c:pt>
                <c:pt idx="10">
                  <c:v>3100</c:v>
                </c:pt>
                <c:pt idx="11">
                  <c:v>3110</c:v>
                </c:pt>
                <c:pt idx="12">
                  <c:v>3120</c:v>
                </c:pt>
                <c:pt idx="13">
                  <c:v>3130</c:v>
                </c:pt>
                <c:pt idx="14">
                  <c:v>3140</c:v>
                </c:pt>
                <c:pt idx="15">
                  <c:v>3150</c:v>
                </c:pt>
                <c:pt idx="16">
                  <c:v>3160</c:v>
                </c:pt>
                <c:pt idx="17">
                  <c:v>3170</c:v>
                </c:pt>
                <c:pt idx="18">
                  <c:v>3180</c:v>
                </c:pt>
                <c:pt idx="19">
                  <c:v>3190</c:v>
                </c:pt>
                <c:pt idx="20">
                  <c:v>3200</c:v>
                </c:pt>
                <c:pt idx="21">
                  <c:v>3210</c:v>
                </c:pt>
                <c:pt idx="22">
                  <c:v>3220</c:v>
                </c:pt>
                <c:pt idx="23">
                  <c:v>3230</c:v>
                </c:pt>
                <c:pt idx="24">
                  <c:v>3240</c:v>
                </c:pt>
                <c:pt idx="25">
                  <c:v>3250</c:v>
                </c:pt>
                <c:pt idx="26">
                  <c:v>3260</c:v>
                </c:pt>
                <c:pt idx="27">
                  <c:v>3270</c:v>
                </c:pt>
                <c:pt idx="28">
                  <c:v>3280</c:v>
                </c:pt>
                <c:pt idx="29">
                  <c:v>3290</c:v>
                </c:pt>
                <c:pt idx="30">
                  <c:v>3300</c:v>
                </c:pt>
                <c:pt idx="31">
                  <c:v>3310</c:v>
                </c:pt>
                <c:pt idx="32">
                  <c:v>3320</c:v>
                </c:pt>
                <c:pt idx="33">
                  <c:v>3330</c:v>
                </c:pt>
                <c:pt idx="34">
                  <c:v>3340</c:v>
                </c:pt>
                <c:pt idx="35">
                  <c:v>3350</c:v>
                </c:pt>
                <c:pt idx="36">
                  <c:v>3360</c:v>
                </c:pt>
                <c:pt idx="37">
                  <c:v>3370</c:v>
                </c:pt>
                <c:pt idx="38">
                  <c:v>3380</c:v>
                </c:pt>
                <c:pt idx="39">
                  <c:v>3390</c:v>
                </c:pt>
                <c:pt idx="40">
                  <c:v>3400</c:v>
                </c:pt>
                <c:pt idx="41">
                  <c:v>3410</c:v>
                </c:pt>
                <c:pt idx="42">
                  <c:v>3420</c:v>
                </c:pt>
                <c:pt idx="43">
                  <c:v>3430</c:v>
                </c:pt>
                <c:pt idx="44">
                  <c:v>3440</c:v>
                </c:pt>
                <c:pt idx="45">
                  <c:v>3450</c:v>
                </c:pt>
                <c:pt idx="46">
                  <c:v>3460</c:v>
                </c:pt>
                <c:pt idx="47">
                  <c:v>3470</c:v>
                </c:pt>
                <c:pt idx="48">
                  <c:v>3480</c:v>
                </c:pt>
                <c:pt idx="49">
                  <c:v>3490</c:v>
                </c:pt>
                <c:pt idx="50">
                  <c:v>3500</c:v>
                </c:pt>
                <c:pt idx="51">
                  <c:v>3510</c:v>
                </c:pt>
                <c:pt idx="52">
                  <c:v>3520</c:v>
                </c:pt>
                <c:pt idx="53">
                  <c:v>3530</c:v>
                </c:pt>
                <c:pt idx="54">
                  <c:v>3540</c:v>
                </c:pt>
                <c:pt idx="55">
                  <c:v>3550</c:v>
                </c:pt>
                <c:pt idx="56">
                  <c:v>3560</c:v>
                </c:pt>
                <c:pt idx="57">
                  <c:v>3570</c:v>
                </c:pt>
                <c:pt idx="58">
                  <c:v>3580</c:v>
                </c:pt>
                <c:pt idx="59">
                  <c:v>3590</c:v>
                </c:pt>
                <c:pt idx="60">
                  <c:v>3600</c:v>
                </c:pt>
                <c:pt idx="61">
                  <c:v>3610</c:v>
                </c:pt>
                <c:pt idx="62">
                  <c:v>3620</c:v>
                </c:pt>
                <c:pt idx="63">
                  <c:v>3630</c:v>
                </c:pt>
                <c:pt idx="64">
                  <c:v>3640</c:v>
                </c:pt>
                <c:pt idx="65">
                  <c:v>3650</c:v>
                </c:pt>
                <c:pt idx="66">
                  <c:v>3660</c:v>
                </c:pt>
                <c:pt idx="67">
                  <c:v>3670</c:v>
                </c:pt>
                <c:pt idx="68">
                  <c:v>3680</c:v>
                </c:pt>
                <c:pt idx="69">
                  <c:v>3690</c:v>
                </c:pt>
                <c:pt idx="70">
                  <c:v>3700</c:v>
                </c:pt>
                <c:pt idx="71">
                  <c:v>3710</c:v>
                </c:pt>
                <c:pt idx="72">
                  <c:v>3720</c:v>
                </c:pt>
                <c:pt idx="73">
                  <c:v>3730</c:v>
                </c:pt>
                <c:pt idx="74">
                  <c:v>3740</c:v>
                </c:pt>
                <c:pt idx="75">
                  <c:v>3750</c:v>
                </c:pt>
                <c:pt idx="76">
                  <c:v>3760</c:v>
                </c:pt>
                <c:pt idx="77">
                  <c:v>3770</c:v>
                </c:pt>
                <c:pt idx="78">
                  <c:v>3780</c:v>
                </c:pt>
                <c:pt idx="79">
                  <c:v>3790</c:v>
                </c:pt>
                <c:pt idx="80">
                  <c:v>3800</c:v>
                </c:pt>
                <c:pt idx="81">
                  <c:v>3810</c:v>
                </c:pt>
                <c:pt idx="82">
                  <c:v>3820</c:v>
                </c:pt>
                <c:pt idx="83">
                  <c:v>3830</c:v>
                </c:pt>
                <c:pt idx="84">
                  <c:v>3840</c:v>
                </c:pt>
                <c:pt idx="85">
                  <c:v>3850</c:v>
                </c:pt>
                <c:pt idx="86">
                  <c:v>3860</c:v>
                </c:pt>
                <c:pt idx="87">
                  <c:v>3870</c:v>
                </c:pt>
                <c:pt idx="88">
                  <c:v>3880</c:v>
                </c:pt>
                <c:pt idx="89">
                  <c:v>3890</c:v>
                </c:pt>
                <c:pt idx="90">
                  <c:v>3900</c:v>
                </c:pt>
                <c:pt idx="91">
                  <c:v>3910</c:v>
                </c:pt>
                <c:pt idx="92">
                  <c:v>3920</c:v>
                </c:pt>
                <c:pt idx="93">
                  <c:v>3930</c:v>
                </c:pt>
                <c:pt idx="94">
                  <c:v>3940</c:v>
                </c:pt>
                <c:pt idx="95">
                  <c:v>3950</c:v>
                </c:pt>
                <c:pt idx="96">
                  <c:v>3960</c:v>
                </c:pt>
                <c:pt idx="97">
                  <c:v>3970</c:v>
                </c:pt>
                <c:pt idx="98">
                  <c:v>3980</c:v>
                </c:pt>
                <c:pt idx="99">
                  <c:v>3990</c:v>
                </c:pt>
                <c:pt idx="100">
                  <c:v>4000</c:v>
                </c:pt>
                <c:pt idx="101">
                  <c:v>4010</c:v>
                </c:pt>
                <c:pt idx="102">
                  <c:v>4020</c:v>
                </c:pt>
                <c:pt idx="103">
                  <c:v>4030</c:v>
                </c:pt>
                <c:pt idx="104">
                  <c:v>4040</c:v>
                </c:pt>
                <c:pt idx="105">
                  <c:v>4050</c:v>
                </c:pt>
                <c:pt idx="106">
                  <c:v>4060</c:v>
                </c:pt>
                <c:pt idx="107">
                  <c:v>4070</c:v>
                </c:pt>
                <c:pt idx="108">
                  <c:v>4080</c:v>
                </c:pt>
                <c:pt idx="109">
                  <c:v>4090</c:v>
                </c:pt>
                <c:pt idx="110">
                  <c:v>4100</c:v>
                </c:pt>
                <c:pt idx="111">
                  <c:v>4110</c:v>
                </c:pt>
                <c:pt idx="112">
                  <c:v>4120</c:v>
                </c:pt>
                <c:pt idx="113">
                  <c:v>4130</c:v>
                </c:pt>
                <c:pt idx="114">
                  <c:v>4140</c:v>
                </c:pt>
                <c:pt idx="115">
                  <c:v>4143.8</c:v>
                </c:pt>
                <c:pt idx="116">
                  <c:v>4150</c:v>
                </c:pt>
                <c:pt idx="117">
                  <c:v>4160</c:v>
                </c:pt>
                <c:pt idx="118">
                  <c:v>4170</c:v>
                </c:pt>
                <c:pt idx="119">
                  <c:v>4180</c:v>
                </c:pt>
                <c:pt idx="120">
                  <c:v>4190</c:v>
                </c:pt>
                <c:pt idx="121">
                  <c:v>4200</c:v>
                </c:pt>
                <c:pt idx="122">
                  <c:v>4210</c:v>
                </c:pt>
                <c:pt idx="123">
                  <c:v>4220</c:v>
                </c:pt>
                <c:pt idx="124">
                  <c:v>4230</c:v>
                </c:pt>
                <c:pt idx="125">
                  <c:v>4240</c:v>
                </c:pt>
                <c:pt idx="126">
                  <c:v>4250</c:v>
                </c:pt>
                <c:pt idx="127">
                  <c:v>4260</c:v>
                </c:pt>
                <c:pt idx="128">
                  <c:v>4270</c:v>
                </c:pt>
                <c:pt idx="129">
                  <c:v>4280</c:v>
                </c:pt>
                <c:pt idx="130">
                  <c:v>4290</c:v>
                </c:pt>
                <c:pt idx="131">
                  <c:v>4300</c:v>
                </c:pt>
                <c:pt idx="132">
                  <c:v>4310</c:v>
                </c:pt>
                <c:pt idx="133">
                  <c:v>4320</c:v>
                </c:pt>
                <c:pt idx="134">
                  <c:v>4330</c:v>
                </c:pt>
                <c:pt idx="135">
                  <c:v>4340</c:v>
                </c:pt>
                <c:pt idx="136">
                  <c:v>4350</c:v>
                </c:pt>
                <c:pt idx="137">
                  <c:v>4360</c:v>
                </c:pt>
                <c:pt idx="138">
                  <c:v>4370</c:v>
                </c:pt>
                <c:pt idx="139">
                  <c:v>4380</c:v>
                </c:pt>
                <c:pt idx="140">
                  <c:v>4390</c:v>
                </c:pt>
                <c:pt idx="141">
                  <c:v>4400</c:v>
                </c:pt>
                <c:pt idx="142">
                  <c:v>4410</c:v>
                </c:pt>
                <c:pt idx="143">
                  <c:v>4420</c:v>
                </c:pt>
                <c:pt idx="144">
                  <c:v>4430</c:v>
                </c:pt>
                <c:pt idx="145">
                  <c:v>4440</c:v>
                </c:pt>
                <c:pt idx="146">
                  <c:v>4450</c:v>
                </c:pt>
                <c:pt idx="147">
                  <c:v>4460</c:v>
                </c:pt>
                <c:pt idx="148">
                  <c:v>4470</c:v>
                </c:pt>
                <c:pt idx="149">
                  <c:v>4480</c:v>
                </c:pt>
                <c:pt idx="150">
                  <c:v>4490</c:v>
                </c:pt>
                <c:pt idx="151">
                  <c:v>4500</c:v>
                </c:pt>
                <c:pt idx="152">
                  <c:v>4510</c:v>
                </c:pt>
                <c:pt idx="153">
                  <c:v>4520</c:v>
                </c:pt>
                <c:pt idx="154">
                  <c:v>4530</c:v>
                </c:pt>
                <c:pt idx="155">
                  <c:v>4540</c:v>
                </c:pt>
                <c:pt idx="156">
                  <c:v>4550</c:v>
                </c:pt>
                <c:pt idx="157">
                  <c:v>4560</c:v>
                </c:pt>
                <c:pt idx="158">
                  <c:v>4570</c:v>
                </c:pt>
                <c:pt idx="159">
                  <c:v>4580</c:v>
                </c:pt>
                <c:pt idx="160">
                  <c:v>4590</c:v>
                </c:pt>
                <c:pt idx="161">
                  <c:v>4600</c:v>
                </c:pt>
                <c:pt idx="162">
                  <c:v>4610</c:v>
                </c:pt>
                <c:pt idx="163">
                  <c:v>4620</c:v>
                </c:pt>
                <c:pt idx="164">
                  <c:v>4630</c:v>
                </c:pt>
                <c:pt idx="165">
                  <c:v>4640</c:v>
                </c:pt>
                <c:pt idx="166">
                  <c:v>4650</c:v>
                </c:pt>
                <c:pt idx="167">
                  <c:v>4660</c:v>
                </c:pt>
                <c:pt idx="168">
                  <c:v>4670</c:v>
                </c:pt>
                <c:pt idx="169">
                  <c:v>4680</c:v>
                </c:pt>
                <c:pt idx="170">
                  <c:v>4690</c:v>
                </c:pt>
                <c:pt idx="171">
                  <c:v>4700</c:v>
                </c:pt>
                <c:pt idx="172">
                  <c:v>4710</c:v>
                </c:pt>
                <c:pt idx="173">
                  <c:v>4720</c:v>
                </c:pt>
                <c:pt idx="174">
                  <c:v>4730</c:v>
                </c:pt>
                <c:pt idx="175">
                  <c:v>4740</c:v>
                </c:pt>
                <c:pt idx="176">
                  <c:v>4750</c:v>
                </c:pt>
                <c:pt idx="177">
                  <c:v>4760</c:v>
                </c:pt>
                <c:pt idx="178">
                  <c:v>4770</c:v>
                </c:pt>
                <c:pt idx="179">
                  <c:v>4780</c:v>
                </c:pt>
                <c:pt idx="180">
                  <c:v>4790</c:v>
                </c:pt>
                <c:pt idx="181">
                  <c:v>4800</c:v>
                </c:pt>
                <c:pt idx="182">
                  <c:v>4810</c:v>
                </c:pt>
                <c:pt idx="183">
                  <c:v>4820</c:v>
                </c:pt>
                <c:pt idx="184">
                  <c:v>4830</c:v>
                </c:pt>
                <c:pt idx="185">
                  <c:v>4840</c:v>
                </c:pt>
                <c:pt idx="186">
                  <c:v>4850</c:v>
                </c:pt>
                <c:pt idx="187">
                  <c:v>4860</c:v>
                </c:pt>
                <c:pt idx="188">
                  <c:v>4870</c:v>
                </c:pt>
                <c:pt idx="189">
                  <c:v>4880</c:v>
                </c:pt>
                <c:pt idx="190">
                  <c:v>4890</c:v>
                </c:pt>
                <c:pt idx="191">
                  <c:v>4900</c:v>
                </c:pt>
                <c:pt idx="192">
                  <c:v>4910</c:v>
                </c:pt>
                <c:pt idx="193">
                  <c:v>4920</c:v>
                </c:pt>
                <c:pt idx="194">
                  <c:v>4930</c:v>
                </c:pt>
                <c:pt idx="195">
                  <c:v>4940</c:v>
                </c:pt>
                <c:pt idx="196">
                  <c:v>4950</c:v>
                </c:pt>
                <c:pt idx="197">
                  <c:v>4960</c:v>
                </c:pt>
                <c:pt idx="198">
                  <c:v>4970</c:v>
                </c:pt>
                <c:pt idx="199">
                  <c:v>4980</c:v>
                </c:pt>
                <c:pt idx="200">
                  <c:v>4990</c:v>
                </c:pt>
                <c:pt idx="201">
                  <c:v>5000</c:v>
                </c:pt>
                <c:pt idx="202">
                  <c:v>5010</c:v>
                </c:pt>
              </c:numCache>
            </c:numRef>
          </c:xVal>
          <c:yVal>
            <c:numRef>
              <c:f>'PROTECTIVE PUT '!$J$5:$J$207</c:f>
              <c:numCache>
                <c:formatCode>#,##0.00;\(#,##0.00\)</c:formatCode>
                <c:ptCount val="203"/>
                <c:pt idx="0">
                  <c:v>-143.79999999999995</c:v>
                </c:pt>
                <c:pt idx="1">
                  <c:v>-143.79999999999995</c:v>
                </c:pt>
                <c:pt idx="2">
                  <c:v>-143.79999999999995</c:v>
                </c:pt>
                <c:pt idx="3">
                  <c:v>-143.79999999999995</c:v>
                </c:pt>
                <c:pt idx="4">
                  <c:v>-143.79999999999995</c:v>
                </c:pt>
                <c:pt idx="5">
                  <c:v>-143.79999999999995</c:v>
                </c:pt>
                <c:pt idx="6">
                  <c:v>-143.79999999999995</c:v>
                </c:pt>
                <c:pt idx="7">
                  <c:v>-143.79999999999995</c:v>
                </c:pt>
                <c:pt idx="8">
                  <c:v>-143.79999999999995</c:v>
                </c:pt>
                <c:pt idx="9">
                  <c:v>-143.79999999999995</c:v>
                </c:pt>
                <c:pt idx="10">
                  <c:v>-143.79999999999995</c:v>
                </c:pt>
                <c:pt idx="11">
                  <c:v>-143.79999999999995</c:v>
                </c:pt>
                <c:pt idx="12">
                  <c:v>-143.79999999999995</c:v>
                </c:pt>
                <c:pt idx="13">
                  <c:v>-143.79999999999995</c:v>
                </c:pt>
                <c:pt idx="14">
                  <c:v>-143.79999999999995</c:v>
                </c:pt>
                <c:pt idx="15">
                  <c:v>-143.79999999999995</c:v>
                </c:pt>
                <c:pt idx="16">
                  <c:v>-143.79999999999995</c:v>
                </c:pt>
                <c:pt idx="17">
                  <c:v>-143.79999999999995</c:v>
                </c:pt>
                <c:pt idx="18">
                  <c:v>-143.79999999999995</c:v>
                </c:pt>
                <c:pt idx="19">
                  <c:v>-143.79999999999995</c:v>
                </c:pt>
                <c:pt idx="20">
                  <c:v>-143.79999999999995</c:v>
                </c:pt>
                <c:pt idx="21">
                  <c:v>-143.79999999999995</c:v>
                </c:pt>
                <c:pt idx="22">
                  <c:v>-143.79999999999995</c:v>
                </c:pt>
                <c:pt idx="23">
                  <c:v>-143.79999999999995</c:v>
                </c:pt>
                <c:pt idx="24">
                  <c:v>-143.79999999999995</c:v>
                </c:pt>
                <c:pt idx="25">
                  <c:v>-143.79999999999995</c:v>
                </c:pt>
                <c:pt idx="26">
                  <c:v>-143.79999999999995</c:v>
                </c:pt>
                <c:pt idx="27">
                  <c:v>-143.79999999999995</c:v>
                </c:pt>
                <c:pt idx="28">
                  <c:v>-143.79999999999995</c:v>
                </c:pt>
                <c:pt idx="29">
                  <c:v>-143.79999999999995</c:v>
                </c:pt>
                <c:pt idx="30">
                  <c:v>-143.79999999999995</c:v>
                </c:pt>
                <c:pt idx="31">
                  <c:v>-143.79999999999995</c:v>
                </c:pt>
                <c:pt idx="32">
                  <c:v>-143.79999999999995</c:v>
                </c:pt>
                <c:pt idx="33">
                  <c:v>-143.79999999999995</c:v>
                </c:pt>
                <c:pt idx="34">
                  <c:v>-143.79999999999995</c:v>
                </c:pt>
                <c:pt idx="35">
                  <c:v>-143.80000000000001</c:v>
                </c:pt>
                <c:pt idx="36">
                  <c:v>-143.80000000000001</c:v>
                </c:pt>
                <c:pt idx="37">
                  <c:v>-143.80000000000001</c:v>
                </c:pt>
                <c:pt idx="38">
                  <c:v>-143.80000000000001</c:v>
                </c:pt>
                <c:pt idx="39">
                  <c:v>-143.80000000000001</c:v>
                </c:pt>
                <c:pt idx="40">
                  <c:v>-143.80000000000001</c:v>
                </c:pt>
                <c:pt idx="41">
                  <c:v>-143.80000000000001</c:v>
                </c:pt>
                <c:pt idx="42">
                  <c:v>-143.80000000000001</c:v>
                </c:pt>
                <c:pt idx="43">
                  <c:v>-143.80000000000001</c:v>
                </c:pt>
                <c:pt idx="44">
                  <c:v>-143.80000000000001</c:v>
                </c:pt>
                <c:pt idx="45">
                  <c:v>-143.80000000000001</c:v>
                </c:pt>
                <c:pt idx="46">
                  <c:v>-143.80000000000001</c:v>
                </c:pt>
                <c:pt idx="47">
                  <c:v>-143.80000000000001</c:v>
                </c:pt>
                <c:pt idx="48">
                  <c:v>-143.80000000000001</c:v>
                </c:pt>
                <c:pt idx="49">
                  <c:v>-143.80000000000001</c:v>
                </c:pt>
                <c:pt idx="50">
                  <c:v>-143.80000000000001</c:v>
                </c:pt>
                <c:pt idx="51">
                  <c:v>-143.80000000000001</c:v>
                </c:pt>
                <c:pt idx="52">
                  <c:v>-143.80000000000001</c:v>
                </c:pt>
                <c:pt idx="53">
                  <c:v>-143.80000000000001</c:v>
                </c:pt>
                <c:pt idx="54">
                  <c:v>-143.80000000000001</c:v>
                </c:pt>
                <c:pt idx="55">
                  <c:v>-143.80000000000001</c:v>
                </c:pt>
                <c:pt idx="56">
                  <c:v>-143.80000000000001</c:v>
                </c:pt>
                <c:pt idx="57">
                  <c:v>-143.80000000000001</c:v>
                </c:pt>
                <c:pt idx="58">
                  <c:v>-143.80000000000001</c:v>
                </c:pt>
                <c:pt idx="59">
                  <c:v>-143.80000000000001</c:v>
                </c:pt>
                <c:pt idx="60">
                  <c:v>-143.80000000000001</c:v>
                </c:pt>
                <c:pt idx="61">
                  <c:v>-143.80000000000001</c:v>
                </c:pt>
                <c:pt idx="62">
                  <c:v>-143.80000000000001</c:v>
                </c:pt>
                <c:pt idx="63">
                  <c:v>-143.80000000000001</c:v>
                </c:pt>
                <c:pt idx="64">
                  <c:v>-143.80000000000001</c:v>
                </c:pt>
                <c:pt idx="65">
                  <c:v>-143.80000000000001</c:v>
                </c:pt>
                <c:pt idx="66">
                  <c:v>-143.80000000000001</c:v>
                </c:pt>
                <c:pt idx="67">
                  <c:v>-143.80000000000001</c:v>
                </c:pt>
                <c:pt idx="68">
                  <c:v>-143.80000000000001</c:v>
                </c:pt>
                <c:pt idx="69">
                  <c:v>-143.80000000000001</c:v>
                </c:pt>
                <c:pt idx="70">
                  <c:v>-143.80000000000001</c:v>
                </c:pt>
                <c:pt idx="71">
                  <c:v>-143.80000000000001</c:v>
                </c:pt>
                <c:pt idx="72">
                  <c:v>-143.80000000000001</c:v>
                </c:pt>
                <c:pt idx="73">
                  <c:v>-143.80000000000001</c:v>
                </c:pt>
                <c:pt idx="74">
                  <c:v>-143.80000000000001</c:v>
                </c:pt>
                <c:pt idx="75">
                  <c:v>-143.80000000000001</c:v>
                </c:pt>
                <c:pt idx="76">
                  <c:v>-143.80000000000001</c:v>
                </c:pt>
                <c:pt idx="77">
                  <c:v>-143.80000000000001</c:v>
                </c:pt>
                <c:pt idx="78">
                  <c:v>-143.80000000000001</c:v>
                </c:pt>
                <c:pt idx="79">
                  <c:v>-143.80000000000001</c:v>
                </c:pt>
                <c:pt idx="80">
                  <c:v>-143.80000000000001</c:v>
                </c:pt>
                <c:pt idx="81">
                  <c:v>-143.80000000000001</c:v>
                </c:pt>
                <c:pt idx="82">
                  <c:v>-143.80000000000001</c:v>
                </c:pt>
                <c:pt idx="83">
                  <c:v>-143.80000000000001</c:v>
                </c:pt>
                <c:pt idx="84">
                  <c:v>-143.80000000000001</c:v>
                </c:pt>
                <c:pt idx="85">
                  <c:v>-143.80000000000001</c:v>
                </c:pt>
                <c:pt idx="86">
                  <c:v>-143.80000000000001</c:v>
                </c:pt>
                <c:pt idx="87">
                  <c:v>-143.80000000000001</c:v>
                </c:pt>
                <c:pt idx="88">
                  <c:v>-143.80000000000001</c:v>
                </c:pt>
                <c:pt idx="89">
                  <c:v>-143.80000000000001</c:v>
                </c:pt>
                <c:pt idx="90">
                  <c:v>-143.80000000000001</c:v>
                </c:pt>
                <c:pt idx="91">
                  <c:v>-143.80000000000001</c:v>
                </c:pt>
                <c:pt idx="92">
                  <c:v>-143.80000000000001</c:v>
                </c:pt>
                <c:pt idx="93">
                  <c:v>-143.80000000000001</c:v>
                </c:pt>
                <c:pt idx="94">
                  <c:v>-143.80000000000001</c:v>
                </c:pt>
                <c:pt idx="95">
                  <c:v>-143.80000000000001</c:v>
                </c:pt>
                <c:pt idx="96">
                  <c:v>-143.80000000000001</c:v>
                </c:pt>
                <c:pt idx="97">
                  <c:v>-143.80000000000001</c:v>
                </c:pt>
                <c:pt idx="98">
                  <c:v>-143.80000000000001</c:v>
                </c:pt>
                <c:pt idx="99">
                  <c:v>-143.80000000000001</c:v>
                </c:pt>
                <c:pt idx="100">
                  <c:v>-143.80000000000001</c:v>
                </c:pt>
                <c:pt idx="101">
                  <c:v>-133.80000000000001</c:v>
                </c:pt>
                <c:pt idx="102">
                  <c:v>-123.80000000000001</c:v>
                </c:pt>
                <c:pt idx="103">
                  <c:v>-113.80000000000001</c:v>
                </c:pt>
                <c:pt idx="104">
                  <c:v>-103.80000000000001</c:v>
                </c:pt>
                <c:pt idx="105">
                  <c:v>-93.800000000000011</c:v>
                </c:pt>
                <c:pt idx="106">
                  <c:v>-83.800000000000011</c:v>
                </c:pt>
                <c:pt idx="107">
                  <c:v>-73.800000000000011</c:v>
                </c:pt>
                <c:pt idx="108">
                  <c:v>-63.800000000000011</c:v>
                </c:pt>
                <c:pt idx="109">
                  <c:v>-53.800000000000011</c:v>
                </c:pt>
                <c:pt idx="110">
                  <c:v>-43.800000000000011</c:v>
                </c:pt>
                <c:pt idx="111">
                  <c:v>-33.800000000000011</c:v>
                </c:pt>
                <c:pt idx="112">
                  <c:v>-23.800000000000011</c:v>
                </c:pt>
                <c:pt idx="113">
                  <c:v>-13.800000000000011</c:v>
                </c:pt>
                <c:pt idx="114">
                  <c:v>-3.8000000000000114</c:v>
                </c:pt>
                <c:pt idx="115">
                  <c:v>0</c:v>
                </c:pt>
                <c:pt idx="116">
                  <c:v>6.1999999999999886</c:v>
                </c:pt>
                <c:pt idx="117">
                  <c:v>16.199999999999989</c:v>
                </c:pt>
                <c:pt idx="118">
                  <c:v>26.199999999999989</c:v>
                </c:pt>
                <c:pt idx="119">
                  <c:v>36.199999999999989</c:v>
                </c:pt>
                <c:pt idx="120">
                  <c:v>46.199999999999989</c:v>
                </c:pt>
                <c:pt idx="121">
                  <c:v>56.199999999999989</c:v>
                </c:pt>
                <c:pt idx="122">
                  <c:v>66.199999999999989</c:v>
                </c:pt>
                <c:pt idx="123">
                  <c:v>76.199999999999989</c:v>
                </c:pt>
                <c:pt idx="124">
                  <c:v>86.199999999999989</c:v>
                </c:pt>
                <c:pt idx="125">
                  <c:v>96.199999999999989</c:v>
                </c:pt>
                <c:pt idx="126">
                  <c:v>106.19999999999999</c:v>
                </c:pt>
                <c:pt idx="127">
                  <c:v>116.19999999999999</c:v>
                </c:pt>
                <c:pt idx="128">
                  <c:v>126.19999999999999</c:v>
                </c:pt>
                <c:pt idx="129">
                  <c:v>136.19999999999999</c:v>
                </c:pt>
                <c:pt idx="130">
                  <c:v>146.19999999999999</c:v>
                </c:pt>
                <c:pt idx="131">
                  <c:v>156.19999999999999</c:v>
                </c:pt>
                <c:pt idx="132">
                  <c:v>166.2</c:v>
                </c:pt>
                <c:pt idx="133">
                  <c:v>176.2</c:v>
                </c:pt>
                <c:pt idx="134">
                  <c:v>186.2</c:v>
                </c:pt>
                <c:pt idx="135">
                  <c:v>196.2</c:v>
                </c:pt>
                <c:pt idx="136">
                  <c:v>206.2</c:v>
                </c:pt>
                <c:pt idx="137">
                  <c:v>216.2</c:v>
                </c:pt>
                <c:pt idx="138">
                  <c:v>226.2</c:v>
                </c:pt>
                <c:pt idx="139">
                  <c:v>236.2</c:v>
                </c:pt>
                <c:pt idx="140">
                  <c:v>246.2</c:v>
                </c:pt>
                <c:pt idx="141">
                  <c:v>256.2</c:v>
                </c:pt>
                <c:pt idx="142">
                  <c:v>266.2</c:v>
                </c:pt>
                <c:pt idx="143">
                  <c:v>276.2</c:v>
                </c:pt>
                <c:pt idx="144">
                  <c:v>286.2</c:v>
                </c:pt>
                <c:pt idx="145">
                  <c:v>296.2</c:v>
                </c:pt>
                <c:pt idx="146">
                  <c:v>306.2</c:v>
                </c:pt>
                <c:pt idx="147">
                  <c:v>316.2</c:v>
                </c:pt>
                <c:pt idx="148">
                  <c:v>326.2</c:v>
                </c:pt>
                <c:pt idx="149">
                  <c:v>336.2</c:v>
                </c:pt>
                <c:pt idx="150">
                  <c:v>346.2</c:v>
                </c:pt>
                <c:pt idx="151">
                  <c:v>356.2</c:v>
                </c:pt>
                <c:pt idx="152">
                  <c:v>366.2</c:v>
                </c:pt>
                <c:pt idx="153">
                  <c:v>376.2</c:v>
                </c:pt>
                <c:pt idx="154">
                  <c:v>386.2</c:v>
                </c:pt>
                <c:pt idx="155">
                  <c:v>396.2</c:v>
                </c:pt>
                <c:pt idx="156">
                  <c:v>406.2</c:v>
                </c:pt>
                <c:pt idx="157">
                  <c:v>416.2</c:v>
                </c:pt>
                <c:pt idx="158">
                  <c:v>426.2</c:v>
                </c:pt>
                <c:pt idx="159">
                  <c:v>436.2</c:v>
                </c:pt>
                <c:pt idx="160">
                  <c:v>446.2</c:v>
                </c:pt>
                <c:pt idx="161">
                  <c:v>456.2</c:v>
                </c:pt>
                <c:pt idx="162">
                  <c:v>466.2</c:v>
                </c:pt>
                <c:pt idx="163">
                  <c:v>476.2</c:v>
                </c:pt>
                <c:pt idx="164">
                  <c:v>486.2</c:v>
                </c:pt>
                <c:pt idx="165">
                  <c:v>496.2</c:v>
                </c:pt>
                <c:pt idx="166">
                  <c:v>506.2</c:v>
                </c:pt>
                <c:pt idx="167">
                  <c:v>516.20000000000005</c:v>
                </c:pt>
                <c:pt idx="168">
                  <c:v>526.20000000000005</c:v>
                </c:pt>
                <c:pt idx="169">
                  <c:v>536.20000000000005</c:v>
                </c:pt>
                <c:pt idx="170">
                  <c:v>546.20000000000005</c:v>
                </c:pt>
                <c:pt idx="171">
                  <c:v>556.20000000000005</c:v>
                </c:pt>
                <c:pt idx="172">
                  <c:v>566.20000000000005</c:v>
                </c:pt>
                <c:pt idx="173">
                  <c:v>576.20000000000005</c:v>
                </c:pt>
                <c:pt idx="174">
                  <c:v>586.20000000000005</c:v>
                </c:pt>
                <c:pt idx="175">
                  <c:v>596.20000000000005</c:v>
                </c:pt>
                <c:pt idx="176">
                  <c:v>606.20000000000005</c:v>
                </c:pt>
                <c:pt idx="177">
                  <c:v>616.20000000000005</c:v>
                </c:pt>
                <c:pt idx="178">
                  <c:v>626.20000000000005</c:v>
                </c:pt>
                <c:pt idx="179">
                  <c:v>636.20000000000005</c:v>
                </c:pt>
                <c:pt idx="180">
                  <c:v>646.20000000000005</c:v>
                </c:pt>
                <c:pt idx="181">
                  <c:v>656.2</c:v>
                </c:pt>
                <c:pt idx="182">
                  <c:v>666.2</c:v>
                </c:pt>
                <c:pt idx="183">
                  <c:v>676.2</c:v>
                </c:pt>
                <c:pt idx="184">
                  <c:v>686.2</c:v>
                </c:pt>
                <c:pt idx="185">
                  <c:v>696.2</c:v>
                </c:pt>
                <c:pt idx="186">
                  <c:v>706.2</c:v>
                </c:pt>
                <c:pt idx="187">
                  <c:v>716.2</c:v>
                </c:pt>
                <c:pt idx="188">
                  <c:v>726.2</c:v>
                </c:pt>
                <c:pt idx="189">
                  <c:v>736.2</c:v>
                </c:pt>
                <c:pt idx="190">
                  <c:v>746.2</c:v>
                </c:pt>
                <c:pt idx="191">
                  <c:v>756.2</c:v>
                </c:pt>
                <c:pt idx="192">
                  <c:v>766.2</c:v>
                </c:pt>
                <c:pt idx="193">
                  <c:v>776.2</c:v>
                </c:pt>
                <c:pt idx="194">
                  <c:v>786.2</c:v>
                </c:pt>
                <c:pt idx="195">
                  <c:v>796.2</c:v>
                </c:pt>
                <c:pt idx="196">
                  <c:v>806.2</c:v>
                </c:pt>
                <c:pt idx="197">
                  <c:v>816.2</c:v>
                </c:pt>
                <c:pt idx="198">
                  <c:v>826.2</c:v>
                </c:pt>
                <c:pt idx="199">
                  <c:v>836.2</c:v>
                </c:pt>
                <c:pt idx="200">
                  <c:v>846.2</c:v>
                </c:pt>
                <c:pt idx="201">
                  <c:v>856.2</c:v>
                </c:pt>
                <c:pt idx="202">
                  <c:v>866.2</c:v>
                </c:pt>
              </c:numCache>
            </c:numRef>
          </c:yVal>
          <c:smooth val="0"/>
          <c:extLst>
            <c:ext xmlns:c16="http://schemas.microsoft.com/office/drawing/2014/chart" uri="{C3380CC4-5D6E-409C-BE32-E72D297353CC}">
              <c16:uniqueId val="{00000000-F3C7-4470-B97B-57294CBB0301}"/>
            </c:ext>
          </c:extLst>
        </c:ser>
        <c:dLbls>
          <c:showLegendKey val="0"/>
          <c:showVal val="0"/>
          <c:showCatName val="0"/>
          <c:showSerName val="0"/>
          <c:showPercent val="0"/>
          <c:showBubbleSize val="0"/>
        </c:dLbls>
        <c:axId val="183877471"/>
        <c:axId val="183875551"/>
      </c:scatterChart>
      <c:valAx>
        <c:axId val="183877471"/>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83875551"/>
        <c:crosses val="autoZero"/>
        <c:crossBetween val="midCat"/>
      </c:valAx>
      <c:valAx>
        <c:axId val="183875551"/>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83877471"/>
        <c:crosses val="autoZero"/>
        <c:crossBetween val="midCat"/>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'LONG COMBO'!$K$4</c:f>
              <c:strCache>
                <c:ptCount val="1"/>
                <c:pt idx="0">
                  <c:v>P&amp;L</c:v>
                </c:pt>
              </c:strCache>
            </c:strRef>
          </c:tx>
          <c:spPr>
            <a:ln w="9525" cap="flat" cmpd="sng" algn="ctr">
              <a:solidFill>
                <a:schemeClr val="accent1">
                  <a:alpha val="70000"/>
                </a:schemeClr>
              </a:solid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'LONG COMBO'!$H$5:$H$96</c:f>
              <c:numCache>
                <c:formatCode>General</c:formatCode>
                <c:ptCount val="9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501</c:v>
                </c:pt>
                <c:pt idx="52">
                  <c:v>510</c:v>
                </c:pt>
                <c:pt idx="53">
                  <c:v>520</c:v>
                </c:pt>
                <c:pt idx="54">
                  <c:v>530</c:v>
                </c:pt>
                <c:pt idx="55">
                  <c:v>540</c:v>
                </c:pt>
                <c:pt idx="56">
                  <c:v>550</c:v>
                </c:pt>
                <c:pt idx="57">
                  <c:v>560</c:v>
                </c:pt>
                <c:pt idx="58">
                  <c:v>570</c:v>
                </c:pt>
                <c:pt idx="59">
                  <c:v>580</c:v>
                </c:pt>
                <c:pt idx="60">
                  <c:v>590</c:v>
                </c:pt>
                <c:pt idx="61">
                  <c:v>600</c:v>
                </c:pt>
                <c:pt idx="62">
                  <c:v>610</c:v>
                </c:pt>
                <c:pt idx="63">
                  <c:v>620</c:v>
                </c:pt>
                <c:pt idx="64">
                  <c:v>630</c:v>
                </c:pt>
                <c:pt idx="65">
                  <c:v>640</c:v>
                </c:pt>
                <c:pt idx="66">
                  <c:v>650</c:v>
                </c:pt>
                <c:pt idx="67">
                  <c:v>660</c:v>
                </c:pt>
                <c:pt idx="68">
                  <c:v>670</c:v>
                </c:pt>
                <c:pt idx="69">
                  <c:v>680</c:v>
                </c:pt>
                <c:pt idx="70">
                  <c:v>690</c:v>
                </c:pt>
                <c:pt idx="71">
                  <c:v>700</c:v>
                </c:pt>
                <c:pt idx="72">
                  <c:v>710</c:v>
                </c:pt>
                <c:pt idx="73">
                  <c:v>720</c:v>
                </c:pt>
                <c:pt idx="74">
                  <c:v>730</c:v>
                </c:pt>
                <c:pt idx="75">
                  <c:v>740</c:v>
                </c:pt>
                <c:pt idx="76">
                  <c:v>750</c:v>
                </c:pt>
                <c:pt idx="77">
                  <c:v>760</c:v>
                </c:pt>
                <c:pt idx="78">
                  <c:v>770</c:v>
                </c:pt>
                <c:pt idx="79">
                  <c:v>780</c:v>
                </c:pt>
                <c:pt idx="80">
                  <c:v>790</c:v>
                </c:pt>
                <c:pt idx="81">
                  <c:v>800</c:v>
                </c:pt>
                <c:pt idx="82">
                  <c:v>810</c:v>
                </c:pt>
                <c:pt idx="83">
                  <c:v>820</c:v>
                </c:pt>
                <c:pt idx="84">
                  <c:v>830</c:v>
                </c:pt>
                <c:pt idx="85">
                  <c:v>840</c:v>
                </c:pt>
                <c:pt idx="86">
                  <c:v>850</c:v>
                </c:pt>
                <c:pt idx="87">
                  <c:v>860</c:v>
                </c:pt>
                <c:pt idx="88">
                  <c:v>870</c:v>
                </c:pt>
                <c:pt idx="89">
                  <c:v>880</c:v>
                </c:pt>
                <c:pt idx="90">
                  <c:v>890</c:v>
                </c:pt>
                <c:pt idx="91">
                  <c:v>900</c:v>
                </c:pt>
              </c:numCache>
            </c:numRef>
          </c:xVal>
          <c:yVal>
            <c:numRef>
              <c:f>'LONG COMBO'!$K$5:$K$96</c:f>
              <c:numCache>
                <c:formatCode>#,##0.00;\(#,##0.00\)</c:formatCode>
                <c:ptCount val="92"/>
                <c:pt idx="0">
                  <c:v>-401</c:v>
                </c:pt>
                <c:pt idx="1">
                  <c:v>-391</c:v>
                </c:pt>
                <c:pt idx="2">
                  <c:v>-381</c:v>
                </c:pt>
                <c:pt idx="3">
                  <c:v>-371</c:v>
                </c:pt>
                <c:pt idx="4">
                  <c:v>-361</c:v>
                </c:pt>
                <c:pt idx="5">
                  <c:v>-351</c:v>
                </c:pt>
                <c:pt idx="6">
                  <c:v>-341</c:v>
                </c:pt>
                <c:pt idx="7">
                  <c:v>-331</c:v>
                </c:pt>
                <c:pt idx="8">
                  <c:v>-321</c:v>
                </c:pt>
                <c:pt idx="9">
                  <c:v>-311</c:v>
                </c:pt>
                <c:pt idx="10">
                  <c:v>-301</c:v>
                </c:pt>
                <c:pt idx="11">
                  <c:v>-291</c:v>
                </c:pt>
                <c:pt idx="12">
                  <c:v>-281</c:v>
                </c:pt>
                <c:pt idx="13">
                  <c:v>-271</c:v>
                </c:pt>
                <c:pt idx="14">
                  <c:v>-261</c:v>
                </c:pt>
                <c:pt idx="15">
                  <c:v>-251</c:v>
                </c:pt>
                <c:pt idx="16">
                  <c:v>-241</c:v>
                </c:pt>
                <c:pt idx="17">
                  <c:v>-231</c:v>
                </c:pt>
                <c:pt idx="18">
                  <c:v>-221</c:v>
                </c:pt>
                <c:pt idx="19">
                  <c:v>-211</c:v>
                </c:pt>
                <c:pt idx="20">
                  <c:v>-201</c:v>
                </c:pt>
                <c:pt idx="21">
                  <c:v>-191</c:v>
                </c:pt>
                <c:pt idx="22">
                  <c:v>-181</c:v>
                </c:pt>
                <c:pt idx="23">
                  <c:v>-171</c:v>
                </c:pt>
                <c:pt idx="24">
                  <c:v>-161</c:v>
                </c:pt>
                <c:pt idx="25">
                  <c:v>-151</c:v>
                </c:pt>
                <c:pt idx="26">
                  <c:v>-141</c:v>
                </c:pt>
                <c:pt idx="27">
                  <c:v>-131</c:v>
                </c:pt>
                <c:pt idx="28">
                  <c:v>-121</c:v>
                </c:pt>
                <c:pt idx="29">
                  <c:v>-111</c:v>
                </c:pt>
                <c:pt idx="30">
                  <c:v>-101</c:v>
                </c:pt>
                <c:pt idx="31">
                  <c:v>-91</c:v>
                </c:pt>
                <c:pt idx="32">
                  <c:v>-81</c:v>
                </c:pt>
                <c:pt idx="33">
                  <c:v>-71</c:v>
                </c:pt>
                <c:pt idx="34">
                  <c:v>-61</c:v>
                </c:pt>
                <c:pt idx="35">
                  <c:v>-51</c:v>
                </c:pt>
                <c:pt idx="36">
                  <c:v>-41</c:v>
                </c:pt>
                <c:pt idx="37">
                  <c:v>-31</c:v>
                </c:pt>
                <c:pt idx="38">
                  <c:v>-21</c:v>
                </c:pt>
                <c:pt idx="39">
                  <c:v>-11</c:v>
                </c:pt>
                <c:pt idx="40">
                  <c:v>-1</c:v>
                </c:pt>
                <c:pt idx="41">
                  <c:v>-1</c:v>
                </c:pt>
                <c:pt idx="42">
                  <c:v>-1</c:v>
                </c:pt>
                <c:pt idx="43">
                  <c:v>-1</c:v>
                </c:pt>
                <c:pt idx="44">
                  <c:v>-1</c:v>
                </c:pt>
                <c:pt idx="45">
                  <c:v>-1</c:v>
                </c:pt>
                <c:pt idx="46">
                  <c:v>-1</c:v>
                </c:pt>
                <c:pt idx="47">
                  <c:v>-1</c:v>
                </c:pt>
                <c:pt idx="48">
                  <c:v>-1</c:v>
                </c:pt>
                <c:pt idx="49">
                  <c:v>-1</c:v>
                </c:pt>
                <c:pt idx="50">
                  <c:v>-1</c:v>
                </c:pt>
                <c:pt idx="51">
                  <c:v>0</c:v>
                </c:pt>
                <c:pt idx="52">
                  <c:v>9</c:v>
                </c:pt>
                <c:pt idx="53">
                  <c:v>19</c:v>
                </c:pt>
                <c:pt idx="54">
                  <c:v>29</c:v>
                </c:pt>
                <c:pt idx="55">
                  <c:v>39</c:v>
                </c:pt>
                <c:pt idx="56">
                  <c:v>49</c:v>
                </c:pt>
                <c:pt idx="57">
                  <c:v>59</c:v>
                </c:pt>
                <c:pt idx="58">
                  <c:v>69</c:v>
                </c:pt>
                <c:pt idx="59">
                  <c:v>79</c:v>
                </c:pt>
                <c:pt idx="60">
                  <c:v>89</c:v>
                </c:pt>
                <c:pt idx="61">
                  <c:v>99</c:v>
                </c:pt>
                <c:pt idx="62">
                  <c:v>109</c:v>
                </c:pt>
                <c:pt idx="63">
                  <c:v>119</c:v>
                </c:pt>
                <c:pt idx="64">
                  <c:v>129</c:v>
                </c:pt>
                <c:pt idx="65">
                  <c:v>139</c:v>
                </c:pt>
                <c:pt idx="66">
                  <c:v>149</c:v>
                </c:pt>
                <c:pt idx="67">
                  <c:v>159</c:v>
                </c:pt>
                <c:pt idx="68">
                  <c:v>169</c:v>
                </c:pt>
                <c:pt idx="69">
                  <c:v>179</c:v>
                </c:pt>
                <c:pt idx="70">
                  <c:v>189</c:v>
                </c:pt>
                <c:pt idx="71">
                  <c:v>199</c:v>
                </c:pt>
                <c:pt idx="72">
                  <c:v>209</c:v>
                </c:pt>
                <c:pt idx="73">
                  <c:v>219</c:v>
                </c:pt>
                <c:pt idx="74">
                  <c:v>229</c:v>
                </c:pt>
                <c:pt idx="75">
                  <c:v>239</c:v>
                </c:pt>
                <c:pt idx="76">
                  <c:v>249</c:v>
                </c:pt>
                <c:pt idx="77">
                  <c:v>259</c:v>
                </c:pt>
                <c:pt idx="78">
                  <c:v>269</c:v>
                </c:pt>
                <c:pt idx="79">
                  <c:v>279</c:v>
                </c:pt>
                <c:pt idx="80">
                  <c:v>289</c:v>
                </c:pt>
                <c:pt idx="81">
                  <c:v>299</c:v>
                </c:pt>
                <c:pt idx="82">
                  <c:v>309</c:v>
                </c:pt>
                <c:pt idx="83">
                  <c:v>319</c:v>
                </c:pt>
                <c:pt idx="84">
                  <c:v>329</c:v>
                </c:pt>
                <c:pt idx="85">
                  <c:v>339</c:v>
                </c:pt>
                <c:pt idx="86">
                  <c:v>349</c:v>
                </c:pt>
                <c:pt idx="87">
                  <c:v>359</c:v>
                </c:pt>
                <c:pt idx="88">
                  <c:v>369</c:v>
                </c:pt>
                <c:pt idx="89">
                  <c:v>379</c:v>
                </c:pt>
                <c:pt idx="90">
                  <c:v>389</c:v>
                </c:pt>
                <c:pt idx="91">
                  <c:v>399</c:v>
                </c:pt>
              </c:numCache>
            </c:numRef>
          </c:yVal>
          <c:smooth val="0"/>
          <c:extLst>
            <c:ext xmlns:c16="http://schemas.microsoft.com/office/drawing/2014/chart" uri="{C3380CC4-5D6E-409C-BE32-E72D297353CC}">
              <c16:uniqueId val="{00000000-D4B4-44E4-AFC8-6921DD2EA4B7}"/>
            </c:ext>
          </c:extLst>
        </c:ser>
        <c:dLbls>
          <c:showLegendKey val="0"/>
          <c:showVal val="0"/>
          <c:showCatName val="0"/>
          <c:showSerName val="0"/>
          <c:showPercent val="0"/>
          <c:showBubbleSize val="0"/>
        </c:dLbls>
        <c:axId val="1618255775"/>
        <c:axId val="1618256255"/>
      </c:scatterChart>
      <c:valAx>
        <c:axId val="161825577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18256255"/>
        <c:crosses val="autoZero"/>
        <c:crossBetween val="midCat"/>
      </c:valAx>
      <c:valAx>
        <c:axId val="1618256255"/>
        <c:scaling>
          <c:orientation val="minMax"/>
        </c:scaling>
        <c:delete val="0"/>
        <c:axPos val="l"/>
        <c:majorGridlines>
          <c:spPr>
            <a:ln w="9525" cap="flat" cmpd="sng" algn="ctr">
              <a:solidFill>
                <a:schemeClr val="dk1">
                  <a:lumMod val="15000"/>
                  <a:lumOff val="85000"/>
                </a:schemeClr>
              </a:solidFill>
              <a:round/>
            </a:ln>
            <a:effectLst/>
          </c:spPr>
        </c:majorGridlines>
        <c:numFmt formatCode="#,##0.00;\(#,##0.0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618255775"/>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'PROTECTIVE CALL'!$I$4</c:f>
              <c:strCache>
                <c:ptCount val="1"/>
                <c:pt idx="0">
                  <c:v>P&amp;L</c:v>
                </c:pt>
              </c:strCache>
            </c:strRef>
          </c:tx>
          <c:spPr>
            <a:ln w="19050" cap="rnd">
              <a:noFill/>
              <a:round/>
            </a:ln>
            <a:effectLst/>
          </c:spPr>
          <c:marker>
            <c:symbol val="circle"/>
            <c:size val="5"/>
            <c:spPr>
              <a:solidFill>
                <a:schemeClr val="accent1"/>
              </a:solidFill>
              <a:ln w="9525">
                <a:solidFill>
                  <a:schemeClr val="accent1"/>
                </a:solidFill>
              </a:ln>
              <a:effectLst/>
            </c:spPr>
          </c:marker>
          <c:xVal>
            <c:numRef>
              <c:f>'PROTECTIVE CALL'!$F$5:$F$306</c:f>
              <c:numCache>
                <c:formatCode>#,##0.00;\(#,##0.00\)</c:formatCode>
                <c:ptCount val="302"/>
                <c:pt idx="0">
                  <c:v>3000</c:v>
                </c:pt>
                <c:pt idx="1">
                  <c:v>3010</c:v>
                </c:pt>
                <c:pt idx="2">
                  <c:v>3020</c:v>
                </c:pt>
                <c:pt idx="3">
                  <c:v>3030</c:v>
                </c:pt>
                <c:pt idx="4">
                  <c:v>3040</c:v>
                </c:pt>
                <c:pt idx="5">
                  <c:v>3050</c:v>
                </c:pt>
                <c:pt idx="6">
                  <c:v>3060</c:v>
                </c:pt>
                <c:pt idx="7">
                  <c:v>3070</c:v>
                </c:pt>
                <c:pt idx="8">
                  <c:v>3080</c:v>
                </c:pt>
                <c:pt idx="9">
                  <c:v>3090</c:v>
                </c:pt>
                <c:pt idx="10">
                  <c:v>3100</c:v>
                </c:pt>
                <c:pt idx="11">
                  <c:v>3110</c:v>
                </c:pt>
                <c:pt idx="12">
                  <c:v>3120</c:v>
                </c:pt>
                <c:pt idx="13">
                  <c:v>3130</c:v>
                </c:pt>
                <c:pt idx="14">
                  <c:v>3140</c:v>
                </c:pt>
                <c:pt idx="15">
                  <c:v>3150</c:v>
                </c:pt>
                <c:pt idx="16">
                  <c:v>3160</c:v>
                </c:pt>
                <c:pt idx="17">
                  <c:v>3170</c:v>
                </c:pt>
                <c:pt idx="18">
                  <c:v>3180</c:v>
                </c:pt>
                <c:pt idx="19">
                  <c:v>3190</c:v>
                </c:pt>
                <c:pt idx="20">
                  <c:v>3200</c:v>
                </c:pt>
                <c:pt idx="21">
                  <c:v>3210</c:v>
                </c:pt>
                <c:pt idx="22">
                  <c:v>3220</c:v>
                </c:pt>
                <c:pt idx="23">
                  <c:v>3230</c:v>
                </c:pt>
                <c:pt idx="24">
                  <c:v>3240</c:v>
                </c:pt>
                <c:pt idx="25">
                  <c:v>3250</c:v>
                </c:pt>
                <c:pt idx="26">
                  <c:v>3260</c:v>
                </c:pt>
                <c:pt idx="27">
                  <c:v>3270</c:v>
                </c:pt>
                <c:pt idx="28">
                  <c:v>3280</c:v>
                </c:pt>
                <c:pt idx="29">
                  <c:v>3290</c:v>
                </c:pt>
                <c:pt idx="30">
                  <c:v>3300</c:v>
                </c:pt>
                <c:pt idx="31">
                  <c:v>3310</c:v>
                </c:pt>
                <c:pt idx="32">
                  <c:v>3320</c:v>
                </c:pt>
                <c:pt idx="33">
                  <c:v>3330</c:v>
                </c:pt>
                <c:pt idx="34">
                  <c:v>3340</c:v>
                </c:pt>
                <c:pt idx="35">
                  <c:v>3350</c:v>
                </c:pt>
                <c:pt idx="36">
                  <c:v>3360</c:v>
                </c:pt>
                <c:pt idx="37">
                  <c:v>3370</c:v>
                </c:pt>
                <c:pt idx="38">
                  <c:v>3380</c:v>
                </c:pt>
                <c:pt idx="39">
                  <c:v>3390</c:v>
                </c:pt>
                <c:pt idx="40">
                  <c:v>3400</c:v>
                </c:pt>
                <c:pt idx="41">
                  <c:v>3410</c:v>
                </c:pt>
                <c:pt idx="42">
                  <c:v>3420</c:v>
                </c:pt>
                <c:pt idx="43">
                  <c:v>3430</c:v>
                </c:pt>
                <c:pt idx="44">
                  <c:v>3440</c:v>
                </c:pt>
                <c:pt idx="45">
                  <c:v>3450</c:v>
                </c:pt>
                <c:pt idx="46">
                  <c:v>3460</c:v>
                </c:pt>
                <c:pt idx="47">
                  <c:v>3470</c:v>
                </c:pt>
                <c:pt idx="48">
                  <c:v>3480</c:v>
                </c:pt>
                <c:pt idx="49">
                  <c:v>3490</c:v>
                </c:pt>
                <c:pt idx="50">
                  <c:v>3500</c:v>
                </c:pt>
                <c:pt idx="51">
                  <c:v>3510</c:v>
                </c:pt>
                <c:pt idx="52">
                  <c:v>3520</c:v>
                </c:pt>
                <c:pt idx="53">
                  <c:v>3530</c:v>
                </c:pt>
                <c:pt idx="54">
                  <c:v>3540</c:v>
                </c:pt>
                <c:pt idx="55">
                  <c:v>3550</c:v>
                </c:pt>
                <c:pt idx="56">
                  <c:v>3560</c:v>
                </c:pt>
                <c:pt idx="57">
                  <c:v>3570</c:v>
                </c:pt>
                <c:pt idx="58">
                  <c:v>3580</c:v>
                </c:pt>
                <c:pt idx="59">
                  <c:v>3590</c:v>
                </c:pt>
                <c:pt idx="60">
                  <c:v>3600</c:v>
                </c:pt>
                <c:pt idx="61">
                  <c:v>3610</c:v>
                </c:pt>
                <c:pt idx="62">
                  <c:v>3620</c:v>
                </c:pt>
                <c:pt idx="63">
                  <c:v>3630</c:v>
                </c:pt>
                <c:pt idx="64">
                  <c:v>3640</c:v>
                </c:pt>
                <c:pt idx="65">
                  <c:v>3650</c:v>
                </c:pt>
                <c:pt idx="66">
                  <c:v>3660</c:v>
                </c:pt>
                <c:pt idx="67">
                  <c:v>3670</c:v>
                </c:pt>
                <c:pt idx="68">
                  <c:v>3680</c:v>
                </c:pt>
                <c:pt idx="69">
                  <c:v>3690</c:v>
                </c:pt>
                <c:pt idx="70">
                  <c:v>3700</c:v>
                </c:pt>
                <c:pt idx="71">
                  <c:v>3710</c:v>
                </c:pt>
                <c:pt idx="72">
                  <c:v>3720</c:v>
                </c:pt>
                <c:pt idx="73">
                  <c:v>3730</c:v>
                </c:pt>
                <c:pt idx="74">
                  <c:v>3740</c:v>
                </c:pt>
                <c:pt idx="75">
                  <c:v>3750</c:v>
                </c:pt>
                <c:pt idx="76">
                  <c:v>3760</c:v>
                </c:pt>
                <c:pt idx="77">
                  <c:v>3770</c:v>
                </c:pt>
                <c:pt idx="78">
                  <c:v>3780</c:v>
                </c:pt>
                <c:pt idx="79">
                  <c:v>3790</c:v>
                </c:pt>
                <c:pt idx="80">
                  <c:v>3800</c:v>
                </c:pt>
                <c:pt idx="81">
                  <c:v>3810</c:v>
                </c:pt>
                <c:pt idx="82">
                  <c:v>3820</c:v>
                </c:pt>
                <c:pt idx="83">
                  <c:v>3830</c:v>
                </c:pt>
                <c:pt idx="84">
                  <c:v>3840</c:v>
                </c:pt>
                <c:pt idx="85">
                  <c:v>3850</c:v>
                </c:pt>
                <c:pt idx="86">
                  <c:v>3860</c:v>
                </c:pt>
                <c:pt idx="87">
                  <c:v>3870</c:v>
                </c:pt>
                <c:pt idx="88">
                  <c:v>3880</c:v>
                </c:pt>
                <c:pt idx="89">
                  <c:v>3890</c:v>
                </c:pt>
                <c:pt idx="90">
                  <c:v>3900</c:v>
                </c:pt>
                <c:pt idx="91">
                  <c:v>3910</c:v>
                </c:pt>
                <c:pt idx="92">
                  <c:v>3920</c:v>
                </c:pt>
                <c:pt idx="93">
                  <c:v>3930</c:v>
                </c:pt>
                <c:pt idx="94">
                  <c:v>3940</c:v>
                </c:pt>
                <c:pt idx="95">
                  <c:v>3950</c:v>
                </c:pt>
                <c:pt idx="96">
                  <c:v>3960</c:v>
                </c:pt>
                <c:pt idx="97">
                  <c:v>3970</c:v>
                </c:pt>
                <c:pt idx="98">
                  <c:v>3980</c:v>
                </c:pt>
                <c:pt idx="99">
                  <c:v>3990</c:v>
                </c:pt>
                <c:pt idx="100">
                  <c:v>4000</c:v>
                </c:pt>
                <c:pt idx="101">
                  <c:v>4010</c:v>
                </c:pt>
                <c:pt idx="102">
                  <c:v>4020</c:v>
                </c:pt>
                <c:pt idx="103">
                  <c:v>4030</c:v>
                </c:pt>
                <c:pt idx="104">
                  <c:v>4040</c:v>
                </c:pt>
                <c:pt idx="105">
                  <c:v>4050</c:v>
                </c:pt>
                <c:pt idx="106">
                  <c:v>4060</c:v>
                </c:pt>
                <c:pt idx="107">
                  <c:v>4070</c:v>
                </c:pt>
                <c:pt idx="108">
                  <c:v>4080</c:v>
                </c:pt>
                <c:pt idx="109">
                  <c:v>4090</c:v>
                </c:pt>
                <c:pt idx="110">
                  <c:v>4100</c:v>
                </c:pt>
                <c:pt idx="111">
                  <c:v>4110</c:v>
                </c:pt>
                <c:pt idx="112">
                  <c:v>4120</c:v>
                </c:pt>
                <c:pt idx="113">
                  <c:v>4130</c:v>
                </c:pt>
                <c:pt idx="114">
                  <c:v>4140</c:v>
                </c:pt>
                <c:pt idx="115">
                  <c:v>4150</c:v>
                </c:pt>
                <c:pt idx="116">
                  <c:v>4160</c:v>
                </c:pt>
                <c:pt idx="117">
                  <c:v>4170</c:v>
                </c:pt>
                <c:pt idx="118">
                  <c:v>4180</c:v>
                </c:pt>
                <c:pt idx="119">
                  <c:v>4190</c:v>
                </c:pt>
                <c:pt idx="120">
                  <c:v>4200</c:v>
                </c:pt>
                <c:pt idx="121">
                  <c:v>4210</c:v>
                </c:pt>
                <c:pt idx="122">
                  <c:v>4220</c:v>
                </c:pt>
                <c:pt idx="123">
                  <c:v>4230</c:v>
                </c:pt>
                <c:pt idx="124">
                  <c:v>4240</c:v>
                </c:pt>
                <c:pt idx="125">
                  <c:v>4250</c:v>
                </c:pt>
                <c:pt idx="126">
                  <c:v>4260</c:v>
                </c:pt>
                <c:pt idx="127">
                  <c:v>4270</c:v>
                </c:pt>
                <c:pt idx="128">
                  <c:v>4280</c:v>
                </c:pt>
                <c:pt idx="129">
                  <c:v>4290</c:v>
                </c:pt>
                <c:pt idx="130">
                  <c:v>4300</c:v>
                </c:pt>
                <c:pt idx="131">
                  <c:v>4310</c:v>
                </c:pt>
                <c:pt idx="132">
                  <c:v>4320</c:v>
                </c:pt>
                <c:pt idx="133">
                  <c:v>4330</c:v>
                </c:pt>
                <c:pt idx="134">
                  <c:v>4340</c:v>
                </c:pt>
                <c:pt idx="135">
                  <c:v>4350</c:v>
                </c:pt>
                <c:pt idx="136">
                  <c:v>4357</c:v>
                </c:pt>
                <c:pt idx="137">
                  <c:v>4360</c:v>
                </c:pt>
                <c:pt idx="138">
                  <c:v>4370</c:v>
                </c:pt>
                <c:pt idx="139">
                  <c:v>4380</c:v>
                </c:pt>
                <c:pt idx="140">
                  <c:v>4390</c:v>
                </c:pt>
                <c:pt idx="141">
                  <c:v>4400</c:v>
                </c:pt>
                <c:pt idx="142">
                  <c:v>4410</c:v>
                </c:pt>
                <c:pt idx="143">
                  <c:v>4420</c:v>
                </c:pt>
                <c:pt idx="144">
                  <c:v>4430</c:v>
                </c:pt>
                <c:pt idx="145">
                  <c:v>4440</c:v>
                </c:pt>
                <c:pt idx="146">
                  <c:v>4450</c:v>
                </c:pt>
                <c:pt idx="147">
                  <c:v>4460</c:v>
                </c:pt>
                <c:pt idx="148">
                  <c:v>4470</c:v>
                </c:pt>
                <c:pt idx="149">
                  <c:v>4480</c:v>
                </c:pt>
                <c:pt idx="150">
                  <c:v>4490</c:v>
                </c:pt>
                <c:pt idx="151">
                  <c:v>4500</c:v>
                </c:pt>
                <c:pt idx="152">
                  <c:v>4510</c:v>
                </c:pt>
                <c:pt idx="153">
                  <c:v>4520</c:v>
                </c:pt>
                <c:pt idx="154">
                  <c:v>4530</c:v>
                </c:pt>
                <c:pt idx="155">
                  <c:v>4540</c:v>
                </c:pt>
                <c:pt idx="156">
                  <c:v>4550</c:v>
                </c:pt>
                <c:pt idx="157">
                  <c:v>4560</c:v>
                </c:pt>
                <c:pt idx="158">
                  <c:v>4570</c:v>
                </c:pt>
                <c:pt idx="159">
                  <c:v>4580</c:v>
                </c:pt>
                <c:pt idx="160">
                  <c:v>4590</c:v>
                </c:pt>
                <c:pt idx="161">
                  <c:v>4600</c:v>
                </c:pt>
                <c:pt idx="162">
                  <c:v>4610</c:v>
                </c:pt>
                <c:pt idx="163">
                  <c:v>4620</c:v>
                </c:pt>
                <c:pt idx="164">
                  <c:v>4630</c:v>
                </c:pt>
                <c:pt idx="165">
                  <c:v>4640</c:v>
                </c:pt>
                <c:pt idx="166">
                  <c:v>4650</c:v>
                </c:pt>
                <c:pt idx="167">
                  <c:v>4660</c:v>
                </c:pt>
                <c:pt idx="168">
                  <c:v>4670</c:v>
                </c:pt>
                <c:pt idx="169">
                  <c:v>4680</c:v>
                </c:pt>
                <c:pt idx="170">
                  <c:v>4690</c:v>
                </c:pt>
                <c:pt idx="171">
                  <c:v>4700</c:v>
                </c:pt>
                <c:pt idx="172">
                  <c:v>4710</c:v>
                </c:pt>
                <c:pt idx="173">
                  <c:v>4720</c:v>
                </c:pt>
                <c:pt idx="174">
                  <c:v>4730</c:v>
                </c:pt>
                <c:pt idx="175">
                  <c:v>4740</c:v>
                </c:pt>
                <c:pt idx="176">
                  <c:v>4750</c:v>
                </c:pt>
                <c:pt idx="177">
                  <c:v>4760</c:v>
                </c:pt>
                <c:pt idx="178">
                  <c:v>4770</c:v>
                </c:pt>
                <c:pt idx="179">
                  <c:v>4780</c:v>
                </c:pt>
                <c:pt idx="180">
                  <c:v>4790</c:v>
                </c:pt>
                <c:pt idx="181">
                  <c:v>4800</c:v>
                </c:pt>
                <c:pt idx="182">
                  <c:v>4810</c:v>
                </c:pt>
                <c:pt idx="183">
                  <c:v>4820</c:v>
                </c:pt>
                <c:pt idx="184">
                  <c:v>4830</c:v>
                </c:pt>
                <c:pt idx="185">
                  <c:v>4840</c:v>
                </c:pt>
                <c:pt idx="186">
                  <c:v>4850</c:v>
                </c:pt>
                <c:pt idx="187">
                  <c:v>4860</c:v>
                </c:pt>
                <c:pt idx="188">
                  <c:v>4870</c:v>
                </c:pt>
                <c:pt idx="189">
                  <c:v>4880</c:v>
                </c:pt>
                <c:pt idx="190">
                  <c:v>4890</c:v>
                </c:pt>
                <c:pt idx="191">
                  <c:v>4900</c:v>
                </c:pt>
                <c:pt idx="192">
                  <c:v>4910</c:v>
                </c:pt>
                <c:pt idx="193">
                  <c:v>4920</c:v>
                </c:pt>
                <c:pt idx="194">
                  <c:v>4930</c:v>
                </c:pt>
                <c:pt idx="195">
                  <c:v>4940</c:v>
                </c:pt>
                <c:pt idx="196">
                  <c:v>4950</c:v>
                </c:pt>
                <c:pt idx="197">
                  <c:v>4960</c:v>
                </c:pt>
                <c:pt idx="198">
                  <c:v>4970</c:v>
                </c:pt>
                <c:pt idx="199">
                  <c:v>4980</c:v>
                </c:pt>
                <c:pt idx="200">
                  <c:v>4990</c:v>
                </c:pt>
                <c:pt idx="201">
                  <c:v>5000</c:v>
                </c:pt>
                <c:pt idx="202">
                  <c:v>5010</c:v>
                </c:pt>
                <c:pt idx="203">
                  <c:v>5020</c:v>
                </c:pt>
                <c:pt idx="204">
                  <c:v>5030</c:v>
                </c:pt>
                <c:pt idx="205">
                  <c:v>5040</c:v>
                </c:pt>
                <c:pt idx="206">
                  <c:v>5050</c:v>
                </c:pt>
                <c:pt idx="207">
                  <c:v>5060</c:v>
                </c:pt>
                <c:pt idx="208">
                  <c:v>5070</c:v>
                </c:pt>
                <c:pt idx="209">
                  <c:v>5080</c:v>
                </c:pt>
                <c:pt idx="210">
                  <c:v>5090</c:v>
                </c:pt>
                <c:pt idx="211">
                  <c:v>5100</c:v>
                </c:pt>
                <c:pt idx="212">
                  <c:v>5110</c:v>
                </c:pt>
                <c:pt idx="213">
                  <c:v>5120</c:v>
                </c:pt>
                <c:pt idx="214">
                  <c:v>5130</c:v>
                </c:pt>
                <c:pt idx="215">
                  <c:v>5140</c:v>
                </c:pt>
                <c:pt idx="216">
                  <c:v>5150</c:v>
                </c:pt>
                <c:pt idx="217">
                  <c:v>5160</c:v>
                </c:pt>
                <c:pt idx="218">
                  <c:v>5170</c:v>
                </c:pt>
                <c:pt idx="219">
                  <c:v>5180</c:v>
                </c:pt>
                <c:pt idx="220">
                  <c:v>5190</c:v>
                </c:pt>
                <c:pt idx="221">
                  <c:v>5200</c:v>
                </c:pt>
                <c:pt idx="222">
                  <c:v>5210</c:v>
                </c:pt>
                <c:pt idx="223">
                  <c:v>5220</c:v>
                </c:pt>
                <c:pt idx="224">
                  <c:v>5230</c:v>
                </c:pt>
                <c:pt idx="225">
                  <c:v>5240</c:v>
                </c:pt>
                <c:pt idx="226">
                  <c:v>5250</c:v>
                </c:pt>
                <c:pt idx="227">
                  <c:v>5260</c:v>
                </c:pt>
                <c:pt idx="228">
                  <c:v>5270</c:v>
                </c:pt>
                <c:pt idx="229">
                  <c:v>5280</c:v>
                </c:pt>
                <c:pt idx="230">
                  <c:v>5290</c:v>
                </c:pt>
                <c:pt idx="231">
                  <c:v>5300</c:v>
                </c:pt>
                <c:pt idx="232">
                  <c:v>5310</c:v>
                </c:pt>
                <c:pt idx="233">
                  <c:v>5320</c:v>
                </c:pt>
                <c:pt idx="234">
                  <c:v>5330</c:v>
                </c:pt>
                <c:pt idx="235">
                  <c:v>5340</c:v>
                </c:pt>
                <c:pt idx="236">
                  <c:v>5350</c:v>
                </c:pt>
                <c:pt idx="237">
                  <c:v>5360</c:v>
                </c:pt>
                <c:pt idx="238">
                  <c:v>5370</c:v>
                </c:pt>
                <c:pt idx="239">
                  <c:v>5380</c:v>
                </c:pt>
                <c:pt idx="240">
                  <c:v>5390</c:v>
                </c:pt>
                <c:pt idx="241">
                  <c:v>5400</c:v>
                </c:pt>
                <c:pt idx="242">
                  <c:v>5410</c:v>
                </c:pt>
                <c:pt idx="243">
                  <c:v>5420</c:v>
                </c:pt>
                <c:pt idx="244">
                  <c:v>5430</c:v>
                </c:pt>
                <c:pt idx="245">
                  <c:v>5440</c:v>
                </c:pt>
                <c:pt idx="246">
                  <c:v>5450</c:v>
                </c:pt>
                <c:pt idx="247">
                  <c:v>5460</c:v>
                </c:pt>
                <c:pt idx="248">
                  <c:v>5470</c:v>
                </c:pt>
                <c:pt idx="249">
                  <c:v>5480</c:v>
                </c:pt>
                <c:pt idx="250">
                  <c:v>5490</c:v>
                </c:pt>
                <c:pt idx="251">
                  <c:v>5500</c:v>
                </c:pt>
                <c:pt idx="252">
                  <c:v>5510</c:v>
                </c:pt>
                <c:pt idx="253">
                  <c:v>5520</c:v>
                </c:pt>
                <c:pt idx="254">
                  <c:v>5530</c:v>
                </c:pt>
                <c:pt idx="255">
                  <c:v>5540</c:v>
                </c:pt>
                <c:pt idx="256">
                  <c:v>5550</c:v>
                </c:pt>
                <c:pt idx="257">
                  <c:v>5560</c:v>
                </c:pt>
                <c:pt idx="258">
                  <c:v>5570</c:v>
                </c:pt>
                <c:pt idx="259">
                  <c:v>5580</c:v>
                </c:pt>
                <c:pt idx="260">
                  <c:v>5590</c:v>
                </c:pt>
                <c:pt idx="261">
                  <c:v>5600</c:v>
                </c:pt>
                <c:pt idx="262">
                  <c:v>5610</c:v>
                </c:pt>
                <c:pt idx="263">
                  <c:v>5620</c:v>
                </c:pt>
                <c:pt idx="264">
                  <c:v>5630</c:v>
                </c:pt>
                <c:pt idx="265">
                  <c:v>5640</c:v>
                </c:pt>
                <c:pt idx="266">
                  <c:v>5650</c:v>
                </c:pt>
                <c:pt idx="267">
                  <c:v>5660</c:v>
                </c:pt>
                <c:pt idx="268">
                  <c:v>5670</c:v>
                </c:pt>
                <c:pt idx="269">
                  <c:v>5680</c:v>
                </c:pt>
                <c:pt idx="270">
                  <c:v>5690</c:v>
                </c:pt>
                <c:pt idx="271">
                  <c:v>5700</c:v>
                </c:pt>
                <c:pt idx="272">
                  <c:v>5710</c:v>
                </c:pt>
                <c:pt idx="273">
                  <c:v>5720</c:v>
                </c:pt>
                <c:pt idx="274">
                  <c:v>5730</c:v>
                </c:pt>
                <c:pt idx="275">
                  <c:v>5740</c:v>
                </c:pt>
                <c:pt idx="276">
                  <c:v>5750</c:v>
                </c:pt>
                <c:pt idx="277">
                  <c:v>5760</c:v>
                </c:pt>
                <c:pt idx="278">
                  <c:v>5770</c:v>
                </c:pt>
                <c:pt idx="279">
                  <c:v>5780</c:v>
                </c:pt>
                <c:pt idx="280">
                  <c:v>5790</c:v>
                </c:pt>
                <c:pt idx="281">
                  <c:v>5800</c:v>
                </c:pt>
                <c:pt idx="282">
                  <c:v>5810</c:v>
                </c:pt>
                <c:pt idx="283">
                  <c:v>5820</c:v>
                </c:pt>
                <c:pt idx="284">
                  <c:v>5830</c:v>
                </c:pt>
                <c:pt idx="285">
                  <c:v>5840</c:v>
                </c:pt>
                <c:pt idx="286">
                  <c:v>5850</c:v>
                </c:pt>
                <c:pt idx="287">
                  <c:v>5860</c:v>
                </c:pt>
                <c:pt idx="288">
                  <c:v>5870</c:v>
                </c:pt>
                <c:pt idx="289">
                  <c:v>5880</c:v>
                </c:pt>
                <c:pt idx="290">
                  <c:v>5890</c:v>
                </c:pt>
                <c:pt idx="291">
                  <c:v>5900</c:v>
                </c:pt>
                <c:pt idx="292">
                  <c:v>5910</c:v>
                </c:pt>
                <c:pt idx="293">
                  <c:v>5920</c:v>
                </c:pt>
                <c:pt idx="294">
                  <c:v>5930</c:v>
                </c:pt>
                <c:pt idx="295">
                  <c:v>5940</c:v>
                </c:pt>
                <c:pt idx="296">
                  <c:v>5950</c:v>
                </c:pt>
                <c:pt idx="297">
                  <c:v>5960</c:v>
                </c:pt>
                <c:pt idx="298">
                  <c:v>5970</c:v>
                </c:pt>
                <c:pt idx="299">
                  <c:v>5980</c:v>
                </c:pt>
                <c:pt idx="300">
                  <c:v>5990</c:v>
                </c:pt>
                <c:pt idx="301">
                  <c:v>6000</c:v>
                </c:pt>
              </c:numCache>
            </c:numRef>
          </c:xVal>
          <c:yVal>
            <c:numRef>
              <c:f>'PROTECTIVE CALL'!$I$5:$I$306</c:f>
              <c:numCache>
                <c:formatCode>#,##0.00;\(#,##0.00\)</c:formatCode>
                <c:ptCount val="302"/>
                <c:pt idx="0">
                  <c:v>1357</c:v>
                </c:pt>
                <c:pt idx="1">
                  <c:v>1347</c:v>
                </c:pt>
                <c:pt idx="2">
                  <c:v>1337</c:v>
                </c:pt>
                <c:pt idx="3">
                  <c:v>1327</c:v>
                </c:pt>
                <c:pt idx="4">
                  <c:v>1317</c:v>
                </c:pt>
                <c:pt idx="5">
                  <c:v>1307</c:v>
                </c:pt>
                <c:pt idx="6">
                  <c:v>1297</c:v>
                </c:pt>
                <c:pt idx="7">
                  <c:v>1287</c:v>
                </c:pt>
                <c:pt idx="8">
                  <c:v>1277</c:v>
                </c:pt>
                <c:pt idx="9">
                  <c:v>1267</c:v>
                </c:pt>
                <c:pt idx="10">
                  <c:v>1257</c:v>
                </c:pt>
                <c:pt idx="11">
                  <c:v>1247</c:v>
                </c:pt>
                <c:pt idx="12">
                  <c:v>1237</c:v>
                </c:pt>
                <c:pt idx="13">
                  <c:v>1227</c:v>
                </c:pt>
                <c:pt idx="14">
                  <c:v>1217</c:v>
                </c:pt>
                <c:pt idx="15">
                  <c:v>1207</c:v>
                </c:pt>
                <c:pt idx="16">
                  <c:v>1197</c:v>
                </c:pt>
                <c:pt idx="17">
                  <c:v>1187</c:v>
                </c:pt>
                <c:pt idx="18">
                  <c:v>1177</c:v>
                </c:pt>
                <c:pt idx="19">
                  <c:v>1167</c:v>
                </c:pt>
                <c:pt idx="20">
                  <c:v>1157</c:v>
                </c:pt>
                <c:pt idx="21">
                  <c:v>1147</c:v>
                </c:pt>
                <c:pt idx="22">
                  <c:v>1137</c:v>
                </c:pt>
                <c:pt idx="23">
                  <c:v>1127</c:v>
                </c:pt>
                <c:pt idx="24">
                  <c:v>1117</c:v>
                </c:pt>
                <c:pt idx="25">
                  <c:v>1107</c:v>
                </c:pt>
                <c:pt idx="26">
                  <c:v>1097</c:v>
                </c:pt>
                <c:pt idx="27">
                  <c:v>1087</c:v>
                </c:pt>
                <c:pt idx="28">
                  <c:v>1077</c:v>
                </c:pt>
                <c:pt idx="29">
                  <c:v>1067</c:v>
                </c:pt>
                <c:pt idx="30">
                  <c:v>1057</c:v>
                </c:pt>
                <c:pt idx="31">
                  <c:v>1047</c:v>
                </c:pt>
                <c:pt idx="32">
                  <c:v>1037</c:v>
                </c:pt>
                <c:pt idx="33">
                  <c:v>1027</c:v>
                </c:pt>
                <c:pt idx="34">
                  <c:v>1017</c:v>
                </c:pt>
                <c:pt idx="35">
                  <c:v>1007</c:v>
                </c:pt>
                <c:pt idx="36">
                  <c:v>997</c:v>
                </c:pt>
                <c:pt idx="37">
                  <c:v>987</c:v>
                </c:pt>
                <c:pt idx="38">
                  <c:v>977</c:v>
                </c:pt>
                <c:pt idx="39">
                  <c:v>967</c:v>
                </c:pt>
                <c:pt idx="40">
                  <c:v>957</c:v>
                </c:pt>
                <c:pt idx="41">
                  <c:v>947</c:v>
                </c:pt>
                <c:pt idx="42">
                  <c:v>937</c:v>
                </c:pt>
                <c:pt idx="43">
                  <c:v>927</c:v>
                </c:pt>
                <c:pt idx="44">
                  <c:v>917</c:v>
                </c:pt>
                <c:pt idx="45">
                  <c:v>907</c:v>
                </c:pt>
                <c:pt idx="46">
                  <c:v>897</c:v>
                </c:pt>
                <c:pt idx="47">
                  <c:v>887</c:v>
                </c:pt>
                <c:pt idx="48">
                  <c:v>877</c:v>
                </c:pt>
                <c:pt idx="49">
                  <c:v>867</c:v>
                </c:pt>
                <c:pt idx="50">
                  <c:v>857</c:v>
                </c:pt>
                <c:pt idx="51">
                  <c:v>847</c:v>
                </c:pt>
                <c:pt idx="52">
                  <c:v>837</c:v>
                </c:pt>
                <c:pt idx="53">
                  <c:v>827</c:v>
                </c:pt>
                <c:pt idx="54">
                  <c:v>817</c:v>
                </c:pt>
                <c:pt idx="55">
                  <c:v>807</c:v>
                </c:pt>
                <c:pt idx="56">
                  <c:v>797</c:v>
                </c:pt>
                <c:pt idx="57">
                  <c:v>787</c:v>
                </c:pt>
                <c:pt idx="58">
                  <c:v>777</c:v>
                </c:pt>
                <c:pt idx="59">
                  <c:v>767</c:v>
                </c:pt>
                <c:pt idx="60">
                  <c:v>757</c:v>
                </c:pt>
                <c:pt idx="61">
                  <c:v>747</c:v>
                </c:pt>
                <c:pt idx="62">
                  <c:v>737</c:v>
                </c:pt>
                <c:pt idx="63">
                  <c:v>727</c:v>
                </c:pt>
                <c:pt idx="64">
                  <c:v>717</c:v>
                </c:pt>
                <c:pt idx="65">
                  <c:v>707</c:v>
                </c:pt>
                <c:pt idx="66">
                  <c:v>697</c:v>
                </c:pt>
                <c:pt idx="67">
                  <c:v>687</c:v>
                </c:pt>
                <c:pt idx="68">
                  <c:v>677</c:v>
                </c:pt>
                <c:pt idx="69">
                  <c:v>667</c:v>
                </c:pt>
                <c:pt idx="70">
                  <c:v>657</c:v>
                </c:pt>
                <c:pt idx="71">
                  <c:v>647</c:v>
                </c:pt>
                <c:pt idx="72">
                  <c:v>637</c:v>
                </c:pt>
                <c:pt idx="73">
                  <c:v>627</c:v>
                </c:pt>
                <c:pt idx="74">
                  <c:v>617</c:v>
                </c:pt>
                <c:pt idx="75">
                  <c:v>607</c:v>
                </c:pt>
                <c:pt idx="76">
                  <c:v>597</c:v>
                </c:pt>
                <c:pt idx="77">
                  <c:v>587</c:v>
                </c:pt>
                <c:pt idx="78">
                  <c:v>577</c:v>
                </c:pt>
                <c:pt idx="79">
                  <c:v>567</c:v>
                </c:pt>
                <c:pt idx="80">
                  <c:v>557</c:v>
                </c:pt>
                <c:pt idx="81">
                  <c:v>547</c:v>
                </c:pt>
                <c:pt idx="82">
                  <c:v>537</c:v>
                </c:pt>
                <c:pt idx="83">
                  <c:v>527</c:v>
                </c:pt>
                <c:pt idx="84">
                  <c:v>517</c:v>
                </c:pt>
                <c:pt idx="85">
                  <c:v>507</c:v>
                </c:pt>
                <c:pt idx="86">
                  <c:v>497</c:v>
                </c:pt>
                <c:pt idx="87">
                  <c:v>487</c:v>
                </c:pt>
                <c:pt idx="88">
                  <c:v>477</c:v>
                </c:pt>
                <c:pt idx="89">
                  <c:v>467</c:v>
                </c:pt>
                <c:pt idx="90">
                  <c:v>457</c:v>
                </c:pt>
                <c:pt idx="91">
                  <c:v>447</c:v>
                </c:pt>
                <c:pt idx="92">
                  <c:v>437</c:v>
                </c:pt>
                <c:pt idx="93">
                  <c:v>427</c:v>
                </c:pt>
                <c:pt idx="94">
                  <c:v>417</c:v>
                </c:pt>
                <c:pt idx="95">
                  <c:v>407</c:v>
                </c:pt>
                <c:pt idx="96">
                  <c:v>397</c:v>
                </c:pt>
                <c:pt idx="97">
                  <c:v>387</c:v>
                </c:pt>
                <c:pt idx="98">
                  <c:v>377</c:v>
                </c:pt>
                <c:pt idx="99">
                  <c:v>367</c:v>
                </c:pt>
                <c:pt idx="100">
                  <c:v>357</c:v>
                </c:pt>
                <c:pt idx="101">
                  <c:v>347</c:v>
                </c:pt>
                <c:pt idx="102">
                  <c:v>337</c:v>
                </c:pt>
                <c:pt idx="103">
                  <c:v>327</c:v>
                </c:pt>
                <c:pt idx="104">
                  <c:v>317</c:v>
                </c:pt>
                <c:pt idx="105">
                  <c:v>307</c:v>
                </c:pt>
                <c:pt idx="106">
                  <c:v>297</c:v>
                </c:pt>
                <c:pt idx="107">
                  <c:v>287</c:v>
                </c:pt>
                <c:pt idx="108">
                  <c:v>277</c:v>
                </c:pt>
                <c:pt idx="109">
                  <c:v>267</c:v>
                </c:pt>
                <c:pt idx="110">
                  <c:v>257</c:v>
                </c:pt>
                <c:pt idx="111">
                  <c:v>247</c:v>
                </c:pt>
                <c:pt idx="112">
                  <c:v>237</c:v>
                </c:pt>
                <c:pt idx="113">
                  <c:v>227</c:v>
                </c:pt>
                <c:pt idx="114">
                  <c:v>217</c:v>
                </c:pt>
                <c:pt idx="115">
                  <c:v>207</c:v>
                </c:pt>
                <c:pt idx="116">
                  <c:v>197</c:v>
                </c:pt>
                <c:pt idx="117">
                  <c:v>187</c:v>
                </c:pt>
                <c:pt idx="118">
                  <c:v>177</c:v>
                </c:pt>
                <c:pt idx="119">
                  <c:v>167</c:v>
                </c:pt>
                <c:pt idx="120">
                  <c:v>157</c:v>
                </c:pt>
                <c:pt idx="121">
                  <c:v>147</c:v>
                </c:pt>
                <c:pt idx="122">
                  <c:v>137</c:v>
                </c:pt>
                <c:pt idx="123">
                  <c:v>127</c:v>
                </c:pt>
                <c:pt idx="124">
                  <c:v>117</c:v>
                </c:pt>
                <c:pt idx="125">
                  <c:v>107</c:v>
                </c:pt>
                <c:pt idx="126">
                  <c:v>97</c:v>
                </c:pt>
                <c:pt idx="127">
                  <c:v>87</c:v>
                </c:pt>
                <c:pt idx="128">
                  <c:v>77</c:v>
                </c:pt>
                <c:pt idx="129">
                  <c:v>67</c:v>
                </c:pt>
                <c:pt idx="130">
                  <c:v>57</c:v>
                </c:pt>
                <c:pt idx="131">
                  <c:v>47</c:v>
                </c:pt>
                <c:pt idx="132">
                  <c:v>37</c:v>
                </c:pt>
                <c:pt idx="133">
                  <c:v>27</c:v>
                </c:pt>
                <c:pt idx="134">
                  <c:v>17</c:v>
                </c:pt>
                <c:pt idx="135">
                  <c:v>7</c:v>
                </c:pt>
                <c:pt idx="136">
                  <c:v>0</c:v>
                </c:pt>
                <c:pt idx="137">
                  <c:v>-3</c:v>
                </c:pt>
                <c:pt idx="138">
                  <c:v>-13</c:v>
                </c:pt>
                <c:pt idx="139">
                  <c:v>-23</c:v>
                </c:pt>
                <c:pt idx="140">
                  <c:v>-33</c:v>
                </c:pt>
                <c:pt idx="141">
                  <c:v>-43</c:v>
                </c:pt>
                <c:pt idx="142">
                  <c:v>-53</c:v>
                </c:pt>
                <c:pt idx="143">
                  <c:v>-63</c:v>
                </c:pt>
                <c:pt idx="144">
                  <c:v>-73</c:v>
                </c:pt>
                <c:pt idx="145">
                  <c:v>-83</c:v>
                </c:pt>
                <c:pt idx="146">
                  <c:v>-93</c:v>
                </c:pt>
                <c:pt idx="147">
                  <c:v>-103</c:v>
                </c:pt>
                <c:pt idx="148">
                  <c:v>-113</c:v>
                </c:pt>
                <c:pt idx="149">
                  <c:v>-123</c:v>
                </c:pt>
                <c:pt idx="150">
                  <c:v>-133</c:v>
                </c:pt>
                <c:pt idx="151">
                  <c:v>-143</c:v>
                </c:pt>
                <c:pt idx="152">
                  <c:v>-143</c:v>
                </c:pt>
                <c:pt idx="153">
                  <c:v>-143</c:v>
                </c:pt>
                <c:pt idx="154">
                  <c:v>-143</c:v>
                </c:pt>
                <c:pt idx="155">
                  <c:v>-143</c:v>
                </c:pt>
                <c:pt idx="156">
                  <c:v>-143</c:v>
                </c:pt>
                <c:pt idx="157">
                  <c:v>-143</c:v>
                </c:pt>
                <c:pt idx="158">
                  <c:v>-143</c:v>
                </c:pt>
                <c:pt idx="159">
                  <c:v>-143</c:v>
                </c:pt>
                <c:pt idx="160">
                  <c:v>-143</c:v>
                </c:pt>
                <c:pt idx="161">
                  <c:v>-143</c:v>
                </c:pt>
                <c:pt idx="162">
                  <c:v>-143</c:v>
                </c:pt>
                <c:pt idx="163">
                  <c:v>-143</c:v>
                </c:pt>
                <c:pt idx="164">
                  <c:v>-143</c:v>
                </c:pt>
                <c:pt idx="165">
                  <c:v>-143</c:v>
                </c:pt>
                <c:pt idx="166">
                  <c:v>-143</c:v>
                </c:pt>
                <c:pt idx="167">
                  <c:v>-143</c:v>
                </c:pt>
                <c:pt idx="168">
                  <c:v>-143</c:v>
                </c:pt>
                <c:pt idx="169">
                  <c:v>-143</c:v>
                </c:pt>
                <c:pt idx="170">
                  <c:v>-143</c:v>
                </c:pt>
                <c:pt idx="171">
                  <c:v>-143</c:v>
                </c:pt>
                <c:pt idx="172">
                  <c:v>-143</c:v>
                </c:pt>
                <c:pt idx="173">
                  <c:v>-143</c:v>
                </c:pt>
                <c:pt idx="174">
                  <c:v>-143</c:v>
                </c:pt>
                <c:pt idx="175">
                  <c:v>-143</c:v>
                </c:pt>
                <c:pt idx="176">
                  <c:v>-143</c:v>
                </c:pt>
                <c:pt idx="177">
                  <c:v>-143</c:v>
                </c:pt>
                <c:pt idx="178">
                  <c:v>-143</c:v>
                </c:pt>
                <c:pt idx="179">
                  <c:v>-143</c:v>
                </c:pt>
                <c:pt idx="180">
                  <c:v>-143</c:v>
                </c:pt>
                <c:pt idx="181">
                  <c:v>-143</c:v>
                </c:pt>
                <c:pt idx="182">
                  <c:v>-143</c:v>
                </c:pt>
                <c:pt idx="183">
                  <c:v>-143</c:v>
                </c:pt>
                <c:pt idx="184">
                  <c:v>-143</c:v>
                </c:pt>
                <c:pt idx="185">
                  <c:v>-143</c:v>
                </c:pt>
                <c:pt idx="186">
                  <c:v>-143</c:v>
                </c:pt>
                <c:pt idx="187">
                  <c:v>-143</c:v>
                </c:pt>
                <c:pt idx="188">
                  <c:v>-143</c:v>
                </c:pt>
                <c:pt idx="189">
                  <c:v>-143</c:v>
                </c:pt>
                <c:pt idx="190">
                  <c:v>-143</c:v>
                </c:pt>
                <c:pt idx="191">
                  <c:v>-143</c:v>
                </c:pt>
                <c:pt idx="192">
                  <c:v>-143</c:v>
                </c:pt>
                <c:pt idx="193">
                  <c:v>-143</c:v>
                </c:pt>
                <c:pt idx="194">
                  <c:v>-143</c:v>
                </c:pt>
                <c:pt idx="195">
                  <c:v>-143</c:v>
                </c:pt>
                <c:pt idx="196">
                  <c:v>-143</c:v>
                </c:pt>
                <c:pt idx="197">
                  <c:v>-143</c:v>
                </c:pt>
                <c:pt idx="198">
                  <c:v>-143</c:v>
                </c:pt>
                <c:pt idx="199">
                  <c:v>-143</c:v>
                </c:pt>
                <c:pt idx="200">
                  <c:v>-143</c:v>
                </c:pt>
                <c:pt idx="201">
                  <c:v>-143</c:v>
                </c:pt>
                <c:pt idx="202">
                  <c:v>-143</c:v>
                </c:pt>
                <c:pt idx="203">
                  <c:v>-143</c:v>
                </c:pt>
                <c:pt idx="204">
                  <c:v>-143</c:v>
                </c:pt>
                <c:pt idx="205">
                  <c:v>-143</c:v>
                </c:pt>
                <c:pt idx="206">
                  <c:v>-143</c:v>
                </c:pt>
                <c:pt idx="207">
                  <c:v>-143</c:v>
                </c:pt>
                <c:pt idx="208">
                  <c:v>-143</c:v>
                </c:pt>
                <c:pt idx="209">
                  <c:v>-143</c:v>
                </c:pt>
                <c:pt idx="210">
                  <c:v>-143</c:v>
                </c:pt>
                <c:pt idx="211">
                  <c:v>-143</c:v>
                </c:pt>
                <c:pt idx="212">
                  <c:v>-143</c:v>
                </c:pt>
                <c:pt idx="213">
                  <c:v>-143</c:v>
                </c:pt>
                <c:pt idx="214">
                  <c:v>-143</c:v>
                </c:pt>
                <c:pt idx="215">
                  <c:v>-143</c:v>
                </c:pt>
                <c:pt idx="216">
                  <c:v>-143</c:v>
                </c:pt>
                <c:pt idx="217">
                  <c:v>-143</c:v>
                </c:pt>
                <c:pt idx="218">
                  <c:v>-143</c:v>
                </c:pt>
                <c:pt idx="219">
                  <c:v>-143</c:v>
                </c:pt>
                <c:pt idx="220">
                  <c:v>-143</c:v>
                </c:pt>
                <c:pt idx="221">
                  <c:v>-143</c:v>
                </c:pt>
                <c:pt idx="222">
                  <c:v>-143</c:v>
                </c:pt>
                <c:pt idx="223">
                  <c:v>-143</c:v>
                </c:pt>
                <c:pt idx="224">
                  <c:v>-143</c:v>
                </c:pt>
                <c:pt idx="225">
                  <c:v>-143</c:v>
                </c:pt>
                <c:pt idx="226">
                  <c:v>-143</c:v>
                </c:pt>
                <c:pt idx="227">
                  <c:v>-143</c:v>
                </c:pt>
                <c:pt idx="228">
                  <c:v>-143</c:v>
                </c:pt>
                <c:pt idx="229">
                  <c:v>-143</c:v>
                </c:pt>
                <c:pt idx="230">
                  <c:v>-143</c:v>
                </c:pt>
                <c:pt idx="231">
                  <c:v>-143</c:v>
                </c:pt>
                <c:pt idx="232">
                  <c:v>-143</c:v>
                </c:pt>
                <c:pt idx="233">
                  <c:v>-143</c:v>
                </c:pt>
                <c:pt idx="234">
                  <c:v>-143</c:v>
                </c:pt>
                <c:pt idx="235">
                  <c:v>-143</c:v>
                </c:pt>
                <c:pt idx="236">
                  <c:v>-143</c:v>
                </c:pt>
                <c:pt idx="237">
                  <c:v>-143</c:v>
                </c:pt>
                <c:pt idx="238">
                  <c:v>-143</c:v>
                </c:pt>
                <c:pt idx="239">
                  <c:v>-143</c:v>
                </c:pt>
                <c:pt idx="240">
                  <c:v>-143</c:v>
                </c:pt>
                <c:pt idx="241">
                  <c:v>-143</c:v>
                </c:pt>
                <c:pt idx="242">
                  <c:v>-143</c:v>
                </c:pt>
                <c:pt idx="243">
                  <c:v>-143</c:v>
                </c:pt>
                <c:pt idx="244">
                  <c:v>-143</c:v>
                </c:pt>
                <c:pt idx="245">
                  <c:v>-143</c:v>
                </c:pt>
                <c:pt idx="246">
                  <c:v>-143</c:v>
                </c:pt>
                <c:pt idx="247">
                  <c:v>-143</c:v>
                </c:pt>
                <c:pt idx="248">
                  <c:v>-143</c:v>
                </c:pt>
                <c:pt idx="249">
                  <c:v>-143</c:v>
                </c:pt>
                <c:pt idx="250">
                  <c:v>-143</c:v>
                </c:pt>
                <c:pt idx="251">
                  <c:v>-143</c:v>
                </c:pt>
                <c:pt idx="252">
                  <c:v>-143</c:v>
                </c:pt>
                <c:pt idx="253">
                  <c:v>-143</c:v>
                </c:pt>
                <c:pt idx="254">
                  <c:v>-143</c:v>
                </c:pt>
                <c:pt idx="255">
                  <c:v>-143</c:v>
                </c:pt>
                <c:pt idx="256">
                  <c:v>-143</c:v>
                </c:pt>
                <c:pt idx="257">
                  <c:v>-143</c:v>
                </c:pt>
                <c:pt idx="258">
                  <c:v>-143</c:v>
                </c:pt>
                <c:pt idx="259">
                  <c:v>-143</c:v>
                </c:pt>
                <c:pt idx="260">
                  <c:v>-143</c:v>
                </c:pt>
                <c:pt idx="261">
                  <c:v>-143</c:v>
                </c:pt>
                <c:pt idx="262">
                  <c:v>-143</c:v>
                </c:pt>
                <c:pt idx="263">
                  <c:v>-143</c:v>
                </c:pt>
                <c:pt idx="264">
                  <c:v>-143</c:v>
                </c:pt>
                <c:pt idx="265">
                  <c:v>-143</c:v>
                </c:pt>
                <c:pt idx="266">
                  <c:v>-143</c:v>
                </c:pt>
                <c:pt idx="267">
                  <c:v>-143</c:v>
                </c:pt>
                <c:pt idx="268">
                  <c:v>-143</c:v>
                </c:pt>
                <c:pt idx="269">
                  <c:v>-143</c:v>
                </c:pt>
                <c:pt idx="270">
                  <c:v>-143</c:v>
                </c:pt>
                <c:pt idx="271">
                  <c:v>-143</c:v>
                </c:pt>
                <c:pt idx="272">
                  <c:v>-143</c:v>
                </c:pt>
                <c:pt idx="273">
                  <c:v>-143</c:v>
                </c:pt>
                <c:pt idx="274">
                  <c:v>-143</c:v>
                </c:pt>
                <c:pt idx="275">
                  <c:v>-143</c:v>
                </c:pt>
                <c:pt idx="276">
                  <c:v>-143</c:v>
                </c:pt>
                <c:pt idx="277">
                  <c:v>-143</c:v>
                </c:pt>
                <c:pt idx="278">
                  <c:v>-143</c:v>
                </c:pt>
                <c:pt idx="279">
                  <c:v>-143</c:v>
                </c:pt>
                <c:pt idx="280">
                  <c:v>-143</c:v>
                </c:pt>
                <c:pt idx="281">
                  <c:v>-143</c:v>
                </c:pt>
                <c:pt idx="282">
                  <c:v>-143</c:v>
                </c:pt>
                <c:pt idx="283">
                  <c:v>-143</c:v>
                </c:pt>
                <c:pt idx="284">
                  <c:v>-143</c:v>
                </c:pt>
                <c:pt idx="285">
                  <c:v>-143</c:v>
                </c:pt>
                <c:pt idx="286">
                  <c:v>-143</c:v>
                </c:pt>
                <c:pt idx="287">
                  <c:v>-143</c:v>
                </c:pt>
                <c:pt idx="288">
                  <c:v>-143</c:v>
                </c:pt>
                <c:pt idx="289">
                  <c:v>-143</c:v>
                </c:pt>
                <c:pt idx="290">
                  <c:v>-143</c:v>
                </c:pt>
                <c:pt idx="291">
                  <c:v>-143</c:v>
                </c:pt>
                <c:pt idx="292">
                  <c:v>-143</c:v>
                </c:pt>
                <c:pt idx="293">
                  <c:v>-143</c:v>
                </c:pt>
                <c:pt idx="294">
                  <c:v>-143</c:v>
                </c:pt>
                <c:pt idx="295">
                  <c:v>-143</c:v>
                </c:pt>
                <c:pt idx="296">
                  <c:v>-143</c:v>
                </c:pt>
                <c:pt idx="297">
                  <c:v>-143</c:v>
                </c:pt>
                <c:pt idx="298">
                  <c:v>-143</c:v>
                </c:pt>
                <c:pt idx="299">
                  <c:v>-143</c:v>
                </c:pt>
                <c:pt idx="300">
                  <c:v>-143</c:v>
                </c:pt>
                <c:pt idx="301">
                  <c:v>-143</c:v>
                </c:pt>
              </c:numCache>
            </c:numRef>
          </c:yVal>
          <c:smooth val="0"/>
          <c:extLst>
            <c:ext xmlns:c16="http://schemas.microsoft.com/office/drawing/2014/chart" uri="{C3380CC4-5D6E-409C-BE32-E72D297353CC}">
              <c16:uniqueId val="{00000000-5147-4746-8AAD-9F2CC2D06A62}"/>
            </c:ext>
          </c:extLst>
        </c:ser>
        <c:dLbls>
          <c:showLegendKey val="0"/>
          <c:showVal val="0"/>
          <c:showCatName val="0"/>
          <c:showSerName val="0"/>
          <c:showPercent val="0"/>
          <c:showBubbleSize val="0"/>
        </c:dLbls>
        <c:axId val="102021951"/>
        <c:axId val="102023391"/>
      </c:scatterChart>
      <c:valAx>
        <c:axId val="102021951"/>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23391"/>
        <c:crosses val="autoZero"/>
        <c:crossBetween val="midCat"/>
      </c:valAx>
      <c:valAx>
        <c:axId val="102023391"/>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219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'COVERED PUT'!$K$4</c:f>
              <c:strCache>
                <c:ptCount val="1"/>
                <c:pt idx="0">
                  <c:v>P&amp;L</c:v>
                </c:pt>
              </c:strCache>
            </c:strRef>
          </c:tx>
          <c:spPr>
            <a:ln w="19050" cap="rnd">
              <a:noFill/>
              <a:round/>
            </a:ln>
            <a:effectLst/>
          </c:spPr>
          <c:marker>
            <c:symbol val="circle"/>
            <c:size val="5"/>
            <c:spPr>
              <a:solidFill>
                <a:schemeClr val="accent1"/>
              </a:solidFill>
              <a:ln w="9525">
                <a:solidFill>
                  <a:schemeClr val="accent1"/>
                </a:solidFill>
              </a:ln>
              <a:effectLst/>
            </c:spPr>
          </c:marker>
          <c:xVal>
            <c:numRef>
              <c:f>'COVERED PUT'!$H$5:$H$212</c:f>
              <c:numCache>
                <c:formatCode>#,##0.00;\(#,##0.00\)</c:formatCode>
                <c:ptCount val="208"/>
                <c:pt idx="0">
                  <c:v>3500</c:v>
                </c:pt>
                <c:pt idx="1">
                  <c:v>3510</c:v>
                </c:pt>
                <c:pt idx="2">
                  <c:v>3520</c:v>
                </c:pt>
                <c:pt idx="3">
                  <c:v>3530</c:v>
                </c:pt>
                <c:pt idx="4">
                  <c:v>3540</c:v>
                </c:pt>
                <c:pt idx="5">
                  <c:v>3550</c:v>
                </c:pt>
                <c:pt idx="6">
                  <c:v>3560</c:v>
                </c:pt>
                <c:pt idx="7">
                  <c:v>3570</c:v>
                </c:pt>
                <c:pt idx="8">
                  <c:v>3580</c:v>
                </c:pt>
                <c:pt idx="9">
                  <c:v>3590</c:v>
                </c:pt>
                <c:pt idx="10">
                  <c:v>3600</c:v>
                </c:pt>
                <c:pt idx="11">
                  <c:v>3610</c:v>
                </c:pt>
                <c:pt idx="12">
                  <c:v>3620</c:v>
                </c:pt>
                <c:pt idx="13">
                  <c:v>3630</c:v>
                </c:pt>
                <c:pt idx="14">
                  <c:v>3640</c:v>
                </c:pt>
                <c:pt idx="15">
                  <c:v>3650</c:v>
                </c:pt>
                <c:pt idx="16">
                  <c:v>3660</c:v>
                </c:pt>
                <c:pt idx="17">
                  <c:v>3670</c:v>
                </c:pt>
                <c:pt idx="18">
                  <c:v>3680</c:v>
                </c:pt>
                <c:pt idx="19">
                  <c:v>3690</c:v>
                </c:pt>
                <c:pt idx="20">
                  <c:v>3700</c:v>
                </c:pt>
                <c:pt idx="21">
                  <c:v>3710</c:v>
                </c:pt>
                <c:pt idx="22">
                  <c:v>3720</c:v>
                </c:pt>
                <c:pt idx="23">
                  <c:v>3730</c:v>
                </c:pt>
                <c:pt idx="24">
                  <c:v>3740</c:v>
                </c:pt>
                <c:pt idx="25">
                  <c:v>3750</c:v>
                </c:pt>
                <c:pt idx="26">
                  <c:v>3760</c:v>
                </c:pt>
                <c:pt idx="27">
                  <c:v>3770</c:v>
                </c:pt>
                <c:pt idx="28">
                  <c:v>3780</c:v>
                </c:pt>
                <c:pt idx="29">
                  <c:v>3790</c:v>
                </c:pt>
                <c:pt idx="30">
                  <c:v>3800</c:v>
                </c:pt>
                <c:pt idx="31">
                  <c:v>3810</c:v>
                </c:pt>
                <c:pt idx="32">
                  <c:v>3820</c:v>
                </c:pt>
                <c:pt idx="33">
                  <c:v>3830</c:v>
                </c:pt>
                <c:pt idx="34">
                  <c:v>3840</c:v>
                </c:pt>
                <c:pt idx="35">
                  <c:v>3850</c:v>
                </c:pt>
                <c:pt idx="36">
                  <c:v>3860</c:v>
                </c:pt>
                <c:pt idx="37">
                  <c:v>3870</c:v>
                </c:pt>
                <c:pt idx="38">
                  <c:v>3880</c:v>
                </c:pt>
                <c:pt idx="39">
                  <c:v>3890</c:v>
                </c:pt>
                <c:pt idx="40">
                  <c:v>3900</c:v>
                </c:pt>
                <c:pt idx="41">
                  <c:v>3910</c:v>
                </c:pt>
                <c:pt idx="42">
                  <c:v>3920</c:v>
                </c:pt>
                <c:pt idx="43">
                  <c:v>3930</c:v>
                </c:pt>
                <c:pt idx="44">
                  <c:v>3940</c:v>
                </c:pt>
                <c:pt idx="45">
                  <c:v>3950</c:v>
                </c:pt>
                <c:pt idx="46">
                  <c:v>3960</c:v>
                </c:pt>
                <c:pt idx="47">
                  <c:v>3970</c:v>
                </c:pt>
                <c:pt idx="48">
                  <c:v>3980</c:v>
                </c:pt>
                <c:pt idx="49">
                  <c:v>3990</c:v>
                </c:pt>
                <c:pt idx="50">
                  <c:v>4000</c:v>
                </c:pt>
                <c:pt idx="51">
                  <c:v>4010</c:v>
                </c:pt>
                <c:pt idx="52">
                  <c:v>4020</c:v>
                </c:pt>
                <c:pt idx="53">
                  <c:v>4030</c:v>
                </c:pt>
                <c:pt idx="54">
                  <c:v>4040</c:v>
                </c:pt>
                <c:pt idx="55">
                  <c:v>4050</c:v>
                </c:pt>
                <c:pt idx="56">
                  <c:v>4060</c:v>
                </c:pt>
                <c:pt idx="57">
                  <c:v>4070</c:v>
                </c:pt>
                <c:pt idx="58">
                  <c:v>4080</c:v>
                </c:pt>
                <c:pt idx="59">
                  <c:v>4090</c:v>
                </c:pt>
                <c:pt idx="60">
                  <c:v>4100</c:v>
                </c:pt>
                <c:pt idx="61">
                  <c:v>4110</c:v>
                </c:pt>
                <c:pt idx="62">
                  <c:v>4120</c:v>
                </c:pt>
                <c:pt idx="63">
                  <c:v>4130</c:v>
                </c:pt>
                <c:pt idx="64">
                  <c:v>4140</c:v>
                </c:pt>
                <c:pt idx="65">
                  <c:v>4150</c:v>
                </c:pt>
                <c:pt idx="66">
                  <c:v>4160</c:v>
                </c:pt>
                <c:pt idx="67">
                  <c:v>4170</c:v>
                </c:pt>
                <c:pt idx="68">
                  <c:v>4180</c:v>
                </c:pt>
                <c:pt idx="69">
                  <c:v>4190</c:v>
                </c:pt>
                <c:pt idx="70">
                  <c:v>4200</c:v>
                </c:pt>
                <c:pt idx="71">
                  <c:v>4210</c:v>
                </c:pt>
                <c:pt idx="72">
                  <c:v>4220</c:v>
                </c:pt>
                <c:pt idx="73">
                  <c:v>4230</c:v>
                </c:pt>
                <c:pt idx="74">
                  <c:v>4240</c:v>
                </c:pt>
                <c:pt idx="75">
                  <c:v>4250</c:v>
                </c:pt>
                <c:pt idx="76">
                  <c:v>4260</c:v>
                </c:pt>
                <c:pt idx="77">
                  <c:v>4270</c:v>
                </c:pt>
                <c:pt idx="78">
                  <c:v>4280</c:v>
                </c:pt>
                <c:pt idx="79">
                  <c:v>4290</c:v>
                </c:pt>
                <c:pt idx="80">
                  <c:v>4300</c:v>
                </c:pt>
                <c:pt idx="81">
                  <c:v>4310</c:v>
                </c:pt>
                <c:pt idx="82">
                  <c:v>4320</c:v>
                </c:pt>
                <c:pt idx="83">
                  <c:v>4330</c:v>
                </c:pt>
                <c:pt idx="84">
                  <c:v>4340</c:v>
                </c:pt>
                <c:pt idx="85">
                  <c:v>4350</c:v>
                </c:pt>
                <c:pt idx="86">
                  <c:v>4360</c:v>
                </c:pt>
                <c:pt idx="87">
                  <c:v>4370</c:v>
                </c:pt>
                <c:pt idx="88">
                  <c:v>4380</c:v>
                </c:pt>
                <c:pt idx="89">
                  <c:v>4390</c:v>
                </c:pt>
                <c:pt idx="90">
                  <c:v>4400</c:v>
                </c:pt>
                <c:pt idx="91">
                  <c:v>4410</c:v>
                </c:pt>
                <c:pt idx="92">
                  <c:v>4420</c:v>
                </c:pt>
                <c:pt idx="93">
                  <c:v>4430</c:v>
                </c:pt>
                <c:pt idx="94">
                  <c:v>4440</c:v>
                </c:pt>
                <c:pt idx="95">
                  <c:v>4450</c:v>
                </c:pt>
                <c:pt idx="96">
                  <c:v>4460</c:v>
                </c:pt>
                <c:pt idx="97">
                  <c:v>4470</c:v>
                </c:pt>
                <c:pt idx="98">
                  <c:v>4480</c:v>
                </c:pt>
                <c:pt idx="99">
                  <c:v>4490</c:v>
                </c:pt>
                <c:pt idx="100">
                  <c:v>4500</c:v>
                </c:pt>
                <c:pt idx="101">
                  <c:v>4510</c:v>
                </c:pt>
                <c:pt idx="102">
                  <c:v>4520</c:v>
                </c:pt>
                <c:pt idx="103">
                  <c:v>4524</c:v>
                </c:pt>
                <c:pt idx="104">
                  <c:v>4530</c:v>
                </c:pt>
                <c:pt idx="105">
                  <c:v>4540</c:v>
                </c:pt>
                <c:pt idx="106">
                  <c:v>4550</c:v>
                </c:pt>
                <c:pt idx="107">
                  <c:v>4560</c:v>
                </c:pt>
                <c:pt idx="108">
                  <c:v>4570</c:v>
                </c:pt>
                <c:pt idx="109">
                  <c:v>4580</c:v>
                </c:pt>
                <c:pt idx="110">
                  <c:v>4590</c:v>
                </c:pt>
                <c:pt idx="111">
                  <c:v>4600</c:v>
                </c:pt>
                <c:pt idx="112">
                  <c:v>4610</c:v>
                </c:pt>
                <c:pt idx="113">
                  <c:v>4620</c:v>
                </c:pt>
                <c:pt idx="114">
                  <c:v>4630</c:v>
                </c:pt>
                <c:pt idx="115">
                  <c:v>4640</c:v>
                </c:pt>
                <c:pt idx="116">
                  <c:v>4650</c:v>
                </c:pt>
                <c:pt idx="117">
                  <c:v>4660</c:v>
                </c:pt>
                <c:pt idx="118">
                  <c:v>4670</c:v>
                </c:pt>
                <c:pt idx="119">
                  <c:v>4680</c:v>
                </c:pt>
                <c:pt idx="120">
                  <c:v>4690</c:v>
                </c:pt>
                <c:pt idx="121">
                  <c:v>4700</c:v>
                </c:pt>
                <c:pt idx="122">
                  <c:v>4710</c:v>
                </c:pt>
                <c:pt idx="123">
                  <c:v>4720</c:v>
                </c:pt>
                <c:pt idx="124">
                  <c:v>4730</c:v>
                </c:pt>
                <c:pt idx="125">
                  <c:v>4740</c:v>
                </c:pt>
                <c:pt idx="126">
                  <c:v>4750</c:v>
                </c:pt>
                <c:pt idx="127">
                  <c:v>4760</c:v>
                </c:pt>
                <c:pt idx="128">
                  <c:v>4770</c:v>
                </c:pt>
                <c:pt idx="129">
                  <c:v>4780</c:v>
                </c:pt>
                <c:pt idx="130">
                  <c:v>4790</c:v>
                </c:pt>
                <c:pt idx="131">
                  <c:v>4800</c:v>
                </c:pt>
                <c:pt idx="132">
                  <c:v>4810</c:v>
                </c:pt>
                <c:pt idx="133">
                  <c:v>4820</c:v>
                </c:pt>
                <c:pt idx="134">
                  <c:v>4830</c:v>
                </c:pt>
                <c:pt idx="135">
                  <c:v>4840</c:v>
                </c:pt>
                <c:pt idx="136">
                  <c:v>4850</c:v>
                </c:pt>
                <c:pt idx="137">
                  <c:v>4860</c:v>
                </c:pt>
                <c:pt idx="138">
                  <c:v>4870</c:v>
                </c:pt>
                <c:pt idx="139">
                  <c:v>4880</c:v>
                </c:pt>
                <c:pt idx="140">
                  <c:v>4890</c:v>
                </c:pt>
                <c:pt idx="141">
                  <c:v>4900</c:v>
                </c:pt>
                <c:pt idx="142">
                  <c:v>4910</c:v>
                </c:pt>
                <c:pt idx="143">
                  <c:v>4920</c:v>
                </c:pt>
                <c:pt idx="144">
                  <c:v>4930</c:v>
                </c:pt>
                <c:pt idx="145">
                  <c:v>4940</c:v>
                </c:pt>
                <c:pt idx="146">
                  <c:v>4950</c:v>
                </c:pt>
                <c:pt idx="147">
                  <c:v>4960</c:v>
                </c:pt>
                <c:pt idx="148">
                  <c:v>4970</c:v>
                </c:pt>
                <c:pt idx="149">
                  <c:v>4980</c:v>
                </c:pt>
                <c:pt idx="150">
                  <c:v>4990</c:v>
                </c:pt>
                <c:pt idx="151">
                  <c:v>5000</c:v>
                </c:pt>
                <c:pt idx="152">
                  <c:v>5010</c:v>
                </c:pt>
                <c:pt idx="153">
                  <c:v>5020</c:v>
                </c:pt>
                <c:pt idx="154">
                  <c:v>5030</c:v>
                </c:pt>
                <c:pt idx="155">
                  <c:v>5040</c:v>
                </c:pt>
                <c:pt idx="156">
                  <c:v>5050</c:v>
                </c:pt>
                <c:pt idx="157">
                  <c:v>5060</c:v>
                </c:pt>
                <c:pt idx="158">
                  <c:v>5070</c:v>
                </c:pt>
                <c:pt idx="159">
                  <c:v>5080</c:v>
                </c:pt>
                <c:pt idx="160">
                  <c:v>5090</c:v>
                </c:pt>
                <c:pt idx="161">
                  <c:v>5100</c:v>
                </c:pt>
                <c:pt idx="162">
                  <c:v>5110</c:v>
                </c:pt>
                <c:pt idx="163">
                  <c:v>5120</c:v>
                </c:pt>
                <c:pt idx="164">
                  <c:v>5130</c:v>
                </c:pt>
                <c:pt idx="165">
                  <c:v>5140</c:v>
                </c:pt>
                <c:pt idx="166">
                  <c:v>5150</c:v>
                </c:pt>
                <c:pt idx="167">
                  <c:v>5160</c:v>
                </c:pt>
                <c:pt idx="168">
                  <c:v>5170</c:v>
                </c:pt>
                <c:pt idx="169">
                  <c:v>5180</c:v>
                </c:pt>
                <c:pt idx="170">
                  <c:v>5190</c:v>
                </c:pt>
                <c:pt idx="171">
                  <c:v>5200</c:v>
                </c:pt>
                <c:pt idx="172">
                  <c:v>5210</c:v>
                </c:pt>
                <c:pt idx="173">
                  <c:v>5220</c:v>
                </c:pt>
                <c:pt idx="174">
                  <c:v>5230</c:v>
                </c:pt>
                <c:pt idx="175">
                  <c:v>5240</c:v>
                </c:pt>
                <c:pt idx="176">
                  <c:v>5250</c:v>
                </c:pt>
                <c:pt idx="177">
                  <c:v>5260</c:v>
                </c:pt>
                <c:pt idx="178">
                  <c:v>5270</c:v>
                </c:pt>
                <c:pt idx="179">
                  <c:v>5280</c:v>
                </c:pt>
                <c:pt idx="180">
                  <c:v>5290</c:v>
                </c:pt>
                <c:pt idx="181">
                  <c:v>5300</c:v>
                </c:pt>
                <c:pt idx="182">
                  <c:v>5310</c:v>
                </c:pt>
                <c:pt idx="183">
                  <c:v>5320</c:v>
                </c:pt>
                <c:pt idx="184">
                  <c:v>5330</c:v>
                </c:pt>
                <c:pt idx="185">
                  <c:v>5340</c:v>
                </c:pt>
                <c:pt idx="186">
                  <c:v>5350</c:v>
                </c:pt>
                <c:pt idx="187">
                  <c:v>5360</c:v>
                </c:pt>
                <c:pt idx="188">
                  <c:v>5370</c:v>
                </c:pt>
                <c:pt idx="189">
                  <c:v>5380</c:v>
                </c:pt>
                <c:pt idx="190">
                  <c:v>5390</c:v>
                </c:pt>
                <c:pt idx="191">
                  <c:v>5400</c:v>
                </c:pt>
                <c:pt idx="192">
                  <c:v>5410</c:v>
                </c:pt>
                <c:pt idx="193">
                  <c:v>5420</c:v>
                </c:pt>
                <c:pt idx="194">
                  <c:v>5430</c:v>
                </c:pt>
                <c:pt idx="195">
                  <c:v>5440</c:v>
                </c:pt>
                <c:pt idx="196">
                  <c:v>5450</c:v>
                </c:pt>
                <c:pt idx="197">
                  <c:v>5460</c:v>
                </c:pt>
                <c:pt idx="198">
                  <c:v>5470</c:v>
                </c:pt>
                <c:pt idx="199">
                  <c:v>5480</c:v>
                </c:pt>
                <c:pt idx="200">
                  <c:v>5490</c:v>
                </c:pt>
                <c:pt idx="201">
                  <c:v>5500</c:v>
                </c:pt>
                <c:pt idx="202">
                  <c:v>5510</c:v>
                </c:pt>
                <c:pt idx="203">
                  <c:v>5520</c:v>
                </c:pt>
                <c:pt idx="204">
                  <c:v>5530</c:v>
                </c:pt>
                <c:pt idx="205">
                  <c:v>5540</c:v>
                </c:pt>
                <c:pt idx="206">
                  <c:v>5550</c:v>
                </c:pt>
                <c:pt idx="207">
                  <c:v>5560</c:v>
                </c:pt>
              </c:numCache>
            </c:numRef>
          </c:xVal>
          <c:yVal>
            <c:numRef>
              <c:f>'COVERED PUT'!$K$5:$K$212</c:f>
              <c:numCache>
                <c:formatCode>#,##0.00;\(#,##0.00\)</c:formatCode>
                <c:ptCount val="208"/>
                <c:pt idx="0">
                  <c:v>224</c:v>
                </c:pt>
                <c:pt idx="1">
                  <c:v>224</c:v>
                </c:pt>
                <c:pt idx="2">
                  <c:v>224</c:v>
                </c:pt>
                <c:pt idx="3">
                  <c:v>224</c:v>
                </c:pt>
                <c:pt idx="4">
                  <c:v>224</c:v>
                </c:pt>
                <c:pt idx="5">
                  <c:v>224</c:v>
                </c:pt>
                <c:pt idx="6">
                  <c:v>224</c:v>
                </c:pt>
                <c:pt idx="7">
                  <c:v>224</c:v>
                </c:pt>
                <c:pt idx="8">
                  <c:v>224</c:v>
                </c:pt>
                <c:pt idx="9">
                  <c:v>224</c:v>
                </c:pt>
                <c:pt idx="10">
                  <c:v>224</c:v>
                </c:pt>
                <c:pt idx="11">
                  <c:v>224</c:v>
                </c:pt>
                <c:pt idx="12">
                  <c:v>224</c:v>
                </c:pt>
                <c:pt idx="13">
                  <c:v>224</c:v>
                </c:pt>
                <c:pt idx="14">
                  <c:v>224</c:v>
                </c:pt>
                <c:pt idx="15">
                  <c:v>224</c:v>
                </c:pt>
                <c:pt idx="16">
                  <c:v>224</c:v>
                </c:pt>
                <c:pt idx="17">
                  <c:v>224</c:v>
                </c:pt>
                <c:pt idx="18">
                  <c:v>224</c:v>
                </c:pt>
                <c:pt idx="19">
                  <c:v>224</c:v>
                </c:pt>
                <c:pt idx="20">
                  <c:v>224</c:v>
                </c:pt>
                <c:pt idx="21">
                  <c:v>224</c:v>
                </c:pt>
                <c:pt idx="22">
                  <c:v>224</c:v>
                </c:pt>
                <c:pt idx="23">
                  <c:v>224</c:v>
                </c:pt>
                <c:pt idx="24">
                  <c:v>224</c:v>
                </c:pt>
                <c:pt idx="25">
                  <c:v>224</c:v>
                </c:pt>
                <c:pt idx="26">
                  <c:v>224</c:v>
                </c:pt>
                <c:pt idx="27">
                  <c:v>224</c:v>
                </c:pt>
                <c:pt idx="28">
                  <c:v>224</c:v>
                </c:pt>
                <c:pt idx="29">
                  <c:v>224</c:v>
                </c:pt>
                <c:pt idx="30">
                  <c:v>224</c:v>
                </c:pt>
                <c:pt idx="31">
                  <c:v>224</c:v>
                </c:pt>
                <c:pt idx="32">
                  <c:v>224</c:v>
                </c:pt>
                <c:pt idx="33">
                  <c:v>224</c:v>
                </c:pt>
                <c:pt idx="34">
                  <c:v>224</c:v>
                </c:pt>
                <c:pt idx="35">
                  <c:v>224</c:v>
                </c:pt>
                <c:pt idx="36">
                  <c:v>224</c:v>
                </c:pt>
                <c:pt idx="37">
                  <c:v>224</c:v>
                </c:pt>
                <c:pt idx="38">
                  <c:v>224</c:v>
                </c:pt>
                <c:pt idx="39">
                  <c:v>224</c:v>
                </c:pt>
                <c:pt idx="40">
                  <c:v>224</c:v>
                </c:pt>
                <c:pt idx="41">
                  <c:v>224</c:v>
                </c:pt>
                <c:pt idx="42">
                  <c:v>224</c:v>
                </c:pt>
                <c:pt idx="43">
                  <c:v>224</c:v>
                </c:pt>
                <c:pt idx="44">
                  <c:v>224</c:v>
                </c:pt>
                <c:pt idx="45">
                  <c:v>224</c:v>
                </c:pt>
                <c:pt idx="46">
                  <c:v>224</c:v>
                </c:pt>
                <c:pt idx="47">
                  <c:v>224</c:v>
                </c:pt>
                <c:pt idx="48">
                  <c:v>224</c:v>
                </c:pt>
                <c:pt idx="49">
                  <c:v>224</c:v>
                </c:pt>
                <c:pt idx="50">
                  <c:v>224</c:v>
                </c:pt>
                <c:pt idx="51">
                  <c:v>224</c:v>
                </c:pt>
                <c:pt idx="52">
                  <c:v>224</c:v>
                </c:pt>
                <c:pt idx="53">
                  <c:v>224</c:v>
                </c:pt>
                <c:pt idx="54">
                  <c:v>224</c:v>
                </c:pt>
                <c:pt idx="55">
                  <c:v>224</c:v>
                </c:pt>
                <c:pt idx="56">
                  <c:v>224</c:v>
                </c:pt>
                <c:pt idx="57">
                  <c:v>224</c:v>
                </c:pt>
                <c:pt idx="58">
                  <c:v>224</c:v>
                </c:pt>
                <c:pt idx="59">
                  <c:v>224</c:v>
                </c:pt>
                <c:pt idx="60">
                  <c:v>224</c:v>
                </c:pt>
                <c:pt idx="61">
                  <c:v>224</c:v>
                </c:pt>
                <c:pt idx="62">
                  <c:v>224</c:v>
                </c:pt>
                <c:pt idx="63">
                  <c:v>224</c:v>
                </c:pt>
                <c:pt idx="64">
                  <c:v>224</c:v>
                </c:pt>
                <c:pt idx="65">
                  <c:v>224</c:v>
                </c:pt>
                <c:pt idx="66">
                  <c:v>224</c:v>
                </c:pt>
                <c:pt idx="67">
                  <c:v>224</c:v>
                </c:pt>
                <c:pt idx="68">
                  <c:v>224</c:v>
                </c:pt>
                <c:pt idx="69">
                  <c:v>224</c:v>
                </c:pt>
                <c:pt idx="70">
                  <c:v>224</c:v>
                </c:pt>
                <c:pt idx="71">
                  <c:v>224</c:v>
                </c:pt>
                <c:pt idx="72">
                  <c:v>224</c:v>
                </c:pt>
                <c:pt idx="73">
                  <c:v>224</c:v>
                </c:pt>
                <c:pt idx="74">
                  <c:v>224</c:v>
                </c:pt>
                <c:pt idx="75">
                  <c:v>224</c:v>
                </c:pt>
                <c:pt idx="76">
                  <c:v>224</c:v>
                </c:pt>
                <c:pt idx="77">
                  <c:v>224</c:v>
                </c:pt>
                <c:pt idx="78">
                  <c:v>224</c:v>
                </c:pt>
                <c:pt idx="79">
                  <c:v>224</c:v>
                </c:pt>
                <c:pt idx="80">
                  <c:v>224</c:v>
                </c:pt>
                <c:pt idx="81">
                  <c:v>214</c:v>
                </c:pt>
                <c:pt idx="82">
                  <c:v>204</c:v>
                </c:pt>
                <c:pt idx="83">
                  <c:v>194</c:v>
                </c:pt>
                <c:pt idx="84">
                  <c:v>184</c:v>
                </c:pt>
                <c:pt idx="85">
                  <c:v>174</c:v>
                </c:pt>
                <c:pt idx="86">
                  <c:v>164</c:v>
                </c:pt>
                <c:pt idx="87">
                  <c:v>154</c:v>
                </c:pt>
                <c:pt idx="88">
                  <c:v>144</c:v>
                </c:pt>
                <c:pt idx="89">
                  <c:v>134</c:v>
                </c:pt>
                <c:pt idx="90">
                  <c:v>124</c:v>
                </c:pt>
                <c:pt idx="91">
                  <c:v>114</c:v>
                </c:pt>
                <c:pt idx="92">
                  <c:v>104</c:v>
                </c:pt>
                <c:pt idx="93">
                  <c:v>94</c:v>
                </c:pt>
                <c:pt idx="94">
                  <c:v>84</c:v>
                </c:pt>
                <c:pt idx="95">
                  <c:v>74</c:v>
                </c:pt>
                <c:pt idx="96">
                  <c:v>64</c:v>
                </c:pt>
                <c:pt idx="97">
                  <c:v>54</c:v>
                </c:pt>
                <c:pt idx="98">
                  <c:v>44</c:v>
                </c:pt>
                <c:pt idx="99">
                  <c:v>34</c:v>
                </c:pt>
                <c:pt idx="100">
                  <c:v>24</c:v>
                </c:pt>
                <c:pt idx="101">
                  <c:v>14</c:v>
                </c:pt>
                <c:pt idx="102">
                  <c:v>4</c:v>
                </c:pt>
                <c:pt idx="103">
                  <c:v>0</c:v>
                </c:pt>
                <c:pt idx="104">
                  <c:v>-6</c:v>
                </c:pt>
                <c:pt idx="105">
                  <c:v>-16</c:v>
                </c:pt>
                <c:pt idx="106">
                  <c:v>-26</c:v>
                </c:pt>
                <c:pt idx="107">
                  <c:v>-36</c:v>
                </c:pt>
                <c:pt idx="108">
                  <c:v>-46</c:v>
                </c:pt>
                <c:pt idx="109">
                  <c:v>-56</c:v>
                </c:pt>
                <c:pt idx="110">
                  <c:v>-66</c:v>
                </c:pt>
                <c:pt idx="111">
                  <c:v>-76</c:v>
                </c:pt>
                <c:pt idx="112">
                  <c:v>-86</c:v>
                </c:pt>
                <c:pt idx="113">
                  <c:v>-96</c:v>
                </c:pt>
                <c:pt idx="114">
                  <c:v>-106</c:v>
                </c:pt>
                <c:pt idx="115">
                  <c:v>-116</c:v>
                </c:pt>
                <c:pt idx="116">
                  <c:v>-126</c:v>
                </c:pt>
                <c:pt idx="117">
                  <c:v>-136</c:v>
                </c:pt>
                <c:pt idx="118">
                  <c:v>-146</c:v>
                </c:pt>
                <c:pt idx="119">
                  <c:v>-156</c:v>
                </c:pt>
                <c:pt idx="120">
                  <c:v>-166</c:v>
                </c:pt>
                <c:pt idx="121">
                  <c:v>-176</c:v>
                </c:pt>
                <c:pt idx="122">
                  <c:v>-186</c:v>
                </c:pt>
                <c:pt idx="123">
                  <c:v>-196</c:v>
                </c:pt>
                <c:pt idx="124">
                  <c:v>-206</c:v>
                </c:pt>
                <c:pt idx="125">
                  <c:v>-216</c:v>
                </c:pt>
                <c:pt idx="126">
                  <c:v>-226</c:v>
                </c:pt>
                <c:pt idx="127">
                  <c:v>-236</c:v>
                </c:pt>
                <c:pt idx="128">
                  <c:v>-246</c:v>
                </c:pt>
                <c:pt idx="129">
                  <c:v>-256</c:v>
                </c:pt>
                <c:pt idx="130">
                  <c:v>-266</c:v>
                </c:pt>
                <c:pt idx="131">
                  <c:v>-276</c:v>
                </c:pt>
                <c:pt idx="132">
                  <c:v>-286</c:v>
                </c:pt>
                <c:pt idx="133">
                  <c:v>-296</c:v>
                </c:pt>
                <c:pt idx="134">
                  <c:v>-306</c:v>
                </c:pt>
                <c:pt idx="135">
                  <c:v>-316</c:v>
                </c:pt>
                <c:pt idx="136">
                  <c:v>-326</c:v>
                </c:pt>
                <c:pt idx="137">
                  <c:v>-336</c:v>
                </c:pt>
                <c:pt idx="138">
                  <c:v>-346</c:v>
                </c:pt>
                <c:pt idx="139">
                  <c:v>-356</c:v>
                </c:pt>
                <c:pt idx="140">
                  <c:v>-366</c:v>
                </c:pt>
                <c:pt idx="141">
                  <c:v>-376</c:v>
                </c:pt>
                <c:pt idx="142">
                  <c:v>-386</c:v>
                </c:pt>
                <c:pt idx="143">
                  <c:v>-396</c:v>
                </c:pt>
                <c:pt idx="144">
                  <c:v>-406</c:v>
                </c:pt>
                <c:pt idx="145">
                  <c:v>-416</c:v>
                </c:pt>
                <c:pt idx="146">
                  <c:v>-426</c:v>
                </c:pt>
                <c:pt idx="147">
                  <c:v>-436</c:v>
                </c:pt>
                <c:pt idx="148">
                  <c:v>-446</c:v>
                </c:pt>
                <c:pt idx="149">
                  <c:v>-456</c:v>
                </c:pt>
                <c:pt idx="150">
                  <c:v>-466</c:v>
                </c:pt>
                <c:pt idx="151">
                  <c:v>-476</c:v>
                </c:pt>
                <c:pt idx="152">
                  <c:v>-486</c:v>
                </c:pt>
                <c:pt idx="153">
                  <c:v>-496</c:v>
                </c:pt>
                <c:pt idx="154">
                  <c:v>-506</c:v>
                </c:pt>
                <c:pt idx="155">
                  <c:v>-516</c:v>
                </c:pt>
                <c:pt idx="156">
                  <c:v>-526</c:v>
                </c:pt>
                <c:pt idx="157">
                  <c:v>-536</c:v>
                </c:pt>
                <c:pt idx="158">
                  <c:v>-546</c:v>
                </c:pt>
                <c:pt idx="159">
                  <c:v>-556</c:v>
                </c:pt>
                <c:pt idx="160">
                  <c:v>-566</c:v>
                </c:pt>
                <c:pt idx="161">
                  <c:v>-576</c:v>
                </c:pt>
                <c:pt idx="162">
                  <c:v>-586</c:v>
                </c:pt>
                <c:pt idx="163">
                  <c:v>-596</c:v>
                </c:pt>
                <c:pt idx="164">
                  <c:v>-606</c:v>
                </c:pt>
                <c:pt idx="165">
                  <c:v>-616</c:v>
                </c:pt>
                <c:pt idx="166">
                  <c:v>-626</c:v>
                </c:pt>
                <c:pt idx="167">
                  <c:v>-636</c:v>
                </c:pt>
                <c:pt idx="168">
                  <c:v>-646</c:v>
                </c:pt>
                <c:pt idx="169">
                  <c:v>-656</c:v>
                </c:pt>
                <c:pt idx="170">
                  <c:v>-666</c:v>
                </c:pt>
                <c:pt idx="171">
                  <c:v>-676</c:v>
                </c:pt>
                <c:pt idx="172">
                  <c:v>-686</c:v>
                </c:pt>
                <c:pt idx="173">
                  <c:v>-696</c:v>
                </c:pt>
                <c:pt idx="174">
                  <c:v>-706</c:v>
                </c:pt>
                <c:pt idx="175">
                  <c:v>-716</c:v>
                </c:pt>
                <c:pt idx="176">
                  <c:v>-726</c:v>
                </c:pt>
                <c:pt idx="177">
                  <c:v>-736</c:v>
                </c:pt>
                <c:pt idx="178">
                  <c:v>-746</c:v>
                </c:pt>
                <c:pt idx="179">
                  <c:v>-756</c:v>
                </c:pt>
                <c:pt idx="180">
                  <c:v>-766</c:v>
                </c:pt>
                <c:pt idx="181">
                  <c:v>-776</c:v>
                </c:pt>
                <c:pt idx="182">
                  <c:v>-786</c:v>
                </c:pt>
                <c:pt idx="183">
                  <c:v>-796</c:v>
                </c:pt>
                <c:pt idx="184">
                  <c:v>-806</c:v>
                </c:pt>
                <c:pt idx="185">
                  <c:v>-816</c:v>
                </c:pt>
                <c:pt idx="186">
                  <c:v>-826</c:v>
                </c:pt>
                <c:pt idx="187">
                  <c:v>-836</c:v>
                </c:pt>
                <c:pt idx="188">
                  <c:v>-846</c:v>
                </c:pt>
                <c:pt idx="189">
                  <c:v>-856</c:v>
                </c:pt>
                <c:pt idx="190">
                  <c:v>-866</c:v>
                </c:pt>
                <c:pt idx="191">
                  <c:v>-876</c:v>
                </c:pt>
                <c:pt idx="192">
                  <c:v>-886</c:v>
                </c:pt>
                <c:pt idx="193">
                  <c:v>-896</c:v>
                </c:pt>
                <c:pt idx="194">
                  <c:v>-906</c:v>
                </c:pt>
                <c:pt idx="195">
                  <c:v>-916</c:v>
                </c:pt>
                <c:pt idx="196">
                  <c:v>-926</c:v>
                </c:pt>
                <c:pt idx="197">
                  <c:v>-936</c:v>
                </c:pt>
                <c:pt idx="198">
                  <c:v>-946</c:v>
                </c:pt>
                <c:pt idx="199">
                  <c:v>-956</c:v>
                </c:pt>
                <c:pt idx="200">
                  <c:v>-966</c:v>
                </c:pt>
                <c:pt idx="201">
                  <c:v>-976</c:v>
                </c:pt>
                <c:pt idx="202">
                  <c:v>-986</c:v>
                </c:pt>
                <c:pt idx="203">
                  <c:v>-996</c:v>
                </c:pt>
                <c:pt idx="204">
                  <c:v>-1006</c:v>
                </c:pt>
                <c:pt idx="205">
                  <c:v>-1016</c:v>
                </c:pt>
                <c:pt idx="206">
                  <c:v>-1026</c:v>
                </c:pt>
                <c:pt idx="207">
                  <c:v>-1036</c:v>
                </c:pt>
              </c:numCache>
            </c:numRef>
          </c:yVal>
          <c:smooth val="0"/>
          <c:extLst>
            <c:ext xmlns:c16="http://schemas.microsoft.com/office/drawing/2014/chart" uri="{C3380CC4-5D6E-409C-BE32-E72D297353CC}">
              <c16:uniqueId val="{00000000-539C-42A3-A6C2-A8A404E3E957}"/>
            </c:ext>
          </c:extLst>
        </c:ser>
        <c:dLbls>
          <c:showLegendKey val="0"/>
          <c:showVal val="0"/>
          <c:showCatName val="0"/>
          <c:showSerName val="0"/>
          <c:showPercent val="0"/>
          <c:showBubbleSize val="0"/>
        </c:dLbls>
        <c:axId val="1112083887"/>
        <c:axId val="1112080527"/>
      </c:scatterChart>
      <c:valAx>
        <c:axId val="1112083887"/>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80527"/>
        <c:crosses val="autoZero"/>
        <c:crossBetween val="midCat"/>
      </c:valAx>
      <c:valAx>
        <c:axId val="1112080527"/>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8388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'LONG STRADDLE'!$K$5</c:f>
              <c:strCache>
                <c:ptCount val="1"/>
                <c:pt idx="0">
                  <c:v>P&amp;L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'LONG STRADDLE'!$H$6:$H$80</c:f>
              <c:numCache>
                <c:formatCode>#,##0.00;\(#,##0.00\)</c:formatCode>
                <c:ptCount val="75"/>
                <c:pt idx="0">
                  <c:v>20400</c:v>
                </c:pt>
                <c:pt idx="1">
                  <c:v>20450</c:v>
                </c:pt>
                <c:pt idx="2">
                  <c:v>20500</c:v>
                </c:pt>
                <c:pt idx="3">
                  <c:v>20550</c:v>
                </c:pt>
                <c:pt idx="4">
                  <c:v>20600</c:v>
                </c:pt>
                <c:pt idx="5">
                  <c:v>20650</c:v>
                </c:pt>
                <c:pt idx="6">
                  <c:v>20700</c:v>
                </c:pt>
                <c:pt idx="7">
                  <c:v>20750</c:v>
                </c:pt>
                <c:pt idx="8">
                  <c:v>20800</c:v>
                </c:pt>
                <c:pt idx="9">
                  <c:v>20850</c:v>
                </c:pt>
                <c:pt idx="10">
                  <c:v>20900</c:v>
                </c:pt>
                <c:pt idx="11">
                  <c:v>20950</c:v>
                </c:pt>
                <c:pt idx="12">
                  <c:v>21000</c:v>
                </c:pt>
                <c:pt idx="13">
                  <c:v>21050</c:v>
                </c:pt>
                <c:pt idx="14">
                  <c:v>21100</c:v>
                </c:pt>
                <c:pt idx="15">
                  <c:v>21150</c:v>
                </c:pt>
                <c:pt idx="16">
                  <c:v>21200</c:v>
                </c:pt>
                <c:pt idx="17">
                  <c:v>21250</c:v>
                </c:pt>
                <c:pt idx="18">
                  <c:v>21300</c:v>
                </c:pt>
                <c:pt idx="19">
                  <c:v>21350</c:v>
                </c:pt>
                <c:pt idx="20">
                  <c:v>21400</c:v>
                </c:pt>
                <c:pt idx="21">
                  <c:v>21450</c:v>
                </c:pt>
                <c:pt idx="22">
                  <c:v>21500</c:v>
                </c:pt>
                <c:pt idx="23">
                  <c:v>21550</c:v>
                </c:pt>
                <c:pt idx="24">
                  <c:v>21600</c:v>
                </c:pt>
                <c:pt idx="25">
                  <c:v>21650</c:v>
                </c:pt>
                <c:pt idx="26">
                  <c:v>21700</c:v>
                </c:pt>
                <c:pt idx="27">
                  <c:v>21750</c:v>
                </c:pt>
                <c:pt idx="28">
                  <c:v>21793</c:v>
                </c:pt>
                <c:pt idx="29">
                  <c:v>21800</c:v>
                </c:pt>
                <c:pt idx="30">
                  <c:v>21850</c:v>
                </c:pt>
                <c:pt idx="31">
                  <c:v>21900</c:v>
                </c:pt>
                <c:pt idx="32">
                  <c:v>21950</c:v>
                </c:pt>
                <c:pt idx="33">
                  <c:v>22000</c:v>
                </c:pt>
                <c:pt idx="34">
                  <c:v>22050</c:v>
                </c:pt>
                <c:pt idx="35">
                  <c:v>22100</c:v>
                </c:pt>
                <c:pt idx="36">
                  <c:v>22150</c:v>
                </c:pt>
                <c:pt idx="37">
                  <c:v>22200</c:v>
                </c:pt>
                <c:pt idx="38">
                  <c:v>22207</c:v>
                </c:pt>
                <c:pt idx="39">
                  <c:v>22250</c:v>
                </c:pt>
                <c:pt idx="40">
                  <c:v>22300</c:v>
                </c:pt>
                <c:pt idx="41">
                  <c:v>22350</c:v>
                </c:pt>
                <c:pt idx="42">
                  <c:v>22400</c:v>
                </c:pt>
                <c:pt idx="43">
                  <c:v>22450</c:v>
                </c:pt>
                <c:pt idx="44">
                  <c:v>22500</c:v>
                </c:pt>
                <c:pt idx="45">
                  <c:v>22550</c:v>
                </c:pt>
                <c:pt idx="46">
                  <c:v>22600</c:v>
                </c:pt>
                <c:pt idx="47">
                  <c:v>22650</c:v>
                </c:pt>
                <c:pt idx="48">
                  <c:v>22700</c:v>
                </c:pt>
                <c:pt idx="49">
                  <c:v>22750</c:v>
                </c:pt>
                <c:pt idx="50">
                  <c:v>22800</c:v>
                </c:pt>
                <c:pt idx="51">
                  <c:v>22850</c:v>
                </c:pt>
                <c:pt idx="52">
                  <c:v>22900</c:v>
                </c:pt>
                <c:pt idx="53">
                  <c:v>22950</c:v>
                </c:pt>
                <c:pt idx="54">
                  <c:v>23000</c:v>
                </c:pt>
                <c:pt idx="55">
                  <c:v>23050</c:v>
                </c:pt>
                <c:pt idx="56">
                  <c:v>23100</c:v>
                </c:pt>
                <c:pt idx="57">
                  <c:v>23150</c:v>
                </c:pt>
                <c:pt idx="58">
                  <c:v>23200</c:v>
                </c:pt>
                <c:pt idx="59">
                  <c:v>23250</c:v>
                </c:pt>
                <c:pt idx="60">
                  <c:v>23300</c:v>
                </c:pt>
                <c:pt idx="61">
                  <c:v>23350</c:v>
                </c:pt>
                <c:pt idx="62">
                  <c:v>23400</c:v>
                </c:pt>
                <c:pt idx="63">
                  <c:v>23450</c:v>
                </c:pt>
                <c:pt idx="64">
                  <c:v>23500</c:v>
                </c:pt>
                <c:pt idx="65">
                  <c:v>23550</c:v>
                </c:pt>
                <c:pt idx="66">
                  <c:v>23600</c:v>
                </c:pt>
                <c:pt idx="67">
                  <c:v>23650</c:v>
                </c:pt>
                <c:pt idx="68">
                  <c:v>23700</c:v>
                </c:pt>
                <c:pt idx="69">
                  <c:v>23750</c:v>
                </c:pt>
                <c:pt idx="70">
                  <c:v>23800</c:v>
                </c:pt>
                <c:pt idx="71">
                  <c:v>23850</c:v>
                </c:pt>
                <c:pt idx="72">
                  <c:v>23900</c:v>
                </c:pt>
                <c:pt idx="73">
                  <c:v>23950</c:v>
                </c:pt>
                <c:pt idx="74">
                  <c:v>24000</c:v>
                </c:pt>
              </c:numCache>
            </c:numRef>
          </c:xVal>
          <c:yVal>
            <c:numRef>
              <c:f>'LONG STRADDLE'!$K$6:$K$80</c:f>
              <c:numCache>
                <c:formatCode>#,##0.00;\(#,##0.00\)</c:formatCode>
                <c:ptCount val="75"/>
                <c:pt idx="0">
                  <c:v>1393</c:v>
                </c:pt>
                <c:pt idx="1">
                  <c:v>1343</c:v>
                </c:pt>
                <c:pt idx="2">
                  <c:v>1293</c:v>
                </c:pt>
                <c:pt idx="3">
                  <c:v>1243</c:v>
                </c:pt>
                <c:pt idx="4">
                  <c:v>1193</c:v>
                </c:pt>
                <c:pt idx="5">
                  <c:v>1143</c:v>
                </c:pt>
                <c:pt idx="6">
                  <c:v>1093</c:v>
                </c:pt>
                <c:pt idx="7">
                  <c:v>1043</c:v>
                </c:pt>
                <c:pt idx="8">
                  <c:v>993</c:v>
                </c:pt>
                <c:pt idx="9">
                  <c:v>943</c:v>
                </c:pt>
                <c:pt idx="10">
                  <c:v>893</c:v>
                </c:pt>
                <c:pt idx="11">
                  <c:v>843</c:v>
                </c:pt>
                <c:pt idx="12">
                  <c:v>793</c:v>
                </c:pt>
                <c:pt idx="13">
                  <c:v>743</c:v>
                </c:pt>
                <c:pt idx="14">
                  <c:v>693</c:v>
                </c:pt>
                <c:pt idx="15">
                  <c:v>643</c:v>
                </c:pt>
                <c:pt idx="16">
                  <c:v>593</c:v>
                </c:pt>
                <c:pt idx="17">
                  <c:v>543</c:v>
                </c:pt>
                <c:pt idx="18">
                  <c:v>493</c:v>
                </c:pt>
                <c:pt idx="19">
                  <c:v>443</c:v>
                </c:pt>
                <c:pt idx="20">
                  <c:v>393</c:v>
                </c:pt>
                <c:pt idx="21">
                  <c:v>343</c:v>
                </c:pt>
                <c:pt idx="22">
                  <c:v>293</c:v>
                </c:pt>
                <c:pt idx="23">
                  <c:v>243</c:v>
                </c:pt>
                <c:pt idx="24">
                  <c:v>193</c:v>
                </c:pt>
                <c:pt idx="25">
                  <c:v>143</c:v>
                </c:pt>
                <c:pt idx="26">
                  <c:v>93</c:v>
                </c:pt>
                <c:pt idx="27">
                  <c:v>43</c:v>
                </c:pt>
                <c:pt idx="28">
                  <c:v>0</c:v>
                </c:pt>
                <c:pt idx="29">
                  <c:v>-7</c:v>
                </c:pt>
                <c:pt idx="30">
                  <c:v>-57</c:v>
                </c:pt>
                <c:pt idx="31">
                  <c:v>-107</c:v>
                </c:pt>
                <c:pt idx="32">
                  <c:v>-157</c:v>
                </c:pt>
                <c:pt idx="33">
                  <c:v>-207</c:v>
                </c:pt>
                <c:pt idx="34">
                  <c:v>-157</c:v>
                </c:pt>
                <c:pt idx="35">
                  <c:v>-107</c:v>
                </c:pt>
                <c:pt idx="36">
                  <c:v>-57</c:v>
                </c:pt>
                <c:pt idx="37">
                  <c:v>-7</c:v>
                </c:pt>
                <c:pt idx="38">
                  <c:v>0</c:v>
                </c:pt>
                <c:pt idx="39">
                  <c:v>43</c:v>
                </c:pt>
                <c:pt idx="40">
                  <c:v>93</c:v>
                </c:pt>
                <c:pt idx="41">
                  <c:v>143</c:v>
                </c:pt>
                <c:pt idx="42">
                  <c:v>193</c:v>
                </c:pt>
                <c:pt idx="43">
                  <c:v>243</c:v>
                </c:pt>
                <c:pt idx="44">
                  <c:v>293</c:v>
                </c:pt>
                <c:pt idx="45">
                  <c:v>343</c:v>
                </c:pt>
                <c:pt idx="46">
                  <c:v>393</c:v>
                </c:pt>
                <c:pt idx="47">
                  <c:v>443</c:v>
                </c:pt>
                <c:pt idx="48">
                  <c:v>493</c:v>
                </c:pt>
                <c:pt idx="49">
                  <c:v>543</c:v>
                </c:pt>
                <c:pt idx="50">
                  <c:v>593</c:v>
                </c:pt>
                <c:pt idx="51">
                  <c:v>643</c:v>
                </c:pt>
                <c:pt idx="52">
                  <c:v>693</c:v>
                </c:pt>
                <c:pt idx="53">
                  <c:v>743</c:v>
                </c:pt>
                <c:pt idx="54">
                  <c:v>793</c:v>
                </c:pt>
                <c:pt idx="55">
                  <c:v>843</c:v>
                </c:pt>
                <c:pt idx="56">
                  <c:v>893</c:v>
                </c:pt>
                <c:pt idx="57">
                  <c:v>943</c:v>
                </c:pt>
                <c:pt idx="58">
                  <c:v>993</c:v>
                </c:pt>
                <c:pt idx="59">
                  <c:v>1043</c:v>
                </c:pt>
                <c:pt idx="60">
                  <c:v>1093</c:v>
                </c:pt>
                <c:pt idx="61">
                  <c:v>1143</c:v>
                </c:pt>
                <c:pt idx="62">
                  <c:v>1193</c:v>
                </c:pt>
                <c:pt idx="63">
                  <c:v>1243</c:v>
                </c:pt>
                <c:pt idx="64">
                  <c:v>1293</c:v>
                </c:pt>
                <c:pt idx="65">
                  <c:v>1343</c:v>
                </c:pt>
                <c:pt idx="66">
                  <c:v>1393</c:v>
                </c:pt>
                <c:pt idx="67">
                  <c:v>1443</c:v>
                </c:pt>
                <c:pt idx="68">
                  <c:v>1493</c:v>
                </c:pt>
                <c:pt idx="69">
                  <c:v>1543</c:v>
                </c:pt>
                <c:pt idx="70">
                  <c:v>1593</c:v>
                </c:pt>
                <c:pt idx="71">
                  <c:v>1643</c:v>
                </c:pt>
                <c:pt idx="72">
                  <c:v>1693</c:v>
                </c:pt>
                <c:pt idx="73">
                  <c:v>1743</c:v>
                </c:pt>
                <c:pt idx="74">
                  <c:v>1793</c:v>
                </c:pt>
              </c:numCache>
            </c:numRef>
          </c:yVal>
          <c:smooth val="0"/>
          <c:extLst>
            <c:ext xmlns:c16="http://schemas.microsoft.com/office/drawing/2014/chart" uri="{C3380CC4-5D6E-409C-BE32-E72D297353CC}">
              <c16:uniqueId val="{00000000-E68F-4D65-982C-3A1B31AAACC1}"/>
            </c:ext>
          </c:extLst>
        </c:ser>
        <c:dLbls>
          <c:showLegendKey val="0"/>
          <c:showVal val="0"/>
          <c:showCatName val="0"/>
          <c:showSerName val="0"/>
          <c:showPercent val="0"/>
          <c:showBubbleSize val="0"/>
        </c:dLbls>
        <c:axId val="1222486255"/>
        <c:axId val="1222485295"/>
      </c:scatterChart>
      <c:valAx>
        <c:axId val="122248625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485295"/>
        <c:crosses val="autoZero"/>
        <c:crossBetween val="midCat"/>
      </c:valAx>
      <c:valAx>
        <c:axId val="1222485295"/>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4862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'SHORT STRADDLE'!$J$5</c:f>
              <c:strCache>
                <c:ptCount val="1"/>
                <c:pt idx="0">
                  <c:v>P&amp;L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'SHORT STRADDLE'!$G$6:$G$48</c:f>
              <c:numCache>
                <c:formatCode>#,##0.00</c:formatCode>
                <c:ptCount val="43"/>
                <c:pt idx="0" formatCode="#,##0.00;\(#,##0.00\)">
                  <c:v>10000</c:v>
                </c:pt>
                <c:pt idx="1">
                  <c:v>10050</c:v>
                </c:pt>
                <c:pt idx="2">
                  <c:v>10100</c:v>
                </c:pt>
                <c:pt idx="3">
                  <c:v>10150</c:v>
                </c:pt>
                <c:pt idx="4">
                  <c:v>10200</c:v>
                </c:pt>
                <c:pt idx="5">
                  <c:v>10250</c:v>
                </c:pt>
                <c:pt idx="6">
                  <c:v>10300</c:v>
                </c:pt>
                <c:pt idx="7">
                  <c:v>10350</c:v>
                </c:pt>
                <c:pt idx="8">
                  <c:v>10400</c:v>
                </c:pt>
                <c:pt idx="9">
                  <c:v>10450</c:v>
                </c:pt>
                <c:pt idx="10">
                  <c:v>10500</c:v>
                </c:pt>
                <c:pt idx="11">
                  <c:v>10550</c:v>
                </c:pt>
                <c:pt idx="12">
                  <c:v>10600</c:v>
                </c:pt>
                <c:pt idx="13">
                  <c:v>10650</c:v>
                </c:pt>
                <c:pt idx="14">
                  <c:v>10700</c:v>
                </c:pt>
                <c:pt idx="15">
                  <c:v>10750</c:v>
                </c:pt>
                <c:pt idx="16">
                  <c:v>10793</c:v>
                </c:pt>
                <c:pt idx="17">
                  <c:v>10800</c:v>
                </c:pt>
                <c:pt idx="18">
                  <c:v>10850</c:v>
                </c:pt>
                <c:pt idx="19">
                  <c:v>10900</c:v>
                </c:pt>
                <c:pt idx="20">
                  <c:v>10950</c:v>
                </c:pt>
                <c:pt idx="21">
                  <c:v>11000</c:v>
                </c:pt>
                <c:pt idx="22">
                  <c:v>11050</c:v>
                </c:pt>
                <c:pt idx="23">
                  <c:v>11100</c:v>
                </c:pt>
                <c:pt idx="24">
                  <c:v>11150</c:v>
                </c:pt>
                <c:pt idx="25">
                  <c:v>11200</c:v>
                </c:pt>
                <c:pt idx="26">
                  <c:v>11207</c:v>
                </c:pt>
                <c:pt idx="27">
                  <c:v>11250</c:v>
                </c:pt>
                <c:pt idx="28">
                  <c:v>11300</c:v>
                </c:pt>
                <c:pt idx="29">
                  <c:v>11350</c:v>
                </c:pt>
                <c:pt idx="30">
                  <c:v>11400</c:v>
                </c:pt>
                <c:pt idx="31">
                  <c:v>11450</c:v>
                </c:pt>
                <c:pt idx="32">
                  <c:v>11500</c:v>
                </c:pt>
                <c:pt idx="33">
                  <c:v>11550</c:v>
                </c:pt>
                <c:pt idx="34">
                  <c:v>11600</c:v>
                </c:pt>
                <c:pt idx="35">
                  <c:v>11650</c:v>
                </c:pt>
                <c:pt idx="36">
                  <c:v>11700</c:v>
                </c:pt>
                <c:pt idx="37">
                  <c:v>11750</c:v>
                </c:pt>
                <c:pt idx="38">
                  <c:v>11800</c:v>
                </c:pt>
                <c:pt idx="39">
                  <c:v>11850</c:v>
                </c:pt>
                <c:pt idx="40">
                  <c:v>11900</c:v>
                </c:pt>
                <c:pt idx="41">
                  <c:v>11950</c:v>
                </c:pt>
                <c:pt idx="42">
                  <c:v>12000</c:v>
                </c:pt>
              </c:numCache>
            </c:numRef>
          </c:xVal>
          <c:yVal>
            <c:numRef>
              <c:f>'SHORT STRADDLE'!$J$6:$J$48</c:f>
              <c:numCache>
                <c:formatCode>#,##0.00;\(#,##0.00\)</c:formatCode>
                <c:ptCount val="43"/>
                <c:pt idx="0">
                  <c:v>-793</c:v>
                </c:pt>
                <c:pt idx="1">
                  <c:v>-743</c:v>
                </c:pt>
                <c:pt idx="2">
                  <c:v>-693</c:v>
                </c:pt>
                <c:pt idx="3">
                  <c:v>-643</c:v>
                </c:pt>
                <c:pt idx="4">
                  <c:v>-593</c:v>
                </c:pt>
                <c:pt idx="5">
                  <c:v>-543</c:v>
                </c:pt>
                <c:pt idx="6">
                  <c:v>-493</c:v>
                </c:pt>
                <c:pt idx="7">
                  <c:v>-443</c:v>
                </c:pt>
                <c:pt idx="8">
                  <c:v>-393</c:v>
                </c:pt>
                <c:pt idx="9">
                  <c:v>-343</c:v>
                </c:pt>
                <c:pt idx="10">
                  <c:v>-293</c:v>
                </c:pt>
                <c:pt idx="11">
                  <c:v>-243</c:v>
                </c:pt>
                <c:pt idx="12">
                  <c:v>-193</c:v>
                </c:pt>
                <c:pt idx="13">
                  <c:v>-143</c:v>
                </c:pt>
                <c:pt idx="14">
                  <c:v>-93</c:v>
                </c:pt>
                <c:pt idx="15">
                  <c:v>-43</c:v>
                </c:pt>
                <c:pt idx="16">
                  <c:v>0</c:v>
                </c:pt>
                <c:pt idx="17">
                  <c:v>7</c:v>
                </c:pt>
                <c:pt idx="18">
                  <c:v>57</c:v>
                </c:pt>
                <c:pt idx="19">
                  <c:v>107</c:v>
                </c:pt>
                <c:pt idx="20">
                  <c:v>157</c:v>
                </c:pt>
                <c:pt idx="21">
                  <c:v>207</c:v>
                </c:pt>
                <c:pt idx="22">
                  <c:v>157</c:v>
                </c:pt>
                <c:pt idx="23">
                  <c:v>107</c:v>
                </c:pt>
                <c:pt idx="24">
                  <c:v>57</c:v>
                </c:pt>
                <c:pt idx="25">
                  <c:v>7</c:v>
                </c:pt>
                <c:pt idx="26">
                  <c:v>0</c:v>
                </c:pt>
                <c:pt idx="27">
                  <c:v>-43</c:v>
                </c:pt>
                <c:pt idx="28">
                  <c:v>-93</c:v>
                </c:pt>
                <c:pt idx="29">
                  <c:v>-143</c:v>
                </c:pt>
                <c:pt idx="30">
                  <c:v>-193</c:v>
                </c:pt>
                <c:pt idx="31">
                  <c:v>-243</c:v>
                </c:pt>
                <c:pt idx="32">
                  <c:v>-293</c:v>
                </c:pt>
                <c:pt idx="33">
                  <c:v>-343</c:v>
                </c:pt>
                <c:pt idx="34">
                  <c:v>-393</c:v>
                </c:pt>
                <c:pt idx="35">
                  <c:v>-443</c:v>
                </c:pt>
                <c:pt idx="36">
                  <c:v>-493</c:v>
                </c:pt>
                <c:pt idx="37">
                  <c:v>-543</c:v>
                </c:pt>
                <c:pt idx="38">
                  <c:v>-593</c:v>
                </c:pt>
                <c:pt idx="39">
                  <c:v>-643</c:v>
                </c:pt>
                <c:pt idx="40">
                  <c:v>-693</c:v>
                </c:pt>
                <c:pt idx="41">
                  <c:v>-743</c:v>
                </c:pt>
                <c:pt idx="42">
                  <c:v>-793</c:v>
                </c:pt>
              </c:numCache>
            </c:numRef>
          </c:yVal>
          <c:smooth val="0"/>
          <c:extLst>
            <c:ext xmlns:c16="http://schemas.microsoft.com/office/drawing/2014/chart" uri="{C3380CC4-5D6E-409C-BE32-E72D297353CC}">
              <c16:uniqueId val="{00000000-A985-4CE1-ACD3-43934A1080C7}"/>
            </c:ext>
          </c:extLst>
        </c:ser>
        <c:dLbls>
          <c:showLegendKey val="0"/>
          <c:showVal val="0"/>
          <c:showCatName val="0"/>
          <c:showSerName val="0"/>
          <c:showPercent val="0"/>
          <c:showBubbleSize val="0"/>
        </c:dLbls>
        <c:axId val="1061503631"/>
        <c:axId val="1059205983"/>
      </c:scatterChart>
      <c:valAx>
        <c:axId val="1061503631"/>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205983"/>
        <c:crosses val="autoZero"/>
        <c:crossBetween val="midCat"/>
      </c:valAx>
      <c:valAx>
        <c:axId val="1059205983"/>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50363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 LONG STRANGLE '!$K$5</c:f>
              <c:strCache>
                <c:ptCount val="1"/>
                <c:pt idx="0">
                  <c:v>P&amp;L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 LONG STRANGLE '!$H$6:$H$68</c:f>
              <c:numCache>
                <c:formatCode>#,##0.00</c:formatCode>
                <c:ptCount val="63"/>
                <c:pt idx="0" formatCode="#,##0.00;\(#,##0.00\)">
                  <c:v>21000</c:v>
                </c:pt>
                <c:pt idx="1">
                  <c:v>21050</c:v>
                </c:pt>
                <c:pt idx="2">
                  <c:v>21100</c:v>
                </c:pt>
                <c:pt idx="3">
                  <c:v>21150</c:v>
                </c:pt>
                <c:pt idx="4">
                  <c:v>21200</c:v>
                </c:pt>
                <c:pt idx="5">
                  <c:v>21250</c:v>
                </c:pt>
                <c:pt idx="6">
                  <c:v>21300</c:v>
                </c:pt>
                <c:pt idx="7">
                  <c:v>21350</c:v>
                </c:pt>
                <c:pt idx="8">
                  <c:v>21400</c:v>
                </c:pt>
                <c:pt idx="9">
                  <c:v>21450</c:v>
                </c:pt>
                <c:pt idx="10">
                  <c:v>21500</c:v>
                </c:pt>
                <c:pt idx="11">
                  <c:v>21550</c:v>
                </c:pt>
                <c:pt idx="12">
                  <c:v>21600</c:v>
                </c:pt>
                <c:pt idx="13">
                  <c:v>21650</c:v>
                </c:pt>
                <c:pt idx="14">
                  <c:v>21700</c:v>
                </c:pt>
                <c:pt idx="15">
                  <c:v>21734</c:v>
                </c:pt>
                <c:pt idx="16">
                  <c:v>21750</c:v>
                </c:pt>
                <c:pt idx="17">
                  <c:v>21800</c:v>
                </c:pt>
                <c:pt idx="18">
                  <c:v>21850</c:v>
                </c:pt>
                <c:pt idx="19">
                  <c:v>21900</c:v>
                </c:pt>
                <c:pt idx="20">
                  <c:v>21950</c:v>
                </c:pt>
                <c:pt idx="21">
                  <c:v>22000</c:v>
                </c:pt>
                <c:pt idx="22">
                  <c:v>22050</c:v>
                </c:pt>
                <c:pt idx="23">
                  <c:v>22100</c:v>
                </c:pt>
                <c:pt idx="24">
                  <c:v>22150</c:v>
                </c:pt>
                <c:pt idx="25">
                  <c:v>22200</c:v>
                </c:pt>
                <c:pt idx="26">
                  <c:v>22250</c:v>
                </c:pt>
                <c:pt idx="27">
                  <c:v>22266</c:v>
                </c:pt>
                <c:pt idx="28">
                  <c:v>22300</c:v>
                </c:pt>
                <c:pt idx="29">
                  <c:v>22350</c:v>
                </c:pt>
                <c:pt idx="30">
                  <c:v>22400</c:v>
                </c:pt>
                <c:pt idx="31">
                  <c:v>22450</c:v>
                </c:pt>
                <c:pt idx="32">
                  <c:v>22500</c:v>
                </c:pt>
                <c:pt idx="33">
                  <c:v>22550</c:v>
                </c:pt>
                <c:pt idx="34">
                  <c:v>22600</c:v>
                </c:pt>
                <c:pt idx="35">
                  <c:v>22650</c:v>
                </c:pt>
                <c:pt idx="36">
                  <c:v>22700</c:v>
                </c:pt>
                <c:pt idx="37">
                  <c:v>22750</c:v>
                </c:pt>
                <c:pt idx="38">
                  <c:v>22800</c:v>
                </c:pt>
                <c:pt idx="39">
                  <c:v>22850</c:v>
                </c:pt>
                <c:pt idx="40">
                  <c:v>22900</c:v>
                </c:pt>
                <c:pt idx="41">
                  <c:v>22950</c:v>
                </c:pt>
                <c:pt idx="42">
                  <c:v>23000</c:v>
                </c:pt>
                <c:pt idx="43">
                  <c:v>23050</c:v>
                </c:pt>
                <c:pt idx="44">
                  <c:v>23100</c:v>
                </c:pt>
                <c:pt idx="45">
                  <c:v>23150</c:v>
                </c:pt>
                <c:pt idx="46">
                  <c:v>23200</c:v>
                </c:pt>
                <c:pt idx="47">
                  <c:v>23250</c:v>
                </c:pt>
                <c:pt idx="48">
                  <c:v>23300</c:v>
                </c:pt>
                <c:pt idx="49">
                  <c:v>23350</c:v>
                </c:pt>
                <c:pt idx="50">
                  <c:v>23400</c:v>
                </c:pt>
                <c:pt idx="51">
                  <c:v>23450</c:v>
                </c:pt>
                <c:pt idx="52">
                  <c:v>23500</c:v>
                </c:pt>
                <c:pt idx="53">
                  <c:v>23550</c:v>
                </c:pt>
                <c:pt idx="54">
                  <c:v>23600</c:v>
                </c:pt>
                <c:pt idx="55">
                  <c:v>23650</c:v>
                </c:pt>
                <c:pt idx="56">
                  <c:v>23700</c:v>
                </c:pt>
                <c:pt idx="57">
                  <c:v>23750</c:v>
                </c:pt>
                <c:pt idx="58">
                  <c:v>23800</c:v>
                </c:pt>
                <c:pt idx="59">
                  <c:v>23850</c:v>
                </c:pt>
                <c:pt idx="60">
                  <c:v>23900</c:v>
                </c:pt>
                <c:pt idx="61">
                  <c:v>23950</c:v>
                </c:pt>
                <c:pt idx="62">
                  <c:v>24000</c:v>
                </c:pt>
              </c:numCache>
            </c:numRef>
          </c:xVal>
          <c:yVal>
            <c:numRef>
              <c:f>' LONG STRANGLE '!$K$6:$K$68</c:f>
              <c:numCache>
                <c:formatCode>#,##0.00;\(#,##0.00\)</c:formatCode>
                <c:ptCount val="63"/>
                <c:pt idx="0">
                  <c:v>734</c:v>
                </c:pt>
                <c:pt idx="1">
                  <c:v>684</c:v>
                </c:pt>
                <c:pt idx="2">
                  <c:v>634</c:v>
                </c:pt>
                <c:pt idx="3">
                  <c:v>584</c:v>
                </c:pt>
                <c:pt idx="4">
                  <c:v>534</c:v>
                </c:pt>
                <c:pt idx="5">
                  <c:v>484</c:v>
                </c:pt>
                <c:pt idx="6">
                  <c:v>434</c:v>
                </c:pt>
                <c:pt idx="7">
                  <c:v>384</c:v>
                </c:pt>
                <c:pt idx="8">
                  <c:v>334</c:v>
                </c:pt>
                <c:pt idx="9">
                  <c:v>284</c:v>
                </c:pt>
                <c:pt idx="10">
                  <c:v>234</c:v>
                </c:pt>
                <c:pt idx="11">
                  <c:v>184</c:v>
                </c:pt>
                <c:pt idx="12">
                  <c:v>134</c:v>
                </c:pt>
                <c:pt idx="13">
                  <c:v>84</c:v>
                </c:pt>
                <c:pt idx="14">
                  <c:v>34</c:v>
                </c:pt>
                <c:pt idx="15">
                  <c:v>0</c:v>
                </c:pt>
                <c:pt idx="16">
                  <c:v>-16</c:v>
                </c:pt>
                <c:pt idx="17">
                  <c:v>-66</c:v>
                </c:pt>
                <c:pt idx="18">
                  <c:v>-66</c:v>
                </c:pt>
                <c:pt idx="19">
                  <c:v>-66</c:v>
                </c:pt>
                <c:pt idx="20">
                  <c:v>-66</c:v>
                </c:pt>
                <c:pt idx="21">
                  <c:v>-66</c:v>
                </c:pt>
                <c:pt idx="22">
                  <c:v>-66</c:v>
                </c:pt>
                <c:pt idx="23">
                  <c:v>-66</c:v>
                </c:pt>
                <c:pt idx="24">
                  <c:v>-66</c:v>
                </c:pt>
                <c:pt idx="25">
                  <c:v>-66</c:v>
                </c:pt>
                <c:pt idx="26">
                  <c:v>-16</c:v>
                </c:pt>
                <c:pt idx="27">
                  <c:v>0</c:v>
                </c:pt>
                <c:pt idx="28">
                  <c:v>34</c:v>
                </c:pt>
                <c:pt idx="29">
                  <c:v>84</c:v>
                </c:pt>
                <c:pt idx="30">
                  <c:v>134</c:v>
                </c:pt>
                <c:pt idx="31">
                  <c:v>184</c:v>
                </c:pt>
                <c:pt idx="32">
                  <c:v>234</c:v>
                </c:pt>
                <c:pt idx="33">
                  <c:v>284</c:v>
                </c:pt>
                <c:pt idx="34">
                  <c:v>334</c:v>
                </c:pt>
                <c:pt idx="35">
                  <c:v>384</c:v>
                </c:pt>
                <c:pt idx="36">
                  <c:v>434</c:v>
                </c:pt>
                <c:pt idx="37">
                  <c:v>484</c:v>
                </c:pt>
                <c:pt idx="38">
                  <c:v>534</c:v>
                </c:pt>
                <c:pt idx="39">
                  <c:v>584</c:v>
                </c:pt>
                <c:pt idx="40">
                  <c:v>634</c:v>
                </c:pt>
                <c:pt idx="41">
                  <c:v>684</c:v>
                </c:pt>
                <c:pt idx="42">
                  <c:v>734</c:v>
                </c:pt>
                <c:pt idx="43">
                  <c:v>784</c:v>
                </c:pt>
                <c:pt idx="44">
                  <c:v>834</c:v>
                </c:pt>
                <c:pt idx="45">
                  <c:v>884</c:v>
                </c:pt>
                <c:pt idx="46">
                  <c:v>934</c:v>
                </c:pt>
                <c:pt idx="47">
                  <c:v>984</c:v>
                </c:pt>
                <c:pt idx="48">
                  <c:v>1034</c:v>
                </c:pt>
                <c:pt idx="49">
                  <c:v>1084</c:v>
                </c:pt>
                <c:pt idx="50">
                  <c:v>1134</c:v>
                </c:pt>
                <c:pt idx="51">
                  <c:v>1184</c:v>
                </c:pt>
                <c:pt idx="52">
                  <c:v>1234</c:v>
                </c:pt>
                <c:pt idx="53">
                  <c:v>1284</c:v>
                </c:pt>
                <c:pt idx="54">
                  <c:v>1334</c:v>
                </c:pt>
                <c:pt idx="55">
                  <c:v>1384</c:v>
                </c:pt>
                <c:pt idx="56">
                  <c:v>1434</c:v>
                </c:pt>
                <c:pt idx="57">
                  <c:v>1484</c:v>
                </c:pt>
                <c:pt idx="58">
                  <c:v>1534</c:v>
                </c:pt>
                <c:pt idx="59">
                  <c:v>1584</c:v>
                </c:pt>
                <c:pt idx="60">
                  <c:v>1634</c:v>
                </c:pt>
                <c:pt idx="61">
                  <c:v>1684</c:v>
                </c:pt>
                <c:pt idx="62">
                  <c:v>1734</c:v>
                </c:pt>
              </c:numCache>
            </c:numRef>
          </c:yVal>
          <c:smooth val="0"/>
          <c:extLst>
            <c:ext xmlns:c16="http://schemas.microsoft.com/office/drawing/2014/chart" uri="{C3380CC4-5D6E-409C-BE32-E72D297353CC}">
              <c16:uniqueId val="{00000000-1336-4575-9161-1DEE219701AA}"/>
            </c:ext>
          </c:extLst>
        </c:ser>
        <c:dLbls>
          <c:showLegendKey val="0"/>
          <c:showVal val="0"/>
          <c:showCatName val="0"/>
          <c:showSerName val="0"/>
          <c:showPercent val="0"/>
          <c:showBubbleSize val="0"/>
        </c:dLbls>
        <c:axId val="1206454127"/>
        <c:axId val="1206455087"/>
      </c:scatterChart>
      <c:valAx>
        <c:axId val="1206454127"/>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455087"/>
        <c:crosses val="autoZero"/>
        <c:crossBetween val="midCat"/>
      </c:valAx>
      <c:valAx>
        <c:axId val="1206455087"/>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4541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83092738407698"/>
          <c:y val="0.17634259259259263"/>
          <c:w val="0.79278718285214345"/>
          <c:h val="0.77736111111111106"/>
        </c:manualLayout>
      </c:layout>
      <c:scatterChart>
        <c:scatterStyle val="lineMarker"/>
        <c:varyColors val="0"/>
        <c:ser>
          <c:idx val="0"/>
          <c:order val="0"/>
          <c:tx>
            <c:strRef>
              <c:f>'SHORT STRANGLE'!$K$5</c:f>
              <c:strCache>
                <c:ptCount val="1"/>
                <c:pt idx="0">
                  <c:v>P&amp;L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'SHORT STRANGLE'!$H$6:$H$48</c:f>
              <c:numCache>
                <c:formatCode>#,##0.00;\(#,##0.00\)</c:formatCode>
                <c:ptCount val="43"/>
                <c:pt idx="0">
                  <c:v>21000</c:v>
                </c:pt>
                <c:pt idx="1">
                  <c:v>21050</c:v>
                </c:pt>
                <c:pt idx="2">
                  <c:v>21100</c:v>
                </c:pt>
                <c:pt idx="3">
                  <c:v>21150</c:v>
                </c:pt>
                <c:pt idx="4">
                  <c:v>21200</c:v>
                </c:pt>
                <c:pt idx="5">
                  <c:v>21250</c:v>
                </c:pt>
                <c:pt idx="6">
                  <c:v>21300</c:v>
                </c:pt>
                <c:pt idx="7">
                  <c:v>21350</c:v>
                </c:pt>
                <c:pt idx="8">
                  <c:v>21400</c:v>
                </c:pt>
                <c:pt idx="9">
                  <c:v>21450</c:v>
                </c:pt>
                <c:pt idx="10">
                  <c:v>21500</c:v>
                </c:pt>
                <c:pt idx="11">
                  <c:v>21550</c:v>
                </c:pt>
                <c:pt idx="12">
                  <c:v>21600</c:v>
                </c:pt>
                <c:pt idx="13">
                  <c:v>21650</c:v>
                </c:pt>
                <c:pt idx="14">
                  <c:v>21700</c:v>
                </c:pt>
                <c:pt idx="15">
                  <c:v>21734</c:v>
                </c:pt>
                <c:pt idx="16">
                  <c:v>21750</c:v>
                </c:pt>
                <c:pt idx="17">
                  <c:v>21800</c:v>
                </c:pt>
                <c:pt idx="18">
                  <c:v>21850</c:v>
                </c:pt>
                <c:pt idx="19">
                  <c:v>21900</c:v>
                </c:pt>
                <c:pt idx="20">
                  <c:v>21950</c:v>
                </c:pt>
                <c:pt idx="21">
                  <c:v>22000</c:v>
                </c:pt>
                <c:pt idx="22">
                  <c:v>22050</c:v>
                </c:pt>
                <c:pt idx="23">
                  <c:v>22100</c:v>
                </c:pt>
                <c:pt idx="24">
                  <c:v>22150</c:v>
                </c:pt>
                <c:pt idx="25">
                  <c:v>22200</c:v>
                </c:pt>
                <c:pt idx="26">
                  <c:v>22250</c:v>
                </c:pt>
                <c:pt idx="27">
                  <c:v>22266</c:v>
                </c:pt>
                <c:pt idx="28">
                  <c:v>22300</c:v>
                </c:pt>
                <c:pt idx="29">
                  <c:v>22350</c:v>
                </c:pt>
                <c:pt idx="30">
                  <c:v>22400</c:v>
                </c:pt>
                <c:pt idx="31">
                  <c:v>22450</c:v>
                </c:pt>
                <c:pt idx="32">
                  <c:v>22500</c:v>
                </c:pt>
                <c:pt idx="33">
                  <c:v>22550</c:v>
                </c:pt>
                <c:pt idx="34">
                  <c:v>22600</c:v>
                </c:pt>
                <c:pt idx="35">
                  <c:v>22650</c:v>
                </c:pt>
                <c:pt idx="36">
                  <c:v>22700</c:v>
                </c:pt>
                <c:pt idx="37">
                  <c:v>22750</c:v>
                </c:pt>
                <c:pt idx="38">
                  <c:v>22800</c:v>
                </c:pt>
                <c:pt idx="39">
                  <c:v>22850</c:v>
                </c:pt>
                <c:pt idx="40">
                  <c:v>22900</c:v>
                </c:pt>
                <c:pt idx="41">
                  <c:v>22950</c:v>
                </c:pt>
                <c:pt idx="42">
                  <c:v>23000</c:v>
                </c:pt>
              </c:numCache>
            </c:numRef>
          </c:xVal>
          <c:yVal>
            <c:numRef>
              <c:f>'SHORT STRANGLE'!$K$6:$K$48</c:f>
              <c:numCache>
                <c:formatCode>#,##0.00;\(#,##0.00\)</c:formatCode>
                <c:ptCount val="43"/>
                <c:pt idx="0">
                  <c:v>-734</c:v>
                </c:pt>
                <c:pt idx="1">
                  <c:v>-684</c:v>
                </c:pt>
                <c:pt idx="2">
                  <c:v>-634</c:v>
                </c:pt>
                <c:pt idx="3">
                  <c:v>-584</c:v>
                </c:pt>
                <c:pt idx="4">
                  <c:v>-534</c:v>
                </c:pt>
                <c:pt idx="5">
                  <c:v>-484</c:v>
                </c:pt>
                <c:pt idx="6">
                  <c:v>-434</c:v>
                </c:pt>
                <c:pt idx="7">
                  <c:v>-384</c:v>
                </c:pt>
                <c:pt idx="8">
                  <c:v>-334</c:v>
                </c:pt>
                <c:pt idx="9">
                  <c:v>-284</c:v>
                </c:pt>
                <c:pt idx="10">
                  <c:v>-234</c:v>
                </c:pt>
                <c:pt idx="11">
                  <c:v>-184</c:v>
                </c:pt>
                <c:pt idx="12">
                  <c:v>-134</c:v>
                </c:pt>
                <c:pt idx="13">
                  <c:v>-84</c:v>
                </c:pt>
                <c:pt idx="14">
                  <c:v>-34</c:v>
                </c:pt>
                <c:pt idx="15">
                  <c:v>0</c:v>
                </c:pt>
                <c:pt idx="16">
                  <c:v>16</c:v>
                </c:pt>
                <c:pt idx="17">
                  <c:v>66</c:v>
                </c:pt>
                <c:pt idx="18">
                  <c:v>66</c:v>
                </c:pt>
                <c:pt idx="19">
                  <c:v>66</c:v>
                </c:pt>
                <c:pt idx="20">
                  <c:v>66</c:v>
                </c:pt>
                <c:pt idx="21">
                  <c:v>66</c:v>
                </c:pt>
                <c:pt idx="22">
                  <c:v>66</c:v>
                </c:pt>
                <c:pt idx="23">
                  <c:v>66</c:v>
                </c:pt>
                <c:pt idx="24">
                  <c:v>66</c:v>
                </c:pt>
                <c:pt idx="25">
                  <c:v>66</c:v>
                </c:pt>
                <c:pt idx="26">
                  <c:v>16</c:v>
                </c:pt>
                <c:pt idx="27">
                  <c:v>0</c:v>
                </c:pt>
                <c:pt idx="28">
                  <c:v>-34</c:v>
                </c:pt>
                <c:pt idx="29">
                  <c:v>-84</c:v>
                </c:pt>
                <c:pt idx="30">
                  <c:v>-134</c:v>
                </c:pt>
                <c:pt idx="31">
                  <c:v>-184</c:v>
                </c:pt>
                <c:pt idx="32">
                  <c:v>-234</c:v>
                </c:pt>
                <c:pt idx="33">
                  <c:v>-284</c:v>
                </c:pt>
                <c:pt idx="34">
                  <c:v>-334</c:v>
                </c:pt>
                <c:pt idx="35">
                  <c:v>-384</c:v>
                </c:pt>
                <c:pt idx="36">
                  <c:v>-434</c:v>
                </c:pt>
                <c:pt idx="37">
                  <c:v>-484</c:v>
                </c:pt>
                <c:pt idx="38">
                  <c:v>-534</c:v>
                </c:pt>
                <c:pt idx="39">
                  <c:v>-584</c:v>
                </c:pt>
                <c:pt idx="40">
                  <c:v>-634</c:v>
                </c:pt>
                <c:pt idx="41">
                  <c:v>-684</c:v>
                </c:pt>
                <c:pt idx="42">
                  <c:v>-734</c:v>
                </c:pt>
              </c:numCache>
            </c:numRef>
          </c:yVal>
          <c:smooth val="0"/>
          <c:extLst>
            <c:ext xmlns:c16="http://schemas.microsoft.com/office/drawing/2014/chart" uri="{C3380CC4-5D6E-409C-BE32-E72D297353CC}">
              <c16:uniqueId val="{00000000-4363-48E9-99CE-73F40330D9F0}"/>
            </c:ext>
          </c:extLst>
        </c:ser>
        <c:dLbls>
          <c:showLegendKey val="0"/>
          <c:showVal val="0"/>
          <c:showCatName val="0"/>
          <c:showSerName val="0"/>
          <c:showPercent val="0"/>
          <c:showBubbleSize val="0"/>
        </c:dLbls>
        <c:axId val="776604512"/>
        <c:axId val="776604992"/>
      </c:scatterChart>
      <c:valAx>
        <c:axId val="776604512"/>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04992"/>
        <c:crosses val="autoZero"/>
        <c:crossBetween val="midCat"/>
      </c:valAx>
      <c:valAx>
        <c:axId val="776604992"/>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045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COLLAR!$L$5</c:f>
              <c:strCache>
                <c:ptCount val="1"/>
                <c:pt idx="0">
                  <c:v>P&amp;L</c:v>
                </c:pt>
              </c:strCache>
            </c:strRef>
          </c:tx>
          <c:spPr>
            <a:ln w="19050" cap="rnd">
              <a:noFill/>
              <a:round/>
            </a:ln>
            <a:effectLst/>
          </c:spPr>
          <c:marker>
            <c:symbol val="circle"/>
            <c:size val="5"/>
            <c:spPr>
              <a:solidFill>
                <a:schemeClr val="accent1"/>
              </a:solidFill>
              <a:ln w="9525">
                <a:solidFill>
                  <a:schemeClr val="accent1"/>
                </a:solidFill>
              </a:ln>
              <a:effectLst/>
            </c:spPr>
          </c:marker>
          <c:xVal>
            <c:numRef>
              <c:f>COLLAR!$H$6:$H$207</c:f>
              <c:numCache>
                <c:formatCode>#,##0.00;\(#,##0.00\)</c:formatCode>
                <c:ptCount val="202"/>
                <c:pt idx="0">
                  <c:v>4000</c:v>
                </c:pt>
                <c:pt idx="1">
                  <c:v>4010</c:v>
                </c:pt>
                <c:pt idx="2">
                  <c:v>4020</c:v>
                </c:pt>
                <c:pt idx="3">
                  <c:v>4030</c:v>
                </c:pt>
                <c:pt idx="4">
                  <c:v>4040</c:v>
                </c:pt>
                <c:pt idx="5">
                  <c:v>4050</c:v>
                </c:pt>
                <c:pt idx="6">
                  <c:v>4060</c:v>
                </c:pt>
                <c:pt idx="7">
                  <c:v>4070</c:v>
                </c:pt>
                <c:pt idx="8">
                  <c:v>4080</c:v>
                </c:pt>
                <c:pt idx="9">
                  <c:v>4090</c:v>
                </c:pt>
                <c:pt idx="10">
                  <c:v>4100</c:v>
                </c:pt>
                <c:pt idx="11">
                  <c:v>4110</c:v>
                </c:pt>
                <c:pt idx="12">
                  <c:v>4120</c:v>
                </c:pt>
                <c:pt idx="13">
                  <c:v>4130</c:v>
                </c:pt>
                <c:pt idx="14">
                  <c:v>4140</c:v>
                </c:pt>
                <c:pt idx="15">
                  <c:v>4150</c:v>
                </c:pt>
                <c:pt idx="16">
                  <c:v>4160</c:v>
                </c:pt>
                <c:pt idx="17">
                  <c:v>4170</c:v>
                </c:pt>
                <c:pt idx="18">
                  <c:v>4180</c:v>
                </c:pt>
                <c:pt idx="19">
                  <c:v>4190</c:v>
                </c:pt>
                <c:pt idx="20">
                  <c:v>4200</c:v>
                </c:pt>
                <c:pt idx="21">
                  <c:v>4210</c:v>
                </c:pt>
                <c:pt idx="22">
                  <c:v>4220</c:v>
                </c:pt>
                <c:pt idx="23">
                  <c:v>4230</c:v>
                </c:pt>
                <c:pt idx="24">
                  <c:v>4240</c:v>
                </c:pt>
                <c:pt idx="25">
                  <c:v>4250</c:v>
                </c:pt>
                <c:pt idx="26">
                  <c:v>4260</c:v>
                </c:pt>
                <c:pt idx="27">
                  <c:v>4270</c:v>
                </c:pt>
                <c:pt idx="28">
                  <c:v>4280</c:v>
                </c:pt>
                <c:pt idx="29">
                  <c:v>4290</c:v>
                </c:pt>
                <c:pt idx="30">
                  <c:v>4300</c:v>
                </c:pt>
                <c:pt idx="31">
                  <c:v>4310</c:v>
                </c:pt>
                <c:pt idx="32">
                  <c:v>4320</c:v>
                </c:pt>
                <c:pt idx="33">
                  <c:v>4330</c:v>
                </c:pt>
                <c:pt idx="34">
                  <c:v>4340</c:v>
                </c:pt>
                <c:pt idx="35">
                  <c:v>4350</c:v>
                </c:pt>
                <c:pt idx="36">
                  <c:v>4360</c:v>
                </c:pt>
                <c:pt idx="37">
                  <c:v>4370</c:v>
                </c:pt>
                <c:pt idx="38">
                  <c:v>4380</c:v>
                </c:pt>
                <c:pt idx="39">
                  <c:v>4390</c:v>
                </c:pt>
                <c:pt idx="40">
                  <c:v>4400</c:v>
                </c:pt>
                <c:pt idx="41">
                  <c:v>4410</c:v>
                </c:pt>
                <c:pt idx="42">
                  <c:v>4420</c:v>
                </c:pt>
                <c:pt idx="43">
                  <c:v>4430</c:v>
                </c:pt>
                <c:pt idx="44">
                  <c:v>4440</c:v>
                </c:pt>
                <c:pt idx="45">
                  <c:v>4450</c:v>
                </c:pt>
                <c:pt idx="46">
                  <c:v>4460</c:v>
                </c:pt>
                <c:pt idx="47">
                  <c:v>4470</c:v>
                </c:pt>
                <c:pt idx="48">
                  <c:v>4480</c:v>
                </c:pt>
                <c:pt idx="49">
                  <c:v>4490</c:v>
                </c:pt>
                <c:pt idx="50">
                  <c:v>4500</c:v>
                </c:pt>
                <c:pt idx="51">
                  <c:v>4510</c:v>
                </c:pt>
                <c:pt idx="52">
                  <c:v>4520</c:v>
                </c:pt>
                <c:pt idx="53">
                  <c:v>4530</c:v>
                </c:pt>
                <c:pt idx="54">
                  <c:v>4540</c:v>
                </c:pt>
                <c:pt idx="55">
                  <c:v>4550</c:v>
                </c:pt>
                <c:pt idx="56">
                  <c:v>4560</c:v>
                </c:pt>
                <c:pt idx="57">
                  <c:v>4570</c:v>
                </c:pt>
                <c:pt idx="58">
                  <c:v>4580</c:v>
                </c:pt>
                <c:pt idx="59">
                  <c:v>4590</c:v>
                </c:pt>
                <c:pt idx="60">
                  <c:v>4600</c:v>
                </c:pt>
                <c:pt idx="61">
                  <c:v>4610</c:v>
                </c:pt>
                <c:pt idx="62">
                  <c:v>4620</c:v>
                </c:pt>
                <c:pt idx="63">
                  <c:v>4630</c:v>
                </c:pt>
                <c:pt idx="64">
                  <c:v>4640</c:v>
                </c:pt>
                <c:pt idx="65">
                  <c:v>4650</c:v>
                </c:pt>
                <c:pt idx="66">
                  <c:v>4660</c:v>
                </c:pt>
                <c:pt idx="67">
                  <c:v>4670</c:v>
                </c:pt>
                <c:pt idx="68">
                  <c:v>4680</c:v>
                </c:pt>
                <c:pt idx="69">
                  <c:v>4690</c:v>
                </c:pt>
                <c:pt idx="70">
                  <c:v>4700</c:v>
                </c:pt>
                <c:pt idx="71">
                  <c:v>4710</c:v>
                </c:pt>
                <c:pt idx="72">
                  <c:v>4720</c:v>
                </c:pt>
                <c:pt idx="73">
                  <c:v>4730</c:v>
                </c:pt>
                <c:pt idx="74">
                  <c:v>4740</c:v>
                </c:pt>
                <c:pt idx="75">
                  <c:v>4746</c:v>
                </c:pt>
                <c:pt idx="76">
                  <c:v>4750</c:v>
                </c:pt>
                <c:pt idx="77">
                  <c:v>4760</c:v>
                </c:pt>
                <c:pt idx="78">
                  <c:v>4770</c:v>
                </c:pt>
                <c:pt idx="79">
                  <c:v>4780</c:v>
                </c:pt>
                <c:pt idx="80">
                  <c:v>4790</c:v>
                </c:pt>
                <c:pt idx="81">
                  <c:v>4800</c:v>
                </c:pt>
                <c:pt idx="82">
                  <c:v>4810</c:v>
                </c:pt>
                <c:pt idx="83">
                  <c:v>4820</c:v>
                </c:pt>
                <c:pt idx="84">
                  <c:v>4830</c:v>
                </c:pt>
                <c:pt idx="85">
                  <c:v>4840</c:v>
                </c:pt>
                <c:pt idx="86">
                  <c:v>4850</c:v>
                </c:pt>
                <c:pt idx="87">
                  <c:v>4860</c:v>
                </c:pt>
                <c:pt idx="88">
                  <c:v>4870</c:v>
                </c:pt>
                <c:pt idx="89">
                  <c:v>4880</c:v>
                </c:pt>
                <c:pt idx="90">
                  <c:v>4890</c:v>
                </c:pt>
                <c:pt idx="91">
                  <c:v>4900</c:v>
                </c:pt>
                <c:pt idx="92">
                  <c:v>4910</c:v>
                </c:pt>
                <c:pt idx="93">
                  <c:v>4920</c:v>
                </c:pt>
                <c:pt idx="94">
                  <c:v>4930</c:v>
                </c:pt>
                <c:pt idx="95">
                  <c:v>4940</c:v>
                </c:pt>
                <c:pt idx="96">
                  <c:v>4950</c:v>
                </c:pt>
                <c:pt idx="97">
                  <c:v>4960</c:v>
                </c:pt>
                <c:pt idx="98">
                  <c:v>4970</c:v>
                </c:pt>
                <c:pt idx="99">
                  <c:v>4980</c:v>
                </c:pt>
                <c:pt idx="100">
                  <c:v>4990</c:v>
                </c:pt>
                <c:pt idx="101">
                  <c:v>5000</c:v>
                </c:pt>
                <c:pt idx="102">
                  <c:v>5010</c:v>
                </c:pt>
                <c:pt idx="103">
                  <c:v>5020</c:v>
                </c:pt>
                <c:pt idx="104">
                  <c:v>5030</c:v>
                </c:pt>
                <c:pt idx="105">
                  <c:v>5040</c:v>
                </c:pt>
                <c:pt idx="106">
                  <c:v>5050</c:v>
                </c:pt>
                <c:pt idx="107">
                  <c:v>5060</c:v>
                </c:pt>
                <c:pt idx="108">
                  <c:v>5070</c:v>
                </c:pt>
                <c:pt idx="109">
                  <c:v>5080</c:v>
                </c:pt>
                <c:pt idx="110">
                  <c:v>5090</c:v>
                </c:pt>
                <c:pt idx="111">
                  <c:v>5100</c:v>
                </c:pt>
                <c:pt idx="112">
                  <c:v>5110</c:v>
                </c:pt>
                <c:pt idx="113">
                  <c:v>5120</c:v>
                </c:pt>
                <c:pt idx="114">
                  <c:v>5130</c:v>
                </c:pt>
                <c:pt idx="115">
                  <c:v>5140</c:v>
                </c:pt>
                <c:pt idx="116">
                  <c:v>5150</c:v>
                </c:pt>
                <c:pt idx="117">
                  <c:v>5160</c:v>
                </c:pt>
                <c:pt idx="118">
                  <c:v>5170</c:v>
                </c:pt>
                <c:pt idx="119">
                  <c:v>5180</c:v>
                </c:pt>
                <c:pt idx="120">
                  <c:v>5190</c:v>
                </c:pt>
                <c:pt idx="121">
                  <c:v>5200</c:v>
                </c:pt>
                <c:pt idx="122">
                  <c:v>5210</c:v>
                </c:pt>
                <c:pt idx="123">
                  <c:v>5220</c:v>
                </c:pt>
                <c:pt idx="124">
                  <c:v>5230</c:v>
                </c:pt>
                <c:pt idx="125">
                  <c:v>5240</c:v>
                </c:pt>
                <c:pt idx="126">
                  <c:v>5250</c:v>
                </c:pt>
                <c:pt idx="127">
                  <c:v>5260</c:v>
                </c:pt>
                <c:pt idx="128">
                  <c:v>5270</c:v>
                </c:pt>
                <c:pt idx="129">
                  <c:v>5280</c:v>
                </c:pt>
                <c:pt idx="130">
                  <c:v>5290</c:v>
                </c:pt>
                <c:pt idx="131">
                  <c:v>5300</c:v>
                </c:pt>
                <c:pt idx="132">
                  <c:v>5310</c:v>
                </c:pt>
                <c:pt idx="133">
                  <c:v>5320</c:v>
                </c:pt>
                <c:pt idx="134">
                  <c:v>5330</c:v>
                </c:pt>
                <c:pt idx="135">
                  <c:v>5340</c:v>
                </c:pt>
                <c:pt idx="136">
                  <c:v>5350</c:v>
                </c:pt>
                <c:pt idx="137">
                  <c:v>5360</c:v>
                </c:pt>
                <c:pt idx="138">
                  <c:v>5370</c:v>
                </c:pt>
                <c:pt idx="139">
                  <c:v>5380</c:v>
                </c:pt>
                <c:pt idx="140">
                  <c:v>5390</c:v>
                </c:pt>
                <c:pt idx="141">
                  <c:v>5400</c:v>
                </c:pt>
                <c:pt idx="142">
                  <c:v>5410</c:v>
                </c:pt>
                <c:pt idx="143">
                  <c:v>5420</c:v>
                </c:pt>
                <c:pt idx="144">
                  <c:v>5430</c:v>
                </c:pt>
                <c:pt idx="145">
                  <c:v>5440</c:v>
                </c:pt>
                <c:pt idx="146">
                  <c:v>5450</c:v>
                </c:pt>
                <c:pt idx="147">
                  <c:v>5460</c:v>
                </c:pt>
                <c:pt idx="148">
                  <c:v>5470</c:v>
                </c:pt>
                <c:pt idx="149">
                  <c:v>5480</c:v>
                </c:pt>
                <c:pt idx="150">
                  <c:v>5490</c:v>
                </c:pt>
                <c:pt idx="151">
                  <c:v>5500</c:v>
                </c:pt>
                <c:pt idx="152">
                  <c:v>5510</c:v>
                </c:pt>
                <c:pt idx="153">
                  <c:v>5520</c:v>
                </c:pt>
                <c:pt idx="154">
                  <c:v>5530</c:v>
                </c:pt>
                <c:pt idx="155">
                  <c:v>5540</c:v>
                </c:pt>
                <c:pt idx="156">
                  <c:v>5550</c:v>
                </c:pt>
                <c:pt idx="157">
                  <c:v>5560</c:v>
                </c:pt>
                <c:pt idx="158">
                  <c:v>5570</c:v>
                </c:pt>
                <c:pt idx="159">
                  <c:v>5580</c:v>
                </c:pt>
                <c:pt idx="160">
                  <c:v>5590</c:v>
                </c:pt>
                <c:pt idx="161">
                  <c:v>5600</c:v>
                </c:pt>
                <c:pt idx="162">
                  <c:v>5610</c:v>
                </c:pt>
                <c:pt idx="163">
                  <c:v>5620</c:v>
                </c:pt>
                <c:pt idx="164">
                  <c:v>5630</c:v>
                </c:pt>
                <c:pt idx="165">
                  <c:v>5640</c:v>
                </c:pt>
                <c:pt idx="166">
                  <c:v>5650</c:v>
                </c:pt>
                <c:pt idx="167">
                  <c:v>5660</c:v>
                </c:pt>
                <c:pt idx="168">
                  <c:v>5670</c:v>
                </c:pt>
                <c:pt idx="169">
                  <c:v>5680</c:v>
                </c:pt>
                <c:pt idx="170">
                  <c:v>5690</c:v>
                </c:pt>
                <c:pt idx="171">
                  <c:v>5700</c:v>
                </c:pt>
                <c:pt idx="172">
                  <c:v>5710</c:v>
                </c:pt>
                <c:pt idx="173">
                  <c:v>5720</c:v>
                </c:pt>
                <c:pt idx="174">
                  <c:v>5730</c:v>
                </c:pt>
                <c:pt idx="175">
                  <c:v>5740</c:v>
                </c:pt>
                <c:pt idx="176">
                  <c:v>5750</c:v>
                </c:pt>
                <c:pt idx="177">
                  <c:v>5760</c:v>
                </c:pt>
                <c:pt idx="178">
                  <c:v>5770</c:v>
                </c:pt>
                <c:pt idx="179">
                  <c:v>5780</c:v>
                </c:pt>
                <c:pt idx="180">
                  <c:v>5790</c:v>
                </c:pt>
                <c:pt idx="181">
                  <c:v>5800</c:v>
                </c:pt>
                <c:pt idx="182">
                  <c:v>5810</c:v>
                </c:pt>
                <c:pt idx="183">
                  <c:v>5820</c:v>
                </c:pt>
                <c:pt idx="184">
                  <c:v>5830</c:v>
                </c:pt>
                <c:pt idx="185">
                  <c:v>5840</c:v>
                </c:pt>
                <c:pt idx="186">
                  <c:v>5850</c:v>
                </c:pt>
                <c:pt idx="187">
                  <c:v>5860</c:v>
                </c:pt>
                <c:pt idx="188">
                  <c:v>5870</c:v>
                </c:pt>
                <c:pt idx="189">
                  <c:v>5880</c:v>
                </c:pt>
                <c:pt idx="190">
                  <c:v>5890</c:v>
                </c:pt>
                <c:pt idx="191">
                  <c:v>5900</c:v>
                </c:pt>
                <c:pt idx="192">
                  <c:v>5910</c:v>
                </c:pt>
                <c:pt idx="193">
                  <c:v>5920</c:v>
                </c:pt>
                <c:pt idx="194">
                  <c:v>5930</c:v>
                </c:pt>
                <c:pt idx="195">
                  <c:v>5940</c:v>
                </c:pt>
                <c:pt idx="196">
                  <c:v>5950</c:v>
                </c:pt>
                <c:pt idx="197">
                  <c:v>5960</c:v>
                </c:pt>
                <c:pt idx="198">
                  <c:v>5970</c:v>
                </c:pt>
                <c:pt idx="199">
                  <c:v>5980</c:v>
                </c:pt>
                <c:pt idx="200">
                  <c:v>5990</c:v>
                </c:pt>
                <c:pt idx="201">
                  <c:v>6000</c:v>
                </c:pt>
              </c:numCache>
            </c:numRef>
          </c:xVal>
          <c:yVal>
            <c:numRef>
              <c:f>COLLAR!$L$6:$L$207</c:f>
              <c:numCache>
                <c:formatCode>#,##0.00;\(#,##0.00\)</c:formatCode>
                <c:ptCount val="202"/>
                <c:pt idx="0">
                  <c:v>-46</c:v>
                </c:pt>
                <c:pt idx="1">
                  <c:v>-46</c:v>
                </c:pt>
                <c:pt idx="2">
                  <c:v>-46</c:v>
                </c:pt>
                <c:pt idx="3">
                  <c:v>-46</c:v>
                </c:pt>
                <c:pt idx="4">
                  <c:v>-46</c:v>
                </c:pt>
                <c:pt idx="5">
                  <c:v>-46</c:v>
                </c:pt>
                <c:pt idx="6">
                  <c:v>-46</c:v>
                </c:pt>
                <c:pt idx="7">
                  <c:v>-46</c:v>
                </c:pt>
                <c:pt idx="8">
                  <c:v>-46</c:v>
                </c:pt>
                <c:pt idx="9">
                  <c:v>-46</c:v>
                </c:pt>
                <c:pt idx="10">
                  <c:v>-46</c:v>
                </c:pt>
                <c:pt idx="11">
                  <c:v>-46</c:v>
                </c:pt>
                <c:pt idx="12">
                  <c:v>-46</c:v>
                </c:pt>
                <c:pt idx="13">
                  <c:v>-46</c:v>
                </c:pt>
                <c:pt idx="14">
                  <c:v>-46</c:v>
                </c:pt>
                <c:pt idx="15">
                  <c:v>-46</c:v>
                </c:pt>
                <c:pt idx="16">
                  <c:v>-46</c:v>
                </c:pt>
                <c:pt idx="17">
                  <c:v>-46</c:v>
                </c:pt>
                <c:pt idx="18">
                  <c:v>-46</c:v>
                </c:pt>
                <c:pt idx="19">
                  <c:v>-46</c:v>
                </c:pt>
                <c:pt idx="20">
                  <c:v>-46</c:v>
                </c:pt>
                <c:pt idx="21">
                  <c:v>-46</c:v>
                </c:pt>
                <c:pt idx="22">
                  <c:v>-46</c:v>
                </c:pt>
                <c:pt idx="23">
                  <c:v>-46</c:v>
                </c:pt>
                <c:pt idx="24">
                  <c:v>-46</c:v>
                </c:pt>
                <c:pt idx="25">
                  <c:v>-46</c:v>
                </c:pt>
                <c:pt idx="26">
                  <c:v>-46</c:v>
                </c:pt>
                <c:pt idx="27">
                  <c:v>-46</c:v>
                </c:pt>
                <c:pt idx="28">
                  <c:v>-46</c:v>
                </c:pt>
                <c:pt idx="29">
                  <c:v>-46</c:v>
                </c:pt>
                <c:pt idx="30">
                  <c:v>-46</c:v>
                </c:pt>
                <c:pt idx="31">
                  <c:v>-46</c:v>
                </c:pt>
                <c:pt idx="32">
                  <c:v>-46</c:v>
                </c:pt>
                <c:pt idx="33">
                  <c:v>-46</c:v>
                </c:pt>
                <c:pt idx="34">
                  <c:v>-46</c:v>
                </c:pt>
                <c:pt idx="35">
                  <c:v>-46</c:v>
                </c:pt>
                <c:pt idx="36">
                  <c:v>-46</c:v>
                </c:pt>
                <c:pt idx="37">
                  <c:v>-46</c:v>
                </c:pt>
                <c:pt idx="38">
                  <c:v>-46</c:v>
                </c:pt>
                <c:pt idx="39">
                  <c:v>-46</c:v>
                </c:pt>
                <c:pt idx="40">
                  <c:v>-46</c:v>
                </c:pt>
                <c:pt idx="41">
                  <c:v>-46</c:v>
                </c:pt>
                <c:pt idx="42">
                  <c:v>-46</c:v>
                </c:pt>
                <c:pt idx="43">
                  <c:v>-46</c:v>
                </c:pt>
                <c:pt idx="44">
                  <c:v>-46</c:v>
                </c:pt>
                <c:pt idx="45">
                  <c:v>-46</c:v>
                </c:pt>
                <c:pt idx="46">
                  <c:v>-46</c:v>
                </c:pt>
                <c:pt idx="47">
                  <c:v>-46</c:v>
                </c:pt>
                <c:pt idx="48">
                  <c:v>-46</c:v>
                </c:pt>
                <c:pt idx="49">
                  <c:v>-46</c:v>
                </c:pt>
                <c:pt idx="50">
                  <c:v>-46</c:v>
                </c:pt>
                <c:pt idx="51">
                  <c:v>-46</c:v>
                </c:pt>
                <c:pt idx="52">
                  <c:v>-46</c:v>
                </c:pt>
                <c:pt idx="53">
                  <c:v>-46</c:v>
                </c:pt>
                <c:pt idx="54">
                  <c:v>-46</c:v>
                </c:pt>
                <c:pt idx="55">
                  <c:v>-46</c:v>
                </c:pt>
                <c:pt idx="56">
                  <c:v>-46</c:v>
                </c:pt>
                <c:pt idx="57">
                  <c:v>-46</c:v>
                </c:pt>
                <c:pt idx="58">
                  <c:v>-46</c:v>
                </c:pt>
                <c:pt idx="59">
                  <c:v>-46</c:v>
                </c:pt>
                <c:pt idx="60">
                  <c:v>-46</c:v>
                </c:pt>
                <c:pt idx="61">
                  <c:v>-46</c:v>
                </c:pt>
                <c:pt idx="62">
                  <c:v>-46</c:v>
                </c:pt>
                <c:pt idx="63">
                  <c:v>-46</c:v>
                </c:pt>
                <c:pt idx="64">
                  <c:v>-46</c:v>
                </c:pt>
                <c:pt idx="65">
                  <c:v>-46</c:v>
                </c:pt>
                <c:pt idx="66">
                  <c:v>-46</c:v>
                </c:pt>
                <c:pt idx="67">
                  <c:v>-46</c:v>
                </c:pt>
                <c:pt idx="68">
                  <c:v>-46</c:v>
                </c:pt>
                <c:pt idx="69">
                  <c:v>-46</c:v>
                </c:pt>
                <c:pt idx="70">
                  <c:v>-46</c:v>
                </c:pt>
                <c:pt idx="71">
                  <c:v>-36</c:v>
                </c:pt>
                <c:pt idx="72">
                  <c:v>-26</c:v>
                </c:pt>
                <c:pt idx="73">
                  <c:v>-16</c:v>
                </c:pt>
                <c:pt idx="74">
                  <c:v>-6</c:v>
                </c:pt>
                <c:pt idx="75">
                  <c:v>0</c:v>
                </c:pt>
                <c:pt idx="76">
                  <c:v>4</c:v>
                </c:pt>
                <c:pt idx="77">
                  <c:v>14</c:v>
                </c:pt>
                <c:pt idx="78">
                  <c:v>24</c:v>
                </c:pt>
                <c:pt idx="79">
                  <c:v>34</c:v>
                </c:pt>
                <c:pt idx="80">
                  <c:v>44</c:v>
                </c:pt>
                <c:pt idx="81">
                  <c:v>54</c:v>
                </c:pt>
                <c:pt idx="82">
                  <c:v>64</c:v>
                </c:pt>
                <c:pt idx="83">
                  <c:v>74</c:v>
                </c:pt>
                <c:pt idx="84">
                  <c:v>84</c:v>
                </c:pt>
                <c:pt idx="85">
                  <c:v>94</c:v>
                </c:pt>
                <c:pt idx="86">
                  <c:v>104</c:v>
                </c:pt>
                <c:pt idx="87">
                  <c:v>114</c:v>
                </c:pt>
                <c:pt idx="88">
                  <c:v>124</c:v>
                </c:pt>
                <c:pt idx="89">
                  <c:v>134</c:v>
                </c:pt>
                <c:pt idx="90">
                  <c:v>144</c:v>
                </c:pt>
                <c:pt idx="91">
                  <c:v>154</c:v>
                </c:pt>
                <c:pt idx="92">
                  <c:v>164</c:v>
                </c:pt>
                <c:pt idx="93">
                  <c:v>174</c:v>
                </c:pt>
                <c:pt idx="94">
                  <c:v>184</c:v>
                </c:pt>
                <c:pt idx="95">
                  <c:v>194</c:v>
                </c:pt>
                <c:pt idx="96">
                  <c:v>204</c:v>
                </c:pt>
                <c:pt idx="97">
                  <c:v>214</c:v>
                </c:pt>
                <c:pt idx="98">
                  <c:v>224</c:v>
                </c:pt>
                <c:pt idx="99">
                  <c:v>234</c:v>
                </c:pt>
                <c:pt idx="100">
                  <c:v>244</c:v>
                </c:pt>
                <c:pt idx="101">
                  <c:v>254</c:v>
                </c:pt>
                <c:pt idx="102">
                  <c:v>254</c:v>
                </c:pt>
                <c:pt idx="103">
                  <c:v>254</c:v>
                </c:pt>
                <c:pt idx="104">
                  <c:v>254</c:v>
                </c:pt>
                <c:pt idx="105">
                  <c:v>254</c:v>
                </c:pt>
                <c:pt idx="106">
                  <c:v>254</c:v>
                </c:pt>
                <c:pt idx="107">
                  <c:v>254</c:v>
                </c:pt>
                <c:pt idx="108">
                  <c:v>254</c:v>
                </c:pt>
                <c:pt idx="109">
                  <c:v>254</c:v>
                </c:pt>
                <c:pt idx="110">
                  <c:v>254</c:v>
                </c:pt>
                <c:pt idx="111">
                  <c:v>254</c:v>
                </c:pt>
                <c:pt idx="112">
                  <c:v>254</c:v>
                </c:pt>
                <c:pt idx="113">
                  <c:v>254</c:v>
                </c:pt>
                <c:pt idx="114">
                  <c:v>254</c:v>
                </c:pt>
                <c:pt idx="115">
                  <c:v>254</c:v>
                </c:pt>
                <c:pt idx="116">
                  <c:v>254</c:v>
                </c:pt>
                <c:pt idx="117">
                  <c:v>254</c:v>
                </c:pt>
                <c:pt idx="118">
                  <c:v>254</c:v>
                </c:pt>
                <c:pt idx="119">
                  <c:v>254</c:v>
                </c:pt>
                <c:pt idx="120">
                  <c:v>254</c:v>
                </c:pt>
                <c:pt idx="121">
                  <c:v>254</c:v>
                </c:pt>
                <c:pt idx="122">
                  <c:v>254</c:v>
                </c:pt>
                <c:pt idx="123">
                  <c:v>254</c:v>
                </c:pt>
                <c:pt idx="124">
                  <c:v>254</c:v>
                </c:pt>
                <c:pt idx="125">
                  <c:v>254</c:v>
                </c:pt>
                <c:pt idx="126">
                  <c:v>254</c:v>
                </c:pt>
                <c:pt idx="127">
                  <c:v>254</c:v>
                </c:pt>
                <c:pt idx="128">
                  <c:v>254</c:v>
                </c:pt>
                <c:pt idx="129">
                  <c:v>254</c:v>
                </c:pt>
                <c:pt idx="130">
                  <c:v>254</c:v>
                </c:pt>
                <c:pt idx="131">
                  <c:v>254</c:v>
                </c:pt>
                <c:pt idx="132">
                  <c:v>254</c:v>
                </c:pt>
                <c:pt idx="133">
                  <c:v>254</c:v>
                </c:pt>
                <c:pt idx="134">
                  <c:v>254</c:v>
                </c:pt>
                <c:pt idx="135">
                  <c:v>254</c:v>
                </c:pt>
                <c:pt idx="136">
                  <c:v>254</c:v>
                </c:pt>
                <c:pt idx="137">
                  <c:v>254</c:v>
                </c:pt>
                <c:pt idx="138">
                  <c:v>254</c:v>
                </c:pt>
                <c:pt idx="139">
                  <c:v>254</c:v>
                </c:pt>
                <c:pt idx="140">
                  <c:v>254</c:v>
                </c:pt>
                <c:pt idx="141">
                  <c:v>254</c:v>
                </c:pt>
                <c:pt idx="142">
                  <c:v>254</c:v>
                </c:pt>
                <c:pt idx="143">
                  <c:v>254</c:v>
                </c:pt>
                <c:pt idx="144">
                  <c:v>254</c:v>
                </c:pt>
                <c:pt idx="145">
                  <c:v>254</c:v>
                </c:pt>
                <c:pt idx="146">
                  <c:v>254</c:v>
                </c:pt>
                <c:pt idx="147">
                  <c:v>254</c:v>
                </c:pt>
                <c:pt idx="148">
                  <c:v>254</c:v>
                </c:pt>
                <c:pt idx="149">
                  <c:v>254</c:v>
                </c:pt>
                <c:pt idx="150">
                  <c:v>254</c:v>
                </c:pt>
                <c:pt idx="151">
                  <c:v>254</c:v>
                </c:pt>
                <c:pt idx="152">
                  <c:v>254</c:v>
                </c:pt>
                <c:pt idx="153">
                  <c:v>254</c:v>
                </c:pt>
                <c:pt idx="154">
                  <c:v>254</c:v>
                </c:pt>
                <c:pt idx="155">
                  <c:v>254</c:v>
                </c:pt>
                <c:pt idx="156">
                  <c:v>254</c:v>
                </c:pt>
                <c:pt idx="157">
                  <c:v>254</c:v>
                </c:pt>
                <c:pt idx="158">
                  <c:v>254</c:v>
                </c:pt>
                <c:pt idx="159">
                  <c:v>254</c:v>
                </c:pt>
                <c:pt idx="160">
                  <c:v>254</c:v>
                </c:pt>
                <c:pt idx="161">
                  <c:v>254</c:v>
                </c:pt>
                <c:pt idx="162">
                  <c:v>254</c:v>
                </c:pt>
                <c:pt idx="163">
                  <c:v>254</c:v>
                </c:pt>
                <c:pt idx="164">
                  <c:v>254</c:v>
                </c:pt>
                <c:pt idx="165">
                  <c:v>254</c:v>
                </c:pt>
                <c:pt idx="166">
                  <c:v>254</c:v>
                </c:pt>
                <c:pt idx="167">
                  <c:v>254</c:v>
                </c:pt>
                <c:pt idx="168">
                  <c:v>254</c:v>
                </c:pt>
                <c:pt idx="169">
                  <c:v>254</c:v>
                </c:pt>
                <c:pt idx="170">
                  <c:v>254</c:v>
                </c:pt>
                <c:pt idx="171">
                  <c:v>254</c:v>
                </c:pt>
                <c:pt idx="172">
                  <c:v>254</c:v>
                </c:pt>
                <c:pt idx="173">
                  <c:v>254</c:v>
                </c:pt>
                <c:pt idx="174">
                  <c:v>254</c:v>
                </c:pt>
                <c:pt idx="175">
                  <c:v>254</c:v>
                </c:pt>
                <c:pt idx="176">
                  <c:v>254</c:v>
                </c:pt>
                <c:pt idx="177">
                  <c:v>254</c:v>
                </c:pt>
                <c:pt idx="178">
                  <c:v>254</c:v>
                </c:pt>
                <c:pt idx="179">
                  <c:v>254</c:v>
                </c:pt>
                <c:pt idx="180">
                  <c:v>254</c:v>
                </c:pt>
                <c:pt idx="181">
                  <c:v>254</c:v>
                </c:pt>
                <c:pt idx="182">
                  <c:v>254</c:v>
                </c:pt>
                <c:pt idx="183">
                  <c:v>254</c:v>
                </c:pt>
                <c:pt idx="184">
                  <c:v>254</c:v>
                </c:pt>
                <c:pt idx="185">
                  <c:v>254</c:v>
                </c:pt>
                <c:pt idx="186">
                  <c:v>254</c:v>
                </c:pt>
                <c:pt idx="187">
                  <c:v>254</c:v>
                </c:pt>
                <c:pt idx="188">
                  <c:v>254</c:v>
                </c:pt>
                <c:pt idx="189">
                  <c:v>254</c:v>
                </c:pt>
                <c:pt idx="190">
                  <c:v>254</c:v>
                </c:pt>
                <c:pt idx="191">
                  <c:v>254</c:v>
                </c:pt>
                <c:pt idx="192">
                  <c:v>254</c:v>
                </c:pt>
                <c:pt idx="193">
                  <c:v>254</c:v>
                </c:pt>
                <c:pt idx="194">
                  <c:v>254</c:v>
                </c:pt>
                <c:pt idx="195">
                  <c:v>254</c:v>
                </c:pt>
                <c:pt idx="196">
                  <c:v>254</c:v>
                </c:pt>
                <c:pt idx="197">
                  <c:v>254</c:v>
                </c:pt>
                <c:pt idx="198">
                  <c:v>254</c:v>
                </c:pt>
                <c:pt idx="199">
                  <c:v>254</c:v>
                </c:pt>
                <c:pt idx="200">
                  <c:v>254</c:v>
                </c:pt>
                <c:pt idx="201">
                  <c:v>254</c:v>
                </c:pt>
              </c:numCache>
            </c:numRef>
          </c:yVal>
          <c:smooth val="0"/>
          <c:extLst>
            <c:ext xmlns:c16="http://schemas.microsoft.com/office/drawing/2014/chart" uri="{C3380CC4-5D6E-409C-BE32-E72D297353CC}">
              <c16:uniqueId val="{00000000-0EFA-4362-A5B3-CEFF7158C0C9}"/>
            </c:ext>
          </c:extLst>
        </c:ser>
        <c:dLbls>
          <c:showLegendKey val="0"/>
          <c:showVal val="0"/>
          <c:showCatName val="0"/>
          <c:showSerName val="0"/>
          <c:showPercent val="0"/>
          <c:showBubbleSize val="0"/>
        </c:dLbls>
        <c:axId val="771677872"/>
        <c:axId val="771674512"/>
      </c:scatterChart>
      <c:valAx>
        <c:axId val="771677872"/>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74512"/>
        <c:crosses val="autoZero"/>
        <c:crossBetween val="midCat"/>
      </c:valAx>
      <c:valAx>
        <c:axId val="771674512"/>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778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'BULL CALL SPREAD STRATEGY'!$J$5</c:f>
              <c:strCache>
                <c:ptCount val="1"/>
                <c:pt idx="0">
                  <c:v>P&amp;L</c:v>
                </c:pt>
              </c:strCache>
            </c:strRef>
          </c:tx>
          <c:spPr>
            <a:ln w="19050" cap="rnd">
              <a:solidFill>
                <a:schemeClr val="accent1"/>
              </a:solidFill>
              <a:round/>
            </a:ln>
            <a:effectLst/>
          </c:spPr>
          <c:marker>
            <c:symbol val="none"/>
          </c:marker>
          <c:xVal>
            <c:numRef>
              <c:f>'BULL CALL SPREAD STRATEGY'!$G$6:$G$47</c:f>
              <c:numCache>
                <c:formatCode>#,##0.00;\(#,##0.00\)</c:formatCode>
                <c:ptCount val="42"/>
                <c:pt idx="0">
                  <c:v>21000</c:v>
                </c:pt>
                <c:pt idx="1">
                  <c:v>21050</c:v>
                </c:pt>
                <c:pt idx="2">
                  <c:v>21100</c:v>
                </c:pt>
                <c:pt idx="3">
                  <c:v>21150</c:v>
                </c:pt>
                <c:pt idx="4">
                  <c:v>21200</c:v>
                </c:pt>
                <c:pt idx="5">
                  <c:v>21250</c:v>
                </c:pt>
                <c:pt idx="6">
                  <c:v>21300</c:v>
                </c:pt>
                <c:pt idx="7">
                  <c:v>21350</c:v>
                </c:pt>
                <c:pt idx="8">
                  <c:v>21400</c:v>
                </c:pt>
                <c:pt idx="9">
                  <c:v>21450</c:v>
                </c:pt>
                <c:pt idx="10">
                  <c:v>21500</c:v>
                </c:pt>
                <c:pt idx="11">
                  <c:v>21550</c:v>
                </c:pt>
                <c:pt idx="12">
                  <c:v>21600</c:v>
                </c:pt>
                <c:pt idx="13">
                  <c:v>21650</c:v>
                </c:pt>
                <c:pt idx="14">
                  <c:v>21700</c:v>
                </c:pt>
                <c:pt idx="15">
                  <c:v>21750</c:v>
                </c:pt>
                <c:pt idx="16">
                  <c:v>21800</c:v>
                </c:pt>
                <c:pt idx="17">
                  <c:v>21850</c:v>
                </c:pt>
                <c:pt idx="18">
                  <c:v>21900</c:v>
                </c:pt>
                <c:pt idx="19">
                  <c:v>21950</c:v>
                </c:pt>
                <c:pt idx="20">
                  <c:v>22000</c:v>
                </c:pt>
                <c:pt idx="21">
                  <c:v>22050</c:v>
                </c:pt>
                <c:pt idx="22">
                  <c:v>22100</c:v>
                </c:pt>
                <c:pt idx="23">
                  <c:v>22135.05</c:v>
                </c:pt>
                <c:pt idx="24">
                  <c:v>22150</c:v>
                </c:pt>
                <c:pt idx="25">
                  <c:v>22200</c:v>
                </c:pt>
                <c:pt idx="26">
                  <c:v>22250</c:v>
                </c:pt>
                <c:pt idx="27">
                  <c:v>22300</c:v>
                </c:pt>
                <c:pt idx="28">
                  <c:v>22350</c:v>
                </c:pt>
                <c:pt idx="29">
                  <c:v>22400</c:v>
                </c:pt>
                <c:pt idx="30">
                  <c:v>22450</c:v>
                </c:pt>
                <c:pt idx="31">
                  <c:v>22500</c:v>
                </c:pt>
                <c:pt idx="32">
                  <c:v>22550</c:v>
                </c:pt>
                <c:pt idx="33">
                  <c:v>22600</c:v>
                </c:pt>
                <c:pt idx="34">
                  <c:v>22650</c:v>
                </c:pt>
                <c:pt idx="35">
                  <c:v>22700</c:v>
                </c:pt>
                <c:pt idx="36">
                  <c:v>22750</c:v>
                </c:pt>
                <c:pt idx="37">
                  <c:v>22800</c:v>
                </c:pt>
                <c:pt idx="38">
                  <c:v>22850</c:v>
                </c:pt>
                <c:pt idx="39">
                  <c:v>22900</c:v>
                </c:pt>
                <c:pt idx="40">
                  <c:v>22950</c:v>
                </c:pt>
                <c:pt idx="41">
                  <c:v>23000</c:v>
                </c:pt>
              </c:numCache>
            </c:numRef>
          </c:xVal>
          <c:yVal>
            <c:numRef>
              <c:f>'BULL CALL SPREAD STRATEGY'!$J$6:$J$47</c:f>
              <c:numCache>
                <c:formatCode>#,##0.00;\(#,##0.00\)</c:formatCode>
                <c:ptCount val="42"/>
                <c:pt idx="0">
                  <c:v>-135.04999999999998</c:v>
                </c:pt>
                <c:pt idx="1">
                  <c:v>-135.04999999999998</c:v>
                </c:pt>
                <c:pt idx="2">
                  <c:v>-135.04999999999998</c:v>
                </c:pt>
                <c:pt idx="3">
                  <c:v>-135.04999999999998</c:v>
                </c:pt>
                <c:pt idx="4">
                  <c:v>-135.04999999999998</c:v>
                </c:pt>
                <c:pt idx="5">
                  <c:v>-135.04999999999998</c:v>
                </c:pt>
                <c:pt idx="6">
                  <c:v>-135.04999999999998</c:v>
                </c:pt>
                <c:pt idx="7">
                  <c:v>-135.04999999999998</c:v>
                </c:pt>
                <c:pt idx="8">
                  <c:v>-135.04999999999998</c:v>
                </c:pt>
                <c:pt idx="9">
                  <c:v>-135.04999999999998</c:v>
                </c:pt>
                <c:pt idx="10">
                  <c:v>-135.04999999999998</c:v>
                </c:pt>
                <c:pt idx="11">
                  <c:v>-135.04999999999998</c:v>
                </c:pt>
                <c:pt idx="12">
                  <c:v>-135.04999999999998</c:v>
                </c:pt>
                <c:pt idx="13">
                  <c:v>-135.04999999999998</c:v>
                </c:pt>
                <c:pt idx="14">
                  <c:v>-135.04999999999998</c:v>
                </c:pt>
                <c:pt idx="15">
                  <c:v>-135.04999999999998</c:v>
                </c:pt>
                <c:pt idx="16">
                  <c:v>-135.04999999999998</c:v>
                </c:pt>
                <c:pt idx="17">
                  <c:v>-135.04999999999998</c:v>
                </c:pt>
                <c:pt idx="18">
                  <c:v>-135.04999999999998</c:v>
                </c:pt>
                <c:pt idx="19">
                  <c:v>-135.04999999999998</c:v>
                </c:pt>
                <c:pt idx="20">
                  <c:v>-135.04999999999998</c:v>
                </c:pt>
                <c:pt idx="21">
                  <c:v>-85.049999999999983</c:v>
                </c:pt>
                <c:pt idx="22">
                  <c:v>-35.04999999999999</c:v>
                </c:pt>
                <c:pt idx="23">
                  <c:v>-7.1764816311770119E-13</c:v>
                </c:pt>
                <c:pt idx="24">
                  <c:v>14.95000000000001</c:v>
                </c:pt>
                <c:pt idx="25">
                  <c:v>64.950000000000017</c:v>
                </c:pt>
                <c:pt idx="26">
                  <c:v>114.95000000000002</c:v>
                </c:pt>
                <c:pt idx="27">
                  <c:v>164.95000000000002</c:v>
                </c:pt>
                <c:pt idx="28">
                  <c:v>214.95000000000002</c:v>
                </c:pt>
                <c:pt idx="29">
                  <c:v>264.95</c:v>
                </c:pt>
                <c:pt idx="30">
                  <c:v>264.95</c:v>
                </c:pt>
                <c:pt idx="31">
                  <c:v>264.95000000000005</c:v>
                </c:pt>
                <c:pt idx="32">
                  <c:v>264.95000000000005</c:v>
                </c:pt>
                <c:pt idx="33">
                  <c:v>264.95000000000005</c:v>
                </c:pt>
                <c:pt idx="34">
                  <c:v>264.95000000000005</c:v>
                </c:pt>
                <c:pt idx="35">
                  <c:v>264.94999999999993</c:v>
                </c:pt>
                <c:pt idx="36">
                  <c:v>264.94999999999993</c:v>
                </c:pt>
                <c:pt idx="37">
                  <c:v>264.94999999999993</c:v>
                </c:pt>
                <c:pt idx="38">
                  <c:v>264.94999999999993</c:v>
                </c:pt>
                <c:pt idx="39">
                  <c:v>264.94999999999993</c:v>
                </c:pt>
                <c:pt idx="40">
                  <c:v>264.94999999999993</c:v>
                </c:pt>
                <c:pt idx="41">
                  <c:v>264.94999999999993</c:v>
                </c:pt>
              </c:numCache>
            </c:numRef>
          </c:yVal>
          <c:smooth val="0"/>
          <c:extLst>
            <c:ext xmlns:c16="http://schemas.microsoft.com/office/drawing/2014/chart" uri="{C3380CC4-5D6E-409C-BE32-E72D297353CC}">
              <c16:uniqueId val="{00000000-99EF-4E60-8EF0-7FEDB8FF6F8F}"/>
            </c:ext>
          </c:extLst>
        </c:ser>
        <c:dLbls>
          <c:showLegendKey val="0"/>
          <c:showVal val="0"/>
          <c:showCatName val="0"/>
          <c:showSerName val="0"/>
          <c:showPercent val="0"/>
          <c:showBubbleSize val="0"/>
        </c:dLbls>
        <c:axId val="930005056"/>
        <c:axId val="930006016"/>
      </c:scatterChart>
      <c:valAx>
        <c:axId val="930005056"/>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06016"/>
        <c:crosses val="autoZero"/>
        <c:crossBetween val="midCat"/>
      </c:valAx>
      <c:valAx>
        <c:axId val="930006016"/>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050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'BULL CALL SPREAD STRATEGY'!$K$5</c:f>
              <c:strCache>
                <c:ptCount val="1"/>
                <c:pt idx="0">
                  <c:v>PUT SPREAD</c:v>
                </c:pt>
              </c:strCache>
            </c:strRef>
          </c:tx>
          <c:spPr>
            <a:ln w="19050" cap="rnd">
              <a:solidFill>
                <a:schemeClr val="accent1"/>
              </a:solidFill>
              <a:round/>
            </a:ln>
            <a:effectLst/>
          </c:spPr>
          <c:marker>
            <c:symbol val="none"/>
          </c:marker>
          <c:xVal>
            <c:numRef>
              <c:f>'BULL CALL SPREAD STRATEGY'!$G$6:$G$47</c:f>
              <c:numCache>
                <c:formatCode>#,##0.00;\(#,##0.00\)</c:formatCode>
                <c:ptCount val="42"/>
                <c:pt idx="0">
                  <c:v>21000</c:v>
                </c:pt>
                <c:pt idx="1">
                  <c:v>21050</c:v>
                </c:pt>
                <c:pt idx="2">
                  <c:v>21100</c:v>
                </c:pt>
                <c:pt idx="3">
                  <c:v>21150</c:v>
                </c:pt>
                <c:pt idx="4">
                  <c:v>21200</c:v>
                </c:pt>
                <c:pt idx="5">
                  <c:v>21250</c:v>
                </c:pt>
                <c:pt idx="6">
                  <c:v>21300</c:v>
                </c:pt>
                <c:pt idx="7">
                  <c:v>21350</c:v>
                </c:pt>
                <c:pt idx="8">
                  <c:v>21400</c:v>
                </c:pt>
                <c:pt idx="9">
                  <c:v>21450</c:v>
                </c:pt>
                <c:pt idx="10">
                  <c:v>21500</c:v>
                </c:pt>
                <c:pt idx="11">
                  <c:v>21550</c:v>
                </c:pt>
                <c:pt idx="12">
                  <c:v>21600</c:v>
                </c:pt>
                <c:pt idx="13">
                  <c:v>21650</c:v>
                </c:pt>
                <c:pt idx="14">
                  <c:v>21700</c:v>
                </c:pt>
                <c:pt idx="15">
                  <c:v>21750</c:v>
                </c:pt>
                <c:pt idx="16">
                  <c:v>21800</c:v>
                </c:pt>
                <c:pt idx="17">
                  <c:v>21850</c:v>
                </c:pt>
                <c:pt idx="18">
                  <c:v>21900</c:v>
                </c:pt>
                <c:pt idx="19">
                  <c:v>21950</c:v>
                </c:pt>
                <c:pt idx="20">
                  <c:v>22000</c:v>
                </c:pt>
                <c:pt idx="21">
                  <c:v>22050</c:v>
                </c:pt>
                <c:pt idx="22">
                  <c:v>22100</c:v>
                </c:pt>
                <c:pt idx="23">
                  <c:v>22135.05</c:v>
                </c:pt>
                <c:pt idx="24">
                  <c:v>22150</c:v>
                </c:pt>
                <c:pt idx="25">
                  <c:v>22200</c:v>
                </c:pt>
                <c:pt idx="26">
                  <c:v>22250</c:v>
                </c:pt>
                <c:pt idx="27">
                  <c:v>22300</c:v>
                </c:pt>
                <c:pt idx="28">
                  <c:v>22350</c:v>
                </c:pt>
                <c:pt idx="29">
                  <c:v>22400</c:v>
                </c:pt>
                <c:pt idx="30">
                  <c:v>22450</c:v>
                </c:pt>
                <c:pt idx="31">
                  <c:v>22500</c:v>
                </c:pt>
                <c:pt idx="32">
                  <c:v>22550</c:v>
                </c:pt>
                <c:pt idx="33">
                  <c:v>22600</c:v>
                </c:pt>
                <c:pt idx="34">
                  <c:v>22650</c:v>
                </c:pt>
                <c:pt idx="35">
                  <c:v>22700</c:v>
                </c:pt>
                <c:pt idx="36">
                  <c:v>22750</c:v>
                </c:pt>
                <c:pt idx="37">
                  <c:v>22800</c:v>
                </c:pt>
                <c:pt idx="38">
                  <c:v>22850</c:v>
                </c:pt>
                <c:pt idx="39">
                  <c:v>22900</c:v>
                </c:pt>
                <c:pt idx="40">
                  <c:v>22950</c:v>
                </c:pt>
                <c:pt idx="41">
                  <c:v>23000</c:v>
                </c:pt>
              </c:numCache>
            </c:numRef>
          </c:xVal>
          <c:yVal>
            <c:numRef>
              <c:f>'BULL CALL SPREAD STRATEGY'!$K$6:$K$47</c:f>
              <c:numCache>
                <c:formatCode>#,##0.00;\(#,##0.00\)</c:formatCode>
                <c:ptCount val="42"/>
                <c:pt idx="0">
                  <c:v>135.04999999999998</c:v>
                </c:pt>
                <c:pt idx="1">
                  <c:v>135.04999999999998</c:v>
                </c:pt>
                <c:pt idx="2">
                  <c:v>135.04999999999998</c:v>
                </c:pt>
                <c:pt idx="3">
                  <c:v>135.04999999999998</c:v>
                </c:pt>
                <c:pt idx="4">
                  <c:v>135.04999999999998</c:v>
                </c:pt>
                <c:pt idx="5">
                  <c:v>135.04999999999998</c:v>
                </c:pt>
                <c:pt idx="6">
                  <c:v>135.04999999999998</c:v>
                </c:pt>
                <c:pt idx="7">
                  <c:v>135.04999999999998</c:v>
                </c:pt>
                <c:pt idx="8">
                  <c:v>135.04999999999998</c:v>
                </c:pt>
                <c:pt idx="9">
                  <c:v>135.04999999999998</c:v>
                </c:pt>
                <c:pt idx="10">
                  <c:v>135.04999999999998</c:v>
                </c:pt>
                <c:pt idx="11">
                  <c:v>135.04999999999998</c:v>
                </c:pt>
                <c:pt idx="12">
                  <c:v>135.04999999999998</c:v>
                </c:pt>
                <c:pt idx="13">
                  <c:v>135.04999999999998</c:v>
                </c:pt>
                <c:pt idx="14">
                  <c:v>135.04999999999998</c:v>
                </c:pt>
                <c:pt idx="15">
                  <c:v>135.04999999999998</c:v>
                </c:pt>
                <c:pt idx="16">
                  <c:v>135.04999999999998</c:v>
                </c:pt>
                <c:pt idx="17">
                  <c:v>135.04999999999998</c:v>
                </c:pt>
                <c:pt idx="18">
                  <c:v>135.04999999999998</c:v>
                </c:pt>
                <c:pt idx="19">
                  <c:v>135.04999999999998</c:v>
                </c:pt>
                <c:pt idx="20">
                  <c:v>135.04999999999998</c:v>
                </c:pt>
                <c:pt idx="21">
                  <c:v>85.049999999999983</c:v>
                </c:pt>
                <c:pt idx="22">
                  <c:v>35.04999999999999</c:v>
                </c:pt>
                <c:pt idx="23">
                  <c:v>7.1764816311770119E-13</c:v>
                </c:pt>
                <c:pt idx="24">
                  <c:v>-14.95000000000001</c:v>
                </c:pt>
                <c:pt idx="25">
                  <c:v>-64.950000000000017</c:v>
                </c:pt>
                <c:pt idx="26">
                  <c:v>-114.95000000000002</c:v>
                </c:pt>
                <c:pt idx="27">
                  <c:v>-164.95000000000002</c:v>
                </c:pt>
                <c:pt idx="28">
                  <c:v>-214.95000000000002</c:v>
                </c:pt>
                <c:pt idx="29">
                  <c:v>-264.95</c:v>
                </c:pt>
                <c:pt idx="30">
                  <c:v>-264.95</c:v>
                </c:pt>
                <c:pt idx="31">
                  <c:v>-264.95000000000005</c:v>
                </c:pt>
                <c:pt idx="32">
                  <c:v>-264.95000000000005</c:v>
                </c:pt>
                <c:pt idx="33">
                  <c:v>-264.95000000000005</c:v>
                </c:pt>
                <c:pt idx="34">
                  <c:v>-264.95000000000005</c:v>
                </c:pt>
                <c:pt idx="35">
                  <c:v>-264.94999999999993</c:v>
                </c:pt>
                <c:pt idx="36">
                  <c:v>-264.94999999999993</c:v>
                </c:pt>
                <c:pt idx="37">
                  <c:v>-264.94999999999993</c:v>
                </c:pt>
                <c:pt idx="38">
                  <c:v>-264.94999999999993</c:v>
                </c:pt>
                <c:pt idx="39">
                  <c:v>-264.94999999999993</c:v>
                </c:pt>
                <c:pt idx="40">
                  <c:v>-264.94999999999993</c:v>
                </c:pt>
                <c:pt idx="41">
                  <c:v>-264.94999999999993</c:v>
                </c:pt>
              </c:numCache>
            </c:numRef>
          </c:yVal>
          <c:smooth val="0"/>
          <c:extLst>
            <c:ext xmlns:c16="http://schemas.microsoft.com/office/drawing/2014/chart" uri="{C3380CC4-5D6E-409C-BE32-E72D297353CC}">
              <c16:uniqueId val="{00000000-8EDE-49D4-8D37-736B3E6D2650}"/>
            </c:ext>
          </c:extLst>
        </c:ser>
        <c:dLbls>
          <c:showLegendKey val="0"/>
          <c:showVal val="0"/>
          <c:showCatName val="0"/>
          <c:showSerName val="0"/>
          <c:showPercent val="0"/>
          <c:showBubbleSize val="0"/>
        </c:dLbls>
        <c:axId val="748711536"/>
        <c:axId val="748712016"/>
      </c:scatterChart>
      <c:valAx>
        <c:axId val="748711536"/>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12016"/>
        <c:crosses val="autoZero"/>
        <c:crossBetween val="midCat"/>
      </c:valAx>
      <c:valAx>
        <c:axId val="748712016"/>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115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'BULL PUT SPREAD STRATEGY'!$K$5</c:f>
              <c:strCache>
                <c:ptCount val="1"/>
                <c:pt idx="0">
                  <c:v>P&amp;L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'BULL PUT SPREAD STRATEGY'!$H$6:$H$47</c:f>
              <c:numCache>
                <c:formatCode>#,##0.00;\(#,##0.00\)</c:formatCode>
                <c:ptCount val="42"/>
                <c:pt idx="0">
                  <c:v>21000</c:v>
                </c:pt>
                <c:pt idx="1">
                  <c:v>21050</c:v>
                </c:pt>
                <c:pt idx="2">
                  <c:v>21100</c:v>
                </c:pt>
                <c:pt idx="3">
                  <c:v>21150</c:v>
                </c:pt>
                <c:pt idx="4">
                  <c:v>21200</c:v>
                </c:pt>
                <c:pt idx="5">
                  <c:v>21250</c:v>
                </c:pt>
                <c:pt idx="6">
                  <c:v>21300</c:v>
                </c:pt>
                <c:pt idx="7">
                  <c:v>21350</c:v>
                </c:pt>
                <c:pt idx="8">
                  <c:v>21400</c:v>
                </c:pt>
                <c:pt idx="9">
                  <c:v>21450</c:v>
                </c:pt>
                <c:pt idx="10">
                  <c:v>21500</c:v>
                </c:pt>
                <c:pt idx="11">
                  <c:v>21550</c:v>
                </c:pt>
                <c:pt idx="12">
                  <c:v>21600</c:v>
                </c:pt>
                <c:pt idx="13">
                  <c:v>21650</c:v>
                </c:pt>
                <c:pt idx="14">
                  <c:v>21700</c:v>
                </c:pt>
                <c:pt idx="15">
                  <c:v>21750</c:v>
                </c:pt>
                <c:pt idx="16">
                  <c:v>21800</c:v>
                </c:pt>
                <c:pt idx="17">
                  <c:v>21850</c:v>
                </c:pt>
                <c:pt idx="18">
                  <c:v>21900</c:v>
                </c:pt>
                <c:pt idx="19">
                  <c:v>21950</c:v>
                </c:pt>
                <c:pt idx="20">
                  <c:v>21981.55</c:v>
                </c:pt>
                <c:pt idx="21">
                  <c:v>22000</c:v>
                </c:pt>
                <c:pt idx="22">
                  <c:v>22050</c:v>
                </c:pt>
                <c:pt idx="23">
                  <c:v>22100</c:v>
                </c:pt>
                <c:pt idx="24">
                  <c:v>22150</c:v>
                </c:pt>
                <c:pt idx="25">
                  <c:v>22200</c:v>
                </c:pt>
                <c:pt idx="26">
                  <c:v>22250</c:v>
                </c:pt>
                <c:pt idx="27">
                  <c:v>22300</c:v>
                </c:pt>
                <c:pt idx="28">
                  <c:v>22350</c:v>
                </c:pt>
                <c:pt idx="29">
                  <c:v>22400</c:v>
                </c:pt>
                <c:pt idx="30">
                  <c:v>22450</c:v>
                </c:pt>
                <c:pt idx="31">
                  <c:v>22500</c:v>
                </c:pt>
                <c:pt idx="32">
                  <c:v>22550</c:v>
                </c:pt>
                <c:pt idx="33">
                  <c:v>22600</c:v>
                </c:pt>
                <c:pt idx="34">
                  <c:v>22650</c:v>
                </c:pt>
                <c:pt idx="35">
                  <c:v>22700</c:v>
                </c:pt>
                <c:pt idx="36">
                  <c:v>22750</c:v>
                </c:pt>
                <c:pt idx="37">
                  <c:v>22800</c:v>
                </c:pt>
                <c:pt idx="38">
                  <c:v>22850</c:v>
                </c:pt>
                <c:pt idx="39">
                  <c:v>22900</c:v>
                </c:pt>
                <c:pt idx="40">
                  <c:v>22950</c:v>
                </c:pt>
                <c:pt idx="41">
                  <c:v>23000</c:v>
                </c:pt>
              </c:numCache>
            </c:numRef>
          </c:xVal>
          <c:yVal>
            <c:numRef>
              <c:f>'BULL PUT SPREAD STRATEGY'!$K$6:$K$47</c:f>
              <c:numCache>
                <c:formatCode>#,##0.00;\(#,##0.00\)</c:formatCode>
                <c:ptCount val="42"/>
                <c:pt idx="0">
                  <c:v>-181.54999999999995</c:v>
                </c:pt>
                <c:pt idx="1">
                  <c:v>-181.54999999999995</c:v>
                </c:pt>
                <c:pt idx="2">
                  <c:v>-181.54999999999995</c:v>
                </c:pt>
                <c:pt idx="3">
                  <c:v>-181.54999999999995</c:v>
                </c:pt>
                <c:pt idx="4">
                  <c:v>-181.54999999999995</c:v>
                </c:pt>
                <c:pt idx="5">
                  <c:v>-181.54999999999995</c:v>
                </c:pt>
                <c:pt idx="6">
                  <c:v>-181.54999999999995</c:v>
                </c:pt>
                <c:pt idx="7">
                  <c:v>-181.54999999999995</c:v>
                </c:pt>
                <c:pt idx="8">
                  <c:v>-181.54999999999995</c:v>
                </c:pt>
                <c:pt idx="9">
                  <c:v>-181.54999999999995</c:v>
                </c:pt>
                <c:pt idx="10">
                  <c:v>-181.55</c:v>
                </c:pt>
                <c:pt idx="11">
                  <c:v>-181.55</c:v>
                </c:pt>
                <c:pt idx="12">
                  <c:v>-181.55</c:v>
                </c:pt>
                <c:pt idx="13">
                  <c:v>-181.55</c:v>
                </c:pt>
                <c:pt idx="14">
                  <c:v>-181.55</c:v>
                </c:pt>
                <c:pt idx="15">
                  <c:v>-181.55</c:v>
                </c:pt>
                <c:pt idx="16">
                  <c:v>-181.55</c:v>
                </c:pt>
                <c:pt idx="17">
                  <c:v>-131.55000000000001</c:v>
                </c:pt>
                <c:pt idx="18">
                  <c:v>-81.55</c:v>
                </c:pt>
                <c:pt idx="19">
                  <c:v>-31.55</c:v>
                </c:pt>
                <c:pt idx="20">
                  <c:v>-7.2830630415410269E-13</c:v>
                </c:pt>
                <c:pt idx="21">
                  <c:v>18.45</c:v>
                </c:pt>
                <c:pt idx="22">
                  <c:v>18.45</c:v>
                </c:pt>
                <c:pt idx="23">
                  <c:v>18.45</c:v>
                </c:pt>
                <c:pt idx="24">
                  <c:v>18.45</c:v>
                </c:pt>
                <c:pt idx="25">
                  <c:v>18.45</c:v>
                </c:pt>
                <c:pt idx="26">
                  <c:v>18.45</c:v>
                </c:pt>
                <c:pt idx="27">
                  <c:v>18.45</c:v>
                </c:pt>
                <c:pt idx="28">
                  <c:v>18.45</c:v>
                </c:pt>
                <c:pt idx="29">
                  <c:v>18.45</c:v>
                </c:pt>
                <c:pt idx="30">
                  <c:v>18.45</c:v>
                </c:pt>
                <c:pt idx="31">
                  <c:v>18.45</c:v>
                </c:pt>
                <c:pt idx="32">
                  <c:v>18.45</c:v>
                </c:pt>
                <c:pt idx="33">
                  <c:v>18.45</c:v>
                </c:pt>
                <c:pt idx="34">
                  <c:v>18.45</c:v>
                </c:pt>
                <c:pt idx="35">
                  <c:v>18.45</c:v>
                </c:pt>
                <c:pt idx="36">
                  <c:v>18.45</c:v>
                </c:pt>
                <c:pt idx="37">
                  <c:v>18.45</c:v>
                </c:pt>
                <c:pt idx="38">
                  <c:v>18.45</c:v>
                </c:pt>
                <c:pt idx="39">
                  <c:v>18.45</c:v>
                </c:pt>
                <c:pt idx="40">
                  <c:v>18.45</c:v>
                </c:pt>
                <c:pt idx="41">
                  <c:v>18.45</c:v>
                </c:pt>
              </c:numCache>
            </c:numRef>
          </c:yVal>
          <c:smooth val="0"/>
          <c:extLst>
            <c:ext xmlns:c16="http://schemas.microsoft.com/office/drawing/2014/chart" uri="{C3380CC4-5D6E-409C-BE32-E72D297353CC}">
              <c16:uniqueId val="{00000000-A4AD-41FE-92C0-91912185FEEE}"/>
            </c:ext>
          </c:extLst>
        </c:ser>
        <c:dLbls>
          <c:showLegendKey val="0"/>
          <c:showVal val="0"/>
          <c:showCatName val="0"/>
          <c:showSerName val="0"/>
          <c:showPercent val="0"/>
          <c:showBubbleSize val="0"/>
        </c:dLbls>
        <c:axId val="949367472"/>
        <c:axId val="949371792"/>
      </c:scatterChart>
      <c:valAx>
        <c:axId val="949367472"/>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371792"/>
        <c:crosses val="autoZero"/>
        <c:crossBetween val="midCat"/>
      </c:valAx>
      <c:valAx>
        <c:axId val="949371792"/>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3674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'BEAR CALL SPREAD STRATEGY'!$J$5</c:f>
              <c:strCache>
                <c:ptCount val="1"/>
                <c:pt idx="0">
                  <c:v>P&amp;L</c:v>
                </c:pt>
              </c:strCache>
            </c:strRef>
          </c:tx>
          <c:spPr>
            <a:ln w="19050" cap="rnd">
              <a:noFill/>
              <a:round/>
            </a:ln>
            <a:effectLst/>
          </c:spPr>
          <c:marker>
            <c:symbol val="circle"/>
            <c:size val="5"/>
            <c:spPr>
              <a:solidFill>
                <a:schemeClr val="accent1"/>
              </a:solidFill>
              <a:ln w="9525">
                <a:solidFill>
                  <a:schemeClr val="accent1"/>
                </a:solidFill>
              </a:ln>
              <a:effectLst/>
            </c:spPr>
          </c:marker>
          <c:xVal>
            <c:numRef>
              <c:f>'BEAR CALL SPREAD STRATEGY'!$G$6:$G$157</c:f>
              <c:numCache>
                <c:formatCode>#,##0.00;\(#,##0.00\)</c:formatCode>
                <c:ptCount val="152"/>
                <c:pt idx="0">
                  <c:v>2000</c:v>
                </c:pt>
                <c:pt idx="1">
                  <c:v>2010</c:v>
                </c:pt>
                <c:pt idx="2">
                  <c:v>2020</c:v>
                </c:pt>
                <c:pt idx="3">
                  <c:v>2030</c:v>
                </c:pt>
                <c:pt idx="4">
                  <c:v>2040</c:v>
                </c:pt>
                <c:pt idx="5">
                  <c:v>2050</c:v>
                </c:pt>
                <c:pt idx="6">
                  <c:v>2060</c:v>
                </c:pt>
                <c:pt idx="7">
                  <c:v>2070</c:v>
                </c:pt>
                <c:pt idx="8">
                  <c:v>2080</c:v>
                </c:pt>
                <c:pt idx="9">
                  <c:v>2090</c:v>
                </c:pt>
                <c:pt idx="10">
                  <c:v>2100</c:v>
                </c:pt>
                <c:pt idx="11">
                  <c:v>2110</c:v>
                </c:pt>
                <c:pt idx="12">
                  <c:v>2120</c:v>
                </c:pt>
                <c:pt idx="13">
                  <c:v>2130</c:v>
                </c:pt>
                <c:pt idx="14">
                  <c:v>2140</c:v>
                </c:pt>
                <c:pt idx="15">
                  <c:v>2150</c:v>
                </c:pt>
                <c:pt idx="16">
                  <c:v>2160</c:v>
                </c:pt>
                <c:pt idx="17">
                  <c:v>2170</c:v>
                </c:pt>
                <c:pt idx="18">
                  <c:v>2180</c:v>
                </c:pt>
                <c:pt idx="19">
                  <c:v>2190</c:v>
                </c:pt>
                <c:pt idx="20">
                  <c:v>2200</c:v>
                </c:pt>
                <c:pt idx="21">
                  <c:v>2210</c:v>
                </c:pt>
                <c:pt idx="22">
                  <c:v>2220</c:v>
                </c:pt>
                <c:pt idx="23">
                  <c:v>2230</c:v>
                </c:pt>
                <c:pt idx="24">
                  <c:v>2240</c:v>
                </c:pt>
                <c:pt idx="25">
                  <c:v>2250</c:v>
                </c:pt>
                <c:pt idx="26">
                  <c:v>2260</c:v>
                </c:pt>
                <c:pt idx="27">
                  <c:v>2270</c:v>
                </c:pt>
                <c:pt idx="28">
                  <c:v>2280</c:v>
                </c:pt>
                <c:pt idx="29">
                  <c:v>2290</c:v>
                </c:pt>
                <c:pt idx="30">
                  <c:v>2300</c:v>
                </c:pt>
                <c:pt idx="31">
                  <c:v>2310</c:v>
                </c:pt>
                <c:pt idx="32">
                  <c:v>2320</c:v>
                </c:pt>
                <c:pt idx="33">
                  <c:v>2330</c:v>
                </c:pt>
                <c:pt idx="34">
                  <c:v>2340</c:v>
                </c:pt>
                <c:pt idx="35">
                  <c:v>2350</c:v>
                </c:pt>
                <c:pt idx="36">
                  <c:v>2360</c:v>
                </c:pt>
                <c:pt idx="37">
                  <c:v>2370</c:v>
                </c:pt>
                <c:pt idx="38">
                  <c:v>2380</c:v>
                </c:pt>
                <c:pt idx="39">
                  <c:v>2390</c:v>
                </c:pt>
                <c:pt idx="40">
                  <c:v>2400</c:v>
                </c:pt>
                <c:pt idx="41">
                  <c:v>2410</c:v>
                </c:pt>
                <c:pt idx="42">
                  <c:v>2420</c:v>
                </c:pt>
                <c:pt idx="43">
                  <c:v>2430</c:v>
                </c:pt>
                <c:pt idx="44">
                  <c:v>2440</c:v>
                </c:pt>
                <c:pt idx="45">
                  <c:v>2450</c:v>
                </c:pt>
                <c:pt idx="46">
                  <c:v>2460</c:v>
                </c:pt>
                <c:pt idx="47">
                  <c:v>2470</c:v>
                </c:pt>
                <c:pt idx="48">
                  <c:v>2480</c:v>
                </c:pt>
                <c:pt idx="49">
                  <c:v>2490</c:v>
                </c:pt>
                <c:pt idx="50">
                  <c:v>2500</c:v>
                </c:pt>
                <c:pt idx="51">
                  <c:v>2510</c:v>
                </c:pt>
                <c:pt idx="52">
                  <c:v>2520</c:v>
                </c:pt>
                <c:pt idx="53">
                  <c:v>2530</c:v>
                </c:pt>
                <c:pt idx="54">
                  <c:v>2540</c:v>
                </c:pt>
                <c:pt idx="55">
                  <c:v>2550</c:v>
                </c:pt>
                <c:pt idx="56">
                  <c:v>2560</c:v>
                </c:pt>
                <c:pt idx="57">
                  <c:v>2570</c:v>
                </c:pt>
                <c:pt idx="58">
                  <c:v>2580</c:v>
                </c:pt>
                <c:pt idx="59">
                  <c:v>2590</c:v>
                </c:pt>
                <c:pt idx="60">
                  <c:v>2600</c:v>
                </c:pt>
                <c:pt idx="61">
                  <c:v>2610</c:v>
                </c:pt>
                <c:pt idx="62">
                  <c:v>2620</c:v>
                </c:pt>
                <c:pt idx="63">
                  <c:v>2630</c:v>
                </c:pt>
                <c:pt idx="64">
                  <c:v>2640</c:v>
                </c:pt>
                <c:pt idx="65">
                  <c:v>2650</c:v>
                </c:pt>
                <c:pt idx="66">
                  <c:v>2660</c:v>
                </c:pt>
                <c:pt idx="67">
                  <c:v>2670</c:v>
                </c:pt>
                <c:pt idx="68">
                  <c:v>2680</c:v>
                </c:pt>
                <c:pt idx="69">
                  <c:v>2690</c:v>
                </c:pt>
                <c:pt idx="70">
                  <c:v>2700</c:v>
                </c:pt>
                <c:pt idx="71">
                  <c:v>2705</c:v>
                </c:pt>
                <c:pt idx="72">
                  <c:v>2710</c:v>
                </c:pt>
                <c:pt idx="73">
                  <c:v>2720</c:v>
                </c:pt>
                <c:pt idx="74">
                  <c:v>2730</c:v>
                </c:pt>
                <c:pt idx="75">
                  <c:v>2740</c:v>
                </c:pt>
                <c:pt idx="76">
                  <c:v>2750</c:v>
                </c:pt>
                <c:pt idx="77">
                  <c:v>2760</c:v>
                </c:pt>
                <c:pt idx="78">
                  <c:v>2770</c:v>
                </c:pt>
                <c:pt idx="79">
                  <c:v>2780</c:v>
                </c:pt>
                <c:pt idx="80">
                  <c:v>2790</c:v>
                </c:pt>
                <c:pt idx="81">
                  <c:v>2800</c:v>
                </c:pt>
                <c:pt idx="82">
                  <c:v>2810</c:v>
                </c:pt>
                <c:pt idx="83">
                  <c:v>2820</c:v>
                </c:pt>
                <c:pt idx="84">
                  <c:v>2830</c:v>
                </c:pt>
                <c:pt idx="85">
                  <c:v>2840</c:v>
                </c:pt>
                <c:pt idx="86">
                  <c:v>2850</c:v>
                </c:pt>
                <c:pt idx="87">
                  <c:v>2860</c:v>
                </c:pt>
                <c:pt idx="88">
                  <c:v>2870</c:v>
                </c:pt>
                <c:pt idx="89">
                  <c:v>2880</c:v>
                </c:pt>
                <c:pt idx="90">
                  <c:v>2890</c:v>
                </c:pt>
                <c:pt idx="91">
                  <c:v>2900</c:v>
                </c:pt>
                <c:pt idx="92">
                  <c:v>2910</c:v>
                </c:pt>
                <c:pt idx="93">
                  <c:v>2920</c:v>
                </c:pt>
                <c:pt idx="94">
                  <c:v>2930</c:v>
                </c:pt>
                <c:pt idx="95">
                  <c:v>2940</c:v>
                </c:pt>
                <c:pt idx="96">
                  <c:v>2950</c:v>
                </c:pt>
                <c:pt idx="97">
                  <c:v>2960</c:v>
                </c:pt>
                <c:pt idx="98">
                  <c:v>2970</c:v>
                </c:pt>
                <c:pt idx="99">
                  <c:v>2980</c:v>
                </c:pt>
                <c:pt idx="100">
                  <c:v>2990</c:v>
                </c:pt>
                <c:pt idx="101">
                  <c:v>3000</c:v>
                </c:pt>
                <c:pt idx="102">
                  <c:v>3010</c:v>
                </c:pt>
                <c:pt idx="103">
                  <c:v>3020</c:v>
                </c:pt>
                <c:pt idx="104">
                  <c:v>3030</c:v>
                </c:pt>
                <c:pt idx="105">
                  <c:v>3040</c:v>
                </c:pt>
                <c:pt idx="106">
                  <c:v>3050</c:v>
                </c:pt>
                <c:pt idx="107">
                  <c:v>3060</c:v>
                </c:pt>
                <c:pt idx="108">
                  <c:v>3070</c:v>
                </c:pt>
                <c:pt idx="109">
                  <c:v>3080</c:v>
                </c:pt>
                <c:pt idx="110">
                  <c:v>3090</c:v>
                </c:pt>
                <c:pt idx="111">
                  <c:v>3100</c:v>
                </c:pt>
                <c:pt idx="112">
                  <c:v>3110</c:v>
                </c:pt>
                <c:pt idx="113">
                  <c:v>3120</c:v>
                </c:pt>
                <c:pt idx="114">
                  <c:v>3130</c:v>
                </c:pt>
                <c:pt idx="115">
                  <c:v>3140</c:v>
                </c:pt>
                <c:pt idx="116">
                  <c:v>3150</c:v>
                </c:pt>
                <c:pt idx="117">
                  <c:v>3160</c:v>
                </c:pt>
                <c:pt idx="118">
                  <c:v>3170</c:v>
                </c:pt>
                <c:pt idx="119">
                  <c:v>3180</c:v>
                </c:pt>
                <c:pt idx="120">
                  <c:v>3190</c:v>
                </c:pt>
                <c:pt idx="121">
                  <c:v>3200</c:v>
                </c:pt>
                <c:pt idx="122">
                  <c:v>3210</c:v>
                </c:pt>
                <c:pt idx="123">
                  <c:v>3220</c:v>
                </c:pt>
                <c:pt idx="124">
                  <c:v>3230</c:v>
                </c:pt>
                <c:pt idx="125">
                  <c:v>3240</c:v>
                </c:pt>
                <c:pt idx="126">
                  <c:v>3250</c:v>
                </c:pt>
                <c:pt idx="127">
                  <c:v>3260</c:v>
                </c:pt>
                <c:pt idx="128">
                  <c:v>3270</c:v>
                </c:pt>
                <c:pt idx="129">
                  <c:v>3280</c:v>
                </c:pt>
                <c:pt idx="130">
                  <c:v>3290</c:v>
                </c:pt>
                <c:pt idx="131">
                  <c:v>3300</c:v>
                </c:pt>
                <c:pt idx="132">
                  <c:v>3310</c:v>
                </c:pt>
                <c:pt idx="133">
                  <c:v>3320</c:v>
                </c:pt>
                <c:pt idx="134">
                  <c:v>3330</c:v>
                </c:pt>
                <c:pt idx="135">
                  <c:v>3340</c:v>
                </c:pt>
                <c:pt idx="136">
                  <c:v>3350</c:v>
                </c:pt>
                <c:pt idx="137">
                  <c:v>3360</c:v>
                </c:pt>
                <c:pt idx="138">
                  <c:v>3370</c:v>
                </c:pt>
                <c:pt idx="139">
                  <c:v>3380</c:v>
                </c:pt>
                <c:pt idx="140">
                  <c:v>3390</c:v>
                </c:pt>
                <c:pt idx="141">
                  <c:v>3400</c:v>
                </c:pt>
                <c:pt idx="142">
                  <c:v>3410</c:v>
                </c:pt>
                <c:pt idx="143">
                  <c:v>3420</c:v>
                </c:pt>
                <c:pt idx="144">
                  <c:v>3430</c:v>
                </c:pt>
                <c:pt idx="145">
                  <c:v>3440</c:v>
                </c:pt>
                <c:pt idx="146">
                  <c:v>3450</c:v>
                </c:pt>
                <c:pt idx="147">
                  <c:v>3460</c:v>
                </c:pt>
                <c:pt idx="148">
                  <c:v>3470</c:v>
                </c:pt>
                <c:pt idx="149">
                  <c:v>3480</c:v>
                </c:pt>
                <c:pt idx="150">
                  <c:v>3490</c:v>
                </c:pt>
                <c:pt idx="151">
                  <c:v>3500</c:v>
                </c:pt>
              </c:numCache>
            </c:numRef>
          </c:xVal>
          <c:yVal>
            <c:numRef>
              <c:f>'BEAR CALL SPREAD STRATEGY'!$J$6:$J$157</c:f>
              <c:numCache>
                <c:formatCode>#,##0.00;\(#,##0.00\)</c:formatCode>
                <c:ptCount val="152"/>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pt idx="21">
                  <c:v>105</c:v>
                </c:pt>
                <c:pt idx="22">
                  <c:v>105</c:v>
                </c:pt>
                <c:pt idx="23">
                  <c:v>105</c:v>
                </c:pt>
                <c:pt idx="24">
                  <c:v>105</c:v>
                </c:pt>
                <c:pt idx="25">
                  <c:v>105</c:v>
                </c:pt>
                <c:pt idx="26">
                  <c:v>105</c:v>
                </c:pt>
                <c:pt idx="27">
                  <c:v>105</c:v>
                </c:pt>
                <c:pt idx="28">
                  <c:v>105</c:v>
                </c:pt>
                <c:pt idx="29">
                  <c:v>105</c:v>
                </c:pt>
                <c:pt idx="30">
                  <c:v>105</c:v>
                </c:pt>
                <c:pt idx="31">
                  <c:v>105</c:v>
                </c:pt>
                <c:pt idx="32">
                  <c:v>105</c:v>
                </c:pt>
                <c:pt idx="33">
                  <c:v>105</c:v>
                </c:pt>
                <c:pt idx="34">
                  <c:v>105</c:v>
                </c:pt>
                <c:pt idx="35">
                  <c:v>105</c:v>
                </c:pt>
                <c:pt idx="36">
                  <c:v>105</c:v>
                </c:pt>
                <c:pt idx="37">
                  <c:v>105</c:v>
                </c:pt>
                <c:pt idx="38">
                  <c:v>105</c:v>
                </c:pt>
                <c:pt idx="39">
                  <c:v>105</c:v>
                </c:pt>
                <c:pt idx="40">
                  <c:v>105</c:v>
                </c:pt>
                <c:pt idx="41">
                  <c:v>105</c:v>
                </c:pt>
                <c:pt idx="42">
                  <c:v>105</c:v>
                </c:pt>
                <c:pt idx="43">
                  <c:v>105</c:v>
                </c:pt>
                <c:pt idx="44">
                  <c:v>105</c:v>
                </c:pt>
                <c:pt idx="45">
                  <c:v>105</c:v>
                </c:pt>
                <c:pt idx="46">
                  <c:v>105</c:v>
                </c:pt>
                <c:pt idx="47">
                  <c:v>105</c:v>
                </c:pt>
                <c:pt idx="48">
                  <c:v>105</c:v>
                </c:pt>
                <c:pt idx="49">
                  <c:v>105</c:v>
                </c:pt>
                <c:pt idx="50">
                  <c:v>105</c:v>
                </c:pt>
                <c:pt idx="51">
                  <c:v>105</c:v>
                </c:pt>
                <c:pt idx="52">
                  <c:v>105</c:v>
                </c:pt>
                <c:pt idx="53">
                  <c:v>105</c:v>
                </c:pt>
                <c:pt idx="54">
                  <c:v>105</c:v>
                </c:pt>
                <c:pt idx="55">
                  <c:v>105</c:v>
                </c:pt>
                <c:pt idx="56">
                  <c:v>105</c:v>
                </c:pt>
                <c:pt idx="57">
                  <c:v>105</c:v>
                </c:pt>
                <c:pt idx="58">
                  <c:v>105</c:v>
                </c:pt>
                <c:pt idx="59">
                  <c:v>105</c:v>
                </c:pt>
                <c:pt idx="60">
                  <c:v>105</c:v>
                </c:pt>
                <c:pt idx="61">
                  <c:v>95</c:v>
                </c:pt>
                <c:pt idx="62">
                  <c:v>85</c:v>
                </c:pt>
                <c:pt idx="63">
                  <c:v>75</c:v>
                </c:pt>
                <c:pt idx="64">
                  <c:v>65</c:v>
                </c:pt>
                <c:pt idx="65">
                  <c:v>55</c:v>
                </c:pt>
                <c:pt idx="66">
                  <c:v>45</c:v>
                </c:pt>
                <c:pt idx="67">
                  <c:v>35</c:v>
                </c:pt>
                <c:pt idx="68">
                  <c:v>25</c:v>
                </c:pt>
                <c:pt idx="69">
                  <c:v>15</c:v>
                </c:pt>
                <c:pt idx="70">
                  <c:v>5</c:v>
                </c:pt>
                <c:pt idx="71">
                  <c:v>0</c:v>
                </c:pt>
                <c:pt idx="72">
                  <c:v>-5</c:v>
                </c:pt>
                <c:pt idx="73">
                  <c:v>-15</c:v>
                </c:pt>
                <c:pt idx="74">
                  <c:v>-25</c:v>
                </c:pt>
                <c:pt idx="75">
                  <c:v>-35</c:v>
                </c:pt>
                <c:pt idx="76">
                  <c:v>-45</c:v>
                </c:pt>
                <c:pt idx="77">
                  <c:v>-55</c:v>
                </c:pt>
                <c:pt idx="78">
                  <c:v>-65</c:v>
                </c:pt>
                <c:pt idx="79">
                  <c:v>-75</c:v>
                </c:pt>
                <c:pt idx="80">
                  <c:v>-85</c:v>
                </c:pt>
                <c:pt idx="81">
                  <c:v>-95</c:v>
                </c:pt>
                <c:pt idx="82">
                  <c:v>-95</c:v>
                </c:pt>
                <c:pt idx="83">
                  <c:v>-95</c:v>
                </c:pt>
                <c:pt idx="84">
                  <c:v>-95</c:v>
                </c:pt>
                <c:pt idx="85">
                  <c:v>-95</c:v>
                </c:pt>
                <c:pt idx="86">
                  <c:v>-95</c:v>
                </c:pt>
                <c:pt idx="87">
                  <c:v>-95</c:v>
                </c:pt>
                <c:pt idx="88">
                  <c:v>-95</c:v>
                </c:pt>
                <c:pt idx="89">
                  <c:v>-95</c:v>
                </c:pt>
                <c:pt idx="90">
                  <c:v>-95</c:v>
                </c:pt>
                <c:pt idx="91">
                  <c:v>-95</c:v>
                </c:pt>
                <c:pt idx="92">
                  <c:v>-95</c:v>
                </c:pt>
                <c:pt idx="93">
                  <c:v>-95</c:v>
                </c:pt>
                <c:pt idx="94">
                  <c:v>-95</c:v>
                </c:pt>
                <c:pt idx="95">
                  <c:v>-95</c:v>
                </c:pt>
                <c:pt idx="96">
                  <c:v>-95</c:v>
                </c:pt>
                <c:pt idx="97">
                  <c:v>-95</c:v>
                </c:pt>
                <c:pt idx="98">
                  <c:v>-95</c:v>
                </c:pt>
                <c:pt idx="99">
                  <c:v>-95</c:v>
                </c:pt>
                <c:pt idx="100">
                  <c:v>-95</c:v>
                </c:pt>
                <c:pt idx="101">
                  <c:v>-95</c:v>
                </c:pt>
                <c:pt idx="102">
                  <c:v>-95</c:v>
                </c:pt>
                <c:pt idx="103">
                  <c:v>-95</c:v>
                </c:pt>
                <c:pt idx="104">
                  <c:v>-95</c:v>
                </c:pt>
                <c:pt idx="105">
                  <c:v>-95</c:v>
                </c:pt>
                <c:pt idx="106">
                  <c:v>-95</c:v>
                </c:pt>
                <c:pt idx="107">
                  <c:v>-95</c:v>
                </c:pt>
                <c:pt idx="108">
                  <c:v>-95</c:v>
                </c:pt>
                <c:pt idx="109">
                  <c:v>-95</c:v>
                </c:pt>
                <c:pt idx="110">
                  <c:v>-95</c:v>
                </c:pt>
                <c:pt idx="111">
                  <c:v>-95</c:v>
                </c:pt>
                <c:pt idx="112">
                  <c:v>-95</c:v>
                </c:pt>
                <c:pt idx="113">
                  <c:v>-95</c:v>
                </c:pt>
                <c:pt idx="114">
                  <c:v>-95</c:v>
                </c:pt>
                <c:pt idx="115">
                  <c:v>-95</c:v>
                </c:pt>
                <c:pt idx="116">
                  <c:v>-95</c:v>
                </c:pt>
                <c:pt idx="117">
                  <c:v>-95</c:v>
                </c:pt>
                <c:pt idx="118">
                  <c:v>-95</c:v>
                </c:pt>
                <c:pt idx="119">
                  <c:v>-95</c:v>
                </c:pt>
                <c:pt idx="120">
                  <c:v>-95</c:v>
                </c:pt>
                <c:pt idx="121">
                  <c:v>-95</c:v>
                </c:pt>
                <c:pt idx="122">
                  <c:v>-95</c:v>
                </c:pt>
                <c:pt idx="123">
                  <c:v>-95</c:v>
                </c:pt>
                <c:pt idx="124">
                  <c:v>-95</c:v>
                </c:pt>
                <c:pt idx="125">
                  <c:v>-95</c:v>
                </c:pt>
                <c:pt idx="126">
                  <c:v>-95</c:v>
                </c:pt>
                <c:pt idx="127">
                  <c:v>-95</c:v>
                </c:pt>
                <c:pt idx="128">
                  <c:v>-95</c:v>
                </c:pt>
                <c:pt idx="129">
                  <c:v>-95</c:v>
                </c:pt>
                <c:pt idx="130">
                  <c:v>-95</c:v>
                </c:pt>
                <c:pt idx="131">
                  <c:v>-95</c:v>
                </c:pt>
                <c:pt idx="132">
                  <c:v>-95</c:v>
                </c:pt>
                <c:pt idx="133">
                  <c:v>-95</c:v>
                </c:pt>
                <c:pt idx="134">
                  <c:v>-95</c:v>
                </c:pt>
                <c:pt idx="135">
                  <c:v>-95</c:v>
                </c:pt>
                <c:pt idx="136">
                  <c:v>-95</c:v>
                </c:pt>
                <c:pt idx="137">
                  <c:v>-95</c:v>
                </c:pt>
                <c:pt idx="138">
                  <c:v>-95</c:v>
                </c:pt>
                <c:pt idx="139">
                  <c:v>-95</c:v>
                </c:pt>
                <c:pt idx="140">
                  <c:v>-95</c:v>
                </c:pt>
                <c:pt idx="141">
                  <c:v>-95</c:v>
                </c:pt>
                <c:pt idx="142">
                  <c:v>-95</c:v>
                </c:pt>
                <c:pt idx="143">
                  <c:v>-95</c:v>
                </c:pt>
                <c:pt idx="144">
                  <c:v>-95</c:v>
                </c:pt>
                <c:pt idx="145">
                  <c:v>-95</c:v>
                </c:pt>
                <c:pt idx="146">
                  <c:v>-95</c:v>
                </c:pt>
                <c:pt idx="147">
                  <c:v>-95</c:v>
                </c:pt>
                <c:pt idx="148">
                  <c:v>-95</c:v>
                </c:pt>
                <c:pt idx="149">
                  <c:v>-95</c:v>
                </c:pt>
                <c:pt idx="150">
                  <c:v>-95</c:v>
                </c:pt>
                <c:pt idx="151">
                  <c:v>-95</c:v>
                </c:pt>
              </c:numCache>
            </c:numRef>
          </c:yVal>
          <c:smooth val="0"/>
          <c:extLst>
            <c:ext xmlns:c16="http://schemas.microsoft.com/office/drawing/2014/chart" uri="{C3380CC4-5D6E-409C-BE32-E72D297353CC}">
              <c16:uniqueId val="{00000000-9C01-4C27-AF26-CD93A66BF7ED}"/>
            </c:ext>
          </c:extLst>
        </c:ser>
        <c:dLbls>
          <c:showLegendKey val="0"/>
          <c:showVal val="0"/>
          <c:showCatName val="0"/>
          <c:showSerName val="0"/>
          <c:showPercent val="0"/>
          <c:showBubbleSize val="0"/>
        </c:dLbls>
        <c:axId val="930006496"/>
        <c:axId val="588135920"/>
      </c:scatterChart>
      <c:valAx>
        <c:axId val="930006496"/>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135920"/>
        <c:crosses val="autoZero"/>
        <c:crossBetween val="midCat"/>
      </c:valAx>
      <c:valAx>
        <c:axId val="588135920"/>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064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'BEAR PUT SPREAD'!$J$5</c:f>
              <c:strCache>
                <c:ptCount val="1"/>
                <c:pt idx="0">
                  <c:v>P&amp;L</c:v>
                </c:pt>
              </c:strCache>
            </c:strRef>
          </c:tx>
          <c:spPr>
            <a:ln w="19050" cap="rnd">
              <a:noFill/>
              <a:round/>
            </a:ln>
            <a:effectLst/>
          </c:spPr>
          <c:marker>
            <c:symbol val="circle"/>
            <c:size val="5"/>
            <c:spPr>
              <a:solidFill>
                <a:schemeClr val="accent1"/>
              </a:solidFill>
              <a:ln w="9525">
                <a:solidFill>
                  <a:schemeClr val="accent1"/>
                </a:solidFill>
              </a:ln>
              <a:effectLst/>
            </c:spPr>
          </c:marker>
          <c:xVal>
            <c:numRef>
              <c:f>'BEAR PUT SPREAD'!$G$6:$G$156</c:f>
              <c:numCache>
                <c:formatCode>#,##0.00;\(#,##0.00\)</c:formatCode>
                <c:ptCount val="151"/>
                <c:pt idx="0">
                  <c:v>2000</c:v>
                </c:pt>
                <c:pt idx="1">
                  <c:v>2010</c:v>
                </c:pt>
                <c:pt idx="2">
                  <c:v>2020</c:v>
                </c:pt>
                <c:pt idx="3">
                  <c:v>2030</c:v>
                </c:pt>
                <c:pt idx="4">
                  <c:v>2040</c:v>
                </c:pt>
                <c:pt idx="5">
                  <c:v>2050</c:v>
                </c:pt>
                <c:pt idx="6">
                  <c:v>2060</c:v>
                </c:pt>
                <c:pt idx="7">
                  <c:v>2070</c:v>
                </c:pt>
                <c:pt idx="8">
                  <c:v>2080</c:v>
                </c:pt>
                <c:pt idx="9">
                  <c:v>2090</c:v>
                </c:pt>
                <c:pt idx="10">
                  <c:v>2100</c:v>
                </c:pt>
                <c:pt idx="11">
                  <c:v>2110</c:v>
                </c:pt>
                <c:pt idx="12">
                  <c:v>2120</c:v>
                </c:pt>
                <c:pt idx="13">
                  <c:v>2130</c:v>
                </c:pt>
                <c:pt idx="14">
                  <c:v>2140</c:v>
                </c:pt>
                <c:pt idx="15">
                  <c:v>2150</c:v>
                </c:pt>
                <c:pt idx="16">
                  <c:v>2160</c:v>
                </c:pt>
                <c:pt idx="17">
                  <c:v>2170</c:v>
                </c:pt>
                <c:pt idx="18">
                  <c:v>2180</c:v>
                </c:pt>
                <c:pt idx="19">
                  <c:v>2190</c:v>
                </c:pt>
                <c:pt idx="20">
                  <c:v>2200</c:v>
                </c:pt>
                <c:pt idx="21">
                  <c:v>2210</c:v>
                </c:pt>
                <c:pt idx="22">
                  <c:v>2220</c:v>
                </c:pt>
                <c:pt idx="23">
                  <c:v>2230</c:v>
                </c:pt>
                <c:pt idx="24">
                  <c:v>2240</c:v>
                </c:pt>
                <c:pt idx="25">
                  <c:v>2250</c:v>
                </c:pt>
                <c:pt idx="26">
                  <c:v>2260</c:v>
                </c:pt>
                <c:pt idx="27">
                  <c:v>2270</c:v>
                </c:pt>
                <c:pt idx="28">
                  <c:v>2280</c:v>
                </c:pt>
                <c:pt idx="29">
                  <c:v>2290</c:v>
                </c:pt>
                <c:pt idx="30">
                  <c:v>2300</c:v>
                </c:pt>
                <c:pt idx="31">
                  <c:v>2310</c:v>
                </c:pt>
                <c:pt idx="32">
                  <c:v>2320</c:v>
                </c:pt>
                <c:pt idx="33">
                  <c:v>2330</c:v>
                </c:pt>
                <c:pt idx="34">
                  <c:v>2340</c:v>
                </c:pt>
                <c:pt idx="35">
                  <c:v>2350</c:v>
                </c:pt>
                <c:pt idx="36">
                  <c:v>2360</c:v>
                </c:pt>
                <c:pt idx="37">
                  <c:v>2370</c:v>
                </c:pt>
                <c:pt idx="38">
                  <c:v>2380</c:v>
                </c:pt>
                <c:pt idx="39">
                  <c:v>2390</c:v>
                </c:pt>
                <c:pt idx="40">
                  <c:v>2400</c:v>
                </c:pt>
                <c:pt idx="41">
                  <c:v>2410</c:v>
                </c:pt>
                <c:pt idx="42">
                  <c:v>2420</c:v>
                </c:pt>
                <c:pt idx="43">
                  <c:v>2430</c:v>
                </c:pt>
                <c:pt idx="44">
                  <c:v>2440</c:v>
                </c:pt>
                <c:pt idx="45">
                  <c:v>2450</c:v>
                </c:pt>
                <c:pt idx="46">
                  <c:v>2460</c:v>
                </c:pt>
                <c:pt idx="47">
                  <c:v>2470</c:v>
                </c:pt>
                <c:pt idx="48">
                  <c:v>2480</c:v>
                </c:pt>
                <c:pt idx="49">
                  <c:v>2490</c:v>
                </c:pt>
                <c:pt idx="50">
                  <c:v>2500</c:v>
                </c:pt>
                <c:pt idx="51">
                  <c:v>2510</c:v>
                </c:pt>
                <c:pt idx="52">
                  <c:v>2520</c:v>
                </c:pt>
                <c:pt idx="53">
                  <c:v>2530</c:v>
                </c:pt>
                <c:pt idx="54">
                  <c:v>2540</c:v>
                </c:pt>
                <c:pt idx="55">
                  <c:v>2550</c:v>
                </c:pt>
                <c:pt idx="56">
                  <c:v>2560</c:v>
                </c:pt>
                <c:pt idx="57">
                  <c:v>2570</c:v>
                </c:pt>
                <c:pt idx="58">
                  <c:v>2580</c:v>
                </c:pt>
                <c:pt idx="59">
                  <c:v>2590</c:v>
                </c:pt>
                <c:pt idx="60">
                  <c:v>2600</c:v>
                </c:pt>
                <c:pt idx="61">
                  <c:v>2610</c:v>
                </c:pt>
                <c:pt idx="62">
                  <c:v>2620</c:v>
                </c:pt>
                <c:pt idx="63">
                  <c:v>2630</c:v>
                </c:pt>
                <c:pt idx="64">
                  <c:v>2640</c:v>
                </c:pt>
                <c:pt idx="65">
                  <c:v>2650</c:v>
                </c:pt>
                <c:pt idx="66">
                  <c:v>2660</c:v>
                </c:pt>
                <c:pt idx="67">
                  <c:v>2670</c:v>
                </c:pt>
                <c:pt idx="68">
                  <c:v>2680</c:v>
                </c:pt>
                <c:pt idx="69">
                  <c:v>2690</c:v>
                </c:pt>
                <c:pt idx="70">
                  <c:v>2700</c:v>
                </c:pt>
                <c:pt idx="71">
                  <c:v>2710</c:v>
                </c:pt>
                <c:pt idx="72">
                  <c:v>2720</c:v>
                </c:pt>
                <c:pt idx="73">
                  <c:v>2730</c:v>
                </c:pt>
                <c:pt idx="74">
                  <c:v>2740</c:v>
                </c:pt>
                <c:pt idx="75">
                  <c:v>2750</c:v>
                </c:pt>
                <c:pt idx="76">
                  <c:v>2760</c:v>
                </c:pt>
                <c:pt idx="77">
                  <c:v>2770</c:v>
                </c:pt>
                <c:pt idx="78">
                  <c:v>2780</c:v>
                </c:pt>
                <c:pt idx="79">
                  <c:v>2790</c:v>
                </c:pt>
                <c:pt idx="80">
                  <c:v>2800</c:v>
                </c:pt>
                <c:pt idx="81">
                  <c:v>2810</c:v>
                </c:pt>
                <c:pt idx="82">
                  <c:v>2820</c:v>
                </c:pt>
                <c:pt idx="83">
                  <c:v>2830</c:v>
                </c:pt>
                <c:pt idx="84">
                  <c:v>2840</c:v>
                </c:pt>
                <c:pt idx="85">
                  <c:v>2850</c:v>
                </c:pt>
                <c:pt idx="86">
                  <c:v>2860</c:v>
                </c:pt>
                <c:pt idx="87">
                  <c:v>2870</c:v>
                </c:pt>
                <c:pt idx="88">
                  <c:v>2880</c:v>
                </c:pt>
                <c:pt idx="89">
                  <c:v>2890</c:v>
                </c:pt>
                <c:pt idx="90">
                  <c:v>2900</c:v>
                </c:pt>
                <c:pt idx="91">
                  <c:v>2910</c:v>
                </c:pt>
                <c:pt idx="92">
                  <c:v>2920</c:v>
                </c:pt>
                <c:pt idx="93">
                  <c:v>2930</c:v>
                </c:pt>
                <c:pt idx="94">
                  <c:v>2940</c:v>
                </c:pt>
                <c:pt idx="95">
                  <c:v>2950</c:v>
                </c:pt>
                <c:pt idx="96">
                  <c:v>2960</c:v>
                </c:pt>
                <c:pt idx="97">
                  <c:v>2970</c:v>
                </c:pt>
                <c:pt idx="98">
                  <c:v>2980</c:v>
                </c:pt>
                <c:pt idx="99">
                  <c:v>2990</c:v>
                </c:pt>
                <c:pt idx="100">
                  <c:v>3000</c:v>
                </c:pt>
                <c:pt idx="101">
                  <c:v>3010</c:v>
                </c:pt>
                <c:pt idx="102">
                  <c:v>3020</c:v>
                </c:pt>
                <c:pt idx="103">
                  <c:v>3030</c:v>
                </c:pt>
                <c:pt idx="104">
                  <c:v>3040</c:v>
                </c:pt>
                <c:pt idx="105">
                  <c:v>3050</c:v>
                </c:pt>
                <c:pt idx="106">
                  <c:v>3060</c:v>
                </c:pt>
                <c:pt idx="107">
                  <c:v>3070</c:v>
                </c:pt>
                <c:pt idx="108">
                  <c:v>3080</c:v>
                </c:pt>
                <c:pt idx="109">
                  <c:v>3090</c:v>
                </c:pt>
                <c:pt idx="110">
                  <c:v>3100</c:v>
                </c:pt>
                <c:pt idx="111">
                  <c:v>3110</c:v>
                </c:pt>
                <c:pt idx="112">
                  <c:v>3120</c:v>
                </c:pt>
                <c:pt idx="113">
                  <c:v>3130</c:v>
                </c:pt>
                <c:pt idx="114">
                  <c:v>3140</c:v>
                </c:pt>
                <c:pt idx="115">
                  <c:v>3150</c:v>
                </c:pt>
                <c:pt idx="116">
                  <c:v>3160</c:v>
                </c:pt>
                <c:pt idx="117">
                  <c:v>3170</c:v>
                </c:pt>
                <c:pt idx="118">
                  <c:v>3180</c:v>
                </c:pt>
                <c:pt idx="119">
                  <c:v>3190</c:v>
                </c:pt>
                <c:pt idx="120">
                  <c:v>3200</c:v>
                </c:pt>
                <c:pt idx="121">
                  <c:v>3210</c:v>
                </c:pt>
                <c:pt idx="122">
                  <c:v>3220</c:v>
                </c:pt>
                <c:pt idx="123">
                  <c:v>3230</c:v>
                </c:pt>
                <c:pt idx="124">
                  <c:v>3240</c:v>
                </c:pt>
                <c:pt idx="125">
                  <c:v>3250</c:v>
                </c:pt>
                <c:pt idx="126">
                  <c:v>3260</c:v>
                </c:pt>
                <c:pt idx="127">
                  <c:v>3270</c:v>
                </c:pt>
                <c:pt idx="128">
                  <c:v>3280</c:v>
                </c:pt>
                <c:pt idx="129">
                  <c:v>3290</c:v>
                </c:pt>
                <c:pt idx="130">
                  <c:v>3300</c:v>
                </c:pt>
                <c:pt idx="131">
                  <c:v>3310</c:v>
                </c:pt>
                <c:pt idx="132">
                  <c:v>3320</c:v>
                </c:pt>
                <c:pt idx="133">
                  <c:v>3330</c:v>
                </c:pt>
                <c:pt idx="134">
                  <c:v>3340</c:v>
                </c:pt>
                <c:pt idx="135">
                  <c:v>3350</c:v>
                </c:pt>
                <c:pt idx="136">
                  <c:v>3360</c:v>
                </c:pt>
                <c:pt idx="137">
                  <c:v>3370</c:v>
                </c:pt>
                <c:pt idx="138">
                  <c:v>3380</c:v>
                </c:pt>
                <c:pt idx="139">
                  <c:v>3390</c:v>
                </c:pt>
                <c:pt idx="140">
                  <c:v>3400</c:v>
                </c:pt>
                <c:pt idx="141">
                  <c:v>3410</c:v>
                </c:pt>
                <c:pt idx="142">
                  <c:v>3420</c:v>
                </c:pt>
                <c:pt idx="143">
                  <c:v>3430</c:v>
                </c:pt>
                <c:pt idx="144">
                  <c:v>3440</c:v>
                </c:pt>
                <c:pt idx="145">
                  <c:v>3450</c:v>
                </c:pt>
                <c:pt idx="146">
                  <c:v>3460</c:v>
                </c:pt>
                <c:pt idx="147">
                  <c:v>3470</c:v>
                </c:pt>
                <c:pt idx="148">
                  <c:v>3480</c:v>
                </c:pt>
                <c:pt idx="149">
                  <c:v>3490</c:v>
                </c:pt>
                <c:pt idx="150">
                  <c:v>3500</c:v>
                </c:pt>
              </c:numCache>
            </c:numRef>
          </c:xVal>
          <c:yVal>
            <c:numRef>
              <c:f>'BEAR PUT SPREAD'!$J$6:$J$156</c:f>
              <c:numCache>
                <c:formatCode>#,##0.00;\(#,##0.00\)</c:formatCode>
                <c:ptCount val="151"/>
                <c:pt idx="0">
                  <c:v>120</c:v>
                </c:pt>
                <c:pt idx="1">
                  <c:v>120</c:v>
                </c:pt>
                <c:pt idx="2">
                  <c:v>120</c:v>
                </c:pt>
                <c:pt idx="3">
                  <c:v>120</c:v>
                </c:pt>
                <c:pt idx="4">
                  <c:v>120</c:v>
                </c:pt>
                <c:pt idx="5">
                  <c:v>120</c:v>
                </c:pt>
                <c:pt idx="6">
                  <c:v>120</c:v>
                </c:pt>
                <c:pt idx="7">
                  <c:v>120</c:v>
                </c:pt>
                <c:pt idx="8">
                  <c:v>120</c:v>
                </c:pt>
                <c:pt idx="9">
                  <c:v>120</c:v>
                </c:pt>
                <c:pt idx="10">
                  <c:v>120</c:v>
                </c:pt>
                <c:pt idx="11">
                  <c:v>120</c:v>
                </c:pt>
                <c:pt idx="12">
                  <c:v>120</c:v>
                </c:pt>
                <c:pt idx="13">
                  <c:v>120</c:v>
                </c:pt>
                <c:pt idx="14">
                  <c:v>120</c:v>
                </c:pt>
                <c:pt idx="15">
                  <c:v>120</c:v>
                </c:pt>
                <c:pt idx="16">
                  <c:v>120</c:v>
                </c:pt>
                <c:pt idx="17">
                  <c:v>120</c:v>
                </c:pt>
                <c:pt idx="18">
                  <c:v>120</c:v>
                </c:pt>
                <c:pt idx="19">
                  <c:v>120</c:v>
                </c:pt>
                <c:pt idx="20">
                  <c:v>120</c:v>
                </c:pt>
                <c:pt idx="21">
                  <c:v>120</c:v>
                </c:pt>
                <c:pt idx="22">
                  <c:v>120</c:v>
                </c:pt>
                <c:pt idx="23">
                  <c:v>120</c:v>
                </c:pt>
                <c:pt idx="24">
                  <c:v>120</c:v>
                </c:pt>
                <c:pt idx="25">
                  <c:v>120</c:v>
                </c:pt>
                <c:pt idx="26">
                  <c:v>120</c:v>
                </c:pt>
                <c:pt idx="27">
                  <c:v>120</c:v>
                </c:pt>
                <c:pt idx="28">
                  <c:v>120</c:v>
                </c:pt>
                <c:pt idx="29">
                  <c:v>120</c:v>
                </c:pt>
                <c:pt idx="30">
                  <c:v>120</c:v>
                </c:pt>
                <c:pt idx="31">
                  <c:v>120</c:v>
                </c:pt>
                <c:pt idx="32">
                  <c:v>120</c:v>
                </c:pt>
                <c:pt idx="33">
                  <c:v>120</c:v>
                </c:pt>
                <c:pt idx="34">
                  <c:v>120</c:v>
                </c:pt>
                <c:pt idx="35">
                  <c:v>120</c:v>
                </c:pt>
                <c:pt idx="36">
                  <c:v>120</c:v>
                </c:pt>
                <c:pt idx="37">
                  <c:v>120</c:v>
                </c:pt>
                <c:pt idx="38">
                  <c:v>120</c:v>
                </c:pt>
                <c:pt idx="39">
                  <c:v>120</c:v>
                </c:pt>
                <c:pt idx="40">
                  <c:v>120</c:v>
                </c:pt>
                <c:pt idx="41">
                  <c:v>120</c:v>
                </c:pt>
                <c:pt idx="42">
                  <c:v>120</c:v>
                </c:pt>
                <c:pt idx="43">
                  <c:v>120</c:v>
                </c:pt>
                <c:pt idx="44">
                  <c:v>120</c:v>
                </c:pt>
                <c:pt idx="45">
                  <c:v>120</c:v>
                </c:pt>
                <c:pt idx="46">
                  <c:v>120</c:v>
                </c:pt>
                <c:pt idx="47">
                  <c:v>120</c:v>
                </c:pt>
                <c:pt idx="48">
                  <c:v>120</c:v>
                </c:pt>
                <c:pt idx="49">
                  <c:v>120</c:v>
                </c:pt>
                <c:pt idx="50">
                  <c:v>120</c:v>
                </c:pt>
                <c:pt idx="51">
                  <c:v>120</c:v>
                </c:pt>
                <c:pt idx="52">
                  <c:v>120</c:v>
                </c:pt>
                <c:pt idx="53">
                  <c:v>120</c:v>
                </c:pt>
                <c:pt idx="54">
                  <c:v>120</c:v>
                </c:pt>
                <c:pt idx="55">
                  <c:v>120</c:v>
                </c:pt>
                <c:pt idx="56">
                  <c:v>120</c:v>
                </c:pt>
                <c:pt idx="57">
                  <c:v>120</c:v>
                </c:pt>
                <c:pt idx="58">
                  <c:v>120</c:v>
                </c:pt>
                <c:pt idx="59">
                  <c:v>120</c:v>
                </c:pt>
                <c:pt idx="60">
                  <c:v>120</c:v>
                </c:pt>
                <c:pt idx="61">
                  <c:v>110</c:v>
                </c:pt>
                <c:pt idx="62">
                  <c:v>100</c:v>
                </c:pt>
                <c:pt idx="63">
                  <c:v>90</c:v>
                </c:pt>
                <c:pt idx="64">
                  <c:v>80</c:v>
                </c:pt>
                <c:pt idx="65">
                  <c:v>70</c:v>
                </c:pt>
                <c:pt idx="66">
                  <c:v>60</c:v>
                </c:pt>
                <c:pt idx="67">
                  <c:v>50</c:v>
                </c:pt>
                <c:pt idx="68">
                  <c:v>40</c:v>
                </c:pt>
                <c:pt idx="69">
                  <c:v>30</c:v>
                </c:pt>
                <c:pt idx="70">
                  <c:v>20</c:v>
                </c:pt>
                <c:pt idx="71">
                  <c:v>10</c:v>
                </c:pt>
                <c:pt idx="72">
                  <c:v>0</c:v>
                </c:pt>
                <c:pt idx="73">
                  <c:v>-10</c:v>
                </c:pt>
                <c:pt idx="74">
                  <c:v>-20</c:v>
                </c:pt>
                <c:pt idx="75">
                  <c:v>-30</c:v>
                </c:pt>
                <c:pt idx="76">
                  <c:v>-40</c:v>
                </c:pt>
                <c:pt idx="77">
                  <c:v>-50</c:v>
                </c:pt>
                <c:pt idx="78">
                  <c:v>-60</c:v>
                </c:pt>
                <c:pt idx="79">
                  <c:v>-70</c:v>
                </c:pt>
                <c:pt idx="80">
                  <c:v>-80</c:v>
                </c:pt>
                <c:pt idx="81">
                  <c:v>-80</c:v>
                </c:pt>
                <c:pt idx="82">
                  <c:v>-80</c:v>
                </c:pt>
                <c:pt idx="83">
                  <c:v>-80</c:v>
                </c:pt>
                <c:pt idx="84">
                  <c:v>-80</c:v>
                </c:pt>
                <c:pt idx="85">
                  <c:v>-80</c:v>
                </c:pt>
                <c:pt idx="86">
                  <c:v>-80</c:v>
                </c:pt>
                <c:pt idx="87">
                  <c:v>-80</c:v>
                </c:pt>
                <c:pt idx="88">
                  <c:v>-80</c:v>
                </c:pt>
                <c:pt idx="89">
                  <c:v>-80</c:v>
                </c:pt>
                <c:pt idx="90">
                  <c:v>-80</c:v>
                </c:pt>
                <c:pt idx="91">
                  <c:v>-80</c:v>
                </c:pt>
                <c:pt idx="92">
                  <c:v>-80</c:v>
                </c:pt>
                <c:pt idx="93">
                  <c:v>-80</c:v>
                </c:pt>
                <c:pt idx="94">
                  <c:v>-80</c:v>
                </c:pt>
                <c:pt idx="95">
                  <c:v>-80</c:v>
                </c:pt>
                <c:pt idx="96">
                  <c:v>-80</c:v>
                </c:pt>
                <c:pt idx="97">
                  <c:v>-80</c:v>
                </c:pt>
                <c:pt idx="98">
                  <c:v>-80</c:v>
                </c:pt>
                <c:pt idx="99">
                  <c:v>-80</c:v>
                </c:pt>
                <c:pt idx="100">
                  <c:v>-80</c:v>
                </c:pt>
                <c:pt idx="101">
                  <c:v>-80</c:v>
                </c:pt>
                <c:pt idx="102">
                  <c:v>-80</c:v>
                </c:pt>
                <c:pt idx="103">
                  <c:v>-80</c:v>
                </c:pt>
                <c:pt idx="104">
                  <c:v>-80</c:v>
                </c:pt>
                <c:pt idx="105">
                  <c:v>-80</c:v>
                </c:pt>
                <c:pt idx="106">
                  <c:v>-80</c:v>
                </c:pt>
                <c:pt idx="107">
                  <c:v>-80</c:v>
                </c:pt>
                <c:pt idx="108">
                  <c:v>-80</c:v>
                </c:pt>
                <c:pt idx="109">
                  <c:v>-80</c:v>
                </c:pt>
                <c:pt idx="110">
                  <c:v>-80</c:v>
                </c:pt>
                <c:pt idx="111">
                  <c:v>-80</c:v>
                </c:pt>
                <c:pt idx="112">
                  <c:v>-80</c:v>
                </c:pt>
                <c:pt idx="113">
                  <c:v>-80</c:v>
                </c:pt>
                <c:pt idx="114">
                  <c:v>-80</c:v>
                </c:pt>
                <c:pt idx="115">
                  <c:v>-80</c:v>
                </c:pt>
                <c:pt idx="116">
                  <c:v>-80</c:v>
                </c:pt>
                <c:pt idx="117">
                  <c:v>-80</c:v>
                </c:pt>
                <c:pt idx="118">
                  <c:v>-80</c:v>
                </c:pt>
                <c:pt idx="119">
                  <c:v>-80</c:v>
                </c:pt>
                <c:pt idx="120">
                  <c:v>-80</c:v>
                </c:pt>
                <c:pt idx="121">
                  <c:v>-80</c:v>
                </c:pt>
                <c:pt idx="122">
                  <c:v>-80</c:v>
                </c:pt>
                <c:pt idx="123">
                  <c:v>-80</c:v>
                </c:pt>
                <c:pt idx="124">
                  <c:v>-80</c:v>
                </c:pt>
                <c:pt idx="125">
                  <c:v>-80</c:v>
                </c:pt>
                <c:pt idx="126">
                  <c:v>-80</c:v>
                </c:pt>
                <c:pt idx="127">
                  <c:v>-80</c:v>
                </c:pt>
                <c:pt idx="128">
                  <c:v>-80</c:v>
                </c:pt>
                <c:pt idx="129">
                  <c:v>-80</c:v>
                </c:pt>
                <c:pt idx="130">
                  <c:v>-80</c:v>
                </c:pt>
                <c:pt idx="131">
                  <c:v>-80</c:v>
                </c:pt>
                <c:pt idx="132">
                  <c:v>-80</c:v>
                </c:pt>
                <c:pt idx="133">
                  <c:v>-80</c:v>
                </c:pt>
                <c:pt idx="134">
                  <c:v>-80</c:v>
                </c:pt>
                <c:pt idx="135">
                  <c:v>-80</c:v>
                </c:pt>
                <c:pt idx="136">
                  <c:v>-80</c:v>
                </c:pt>
                <c:pt idx="137">
                  <c:v>-80</c:v>
                </c:pt>
                <c:pt idx="138">
                  <c:v>-80</c:v>
                </c:pt>
                <c:pt idx="139">
                  <c:v>-80</c:v>
                </c:pt>
                <c:pt idx="140">
                  <c:v>-80</c:v>
                </c:pt>
                <c:pt idx="141">
                  <c:v>-80</c:v>
                </c:pt>
                <c:pt idx="142">
                  <c:v>-80</c:v>
                </c:pt>
                <c:pt idx="143">
                  <c:v>-80</c:v>
                </c:pt>
                <c:pt idx="144">
                  <c:v>-80</c:v>
                </c:pt>
                <c:pt idx="145">
                  <c:v>-80</c:v>
                </c:pt>
                <c:pt idx="146">
                  <c:v>-80</c:v>
                </c:pt>
                <c:pt idx="147">
                  <c:v>-80</c:v>
                </c:pt>
                <c:pt idx="148">
                  <c:v>-80</c:v>
                </c:pt>
                <c:pt idx="149">
                  <c:v>-80</c:v>
                </c:pt>
                <c:pt idx="150">
                  <c:v>-80</c:v>
                </c:pt>
              </c:numCache>
            </c:numRef>
          </c:yVal>
          <c:smooth val="0"/>
          <c:extLst>
            <c:ext xmlns:c16="http://schemas.microsoft.com/office/drawing/2014/chart" uri="{C3380CC4-5D6E-409C-BE32-E72D297353CC}">
              <c16:uniqueId val="{00000000-34E1-4938-8819-77FEC474C2AC}"/>
            </c:ext>
          </c:extLst>
        </c:ser>
        <c:dLbls>
          <c:showLegendKey val="0"/>
          <c:showVal val="0"/>
          <c:showCatName val="0"/>
          <c:showSerName val="0"/>
          <c:showPercent val="0"/>
          <c:showBubbleSize val="0"/>
        </c:dLbls>
        <c:axId val="950068736"/>
        <c:axId val="950068256"/>
      </c:scatterChart>
      <c:valAx>
        <c:axId val="950068736"/>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068256"/>
        <c:crosses val="autoZero"/>
        <c:crossBetween val="midCat"/>
      </c:valAx>
      <c:valAx>
        <c:axId val="950068256"/>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0687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'LONG CALL BUTTERFLY'!$L$5</c:f>
              <c:strCache>
                <c:ptCount val="1"/>
                <c:pt idx="0">
                  <c:v>P&amp;L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'LONG CALL BUTTERFLY'!$H$6:$H$48</c:f>
              <c:numCache>
                <c:formatCode>#,##0.00;\(#,##0.00\)</c:formatCode>
                <c:ptCount val="43"/>
                <c:pt idx="0">
                  <c:v>21000</c:v>
                </c:pt>
                <c:pt idx="1">
                  <c:v>21050</c:v>
                </c:pt>
                <c:pt idx="2">
                  <c:v>21100</c:v>
                </c:pt>
                <c:pt idx="3">
                  <c:v>21150</c:v>
                </c:pt>
                <c:pt idx="4">
                  <c:v>21200</c:v>
                </c:pt>
                <c:pt idx="5">
                  <c:v>21250</c:v>
                </c:pt>
                <c:pt idx="6">
                  <c:v>21300</c:v>
                </c:pt>
                <c:pt idx="7">
                  <c:v>21350</c:v>
                </c:pt>
                <c:pt idx="8">
                  <c:v>21400</c:v>
                </c:pt>
                <c:pt idx="9">
                  <c:v>21450</c:v>
                </c:pt>
                <c:pt idx="10">
                  <c:v>21500</c:v>
                </c:pt>
                <c:pt idx="11">
                  <c:v>21550</c:v>
                </c:pt>
                <c:pt idx="12">
                  <c:v>21600</c:v>
                </c:pt>
                <c:pt idx="13">
                  <c:v>21650</c:v>
                </c:pt>
                <c:pt idx="14">
                  <c:v>21700</c:v>
                </c:pt>
                <c:pt idx="15">
                  <c:v>21750</c:v>
                </c:pt>
                <c:pt idx="16">
                  <c:v>21800</c:v>
                </c:pt>
                <c:pt idx="17">
                  <c:v>21850</c:v>
                </c:pt>
                <c:pt idx="18">
                  <c:v>21900</c:v>
                </c:pt>
                <c:pt idx="19">
                  <c:v>21909.75</c:v>
                </c:pt>
                <c:pt idx="20">
                  <c:v>21950</c:v>
                </c:pt>
                <c:pt idx="21">
                  <c:v>22000</c:v>
                </c:pt>
                <c:pt idx="22">
                  <c:v>22050</c:v>
                </c:pt>
                <c:pt idx="23">
                  <c:v>22090.25</c:v>
                </c:pt>
                <c:pt idx="24">
                  <c:v>22100</c:v>
                </c:pt>
                <c:pt idx="25">
                  <c:v>22150</c:v>
                </c:pt>
                <c:pt idx="26">
                  <c:v>22200</c:v>
                </c:pt>
                <c:pt idx="27">
                  <c:v>22250</c:v>
                </c:pt>
                <c:pt idx="28">
                  <c:v>22300</c:v>
                </c:pt>
                <c:pt idx="29">
                  <c:v>22350</c:v>
                </c:pt>
                <c:pt idx="30">
                  <c:v>22400</c:v>
                </c:pt>
                <c:pt idx="31">
                  <c:v>22450</c:v>
                </c:pt>
                <c:pt idx="32">
                  <c:v>22500</c:v>
                </c:pt>
                <c:pt idx="33">
                  <c:v>22550</c:v>
                </c:pt>
                <c:pt idx="34">
                  <c:v>22600</c:v>
                </c:pt>
                <c:pt idx="35">
                  <c:v>22650</c:v>
                </c:pt>
                <c:pt idx="36">
                  <c:v>22700</c:v>
                </c:pt>
                <c:pt idx="37">
                  <c:v>22750</c:v>
                </c:pt>
                <c:pt idx="38">
                  <c:v>22800</c:v>
                </c:pt>
                <c:pt idx="39">
                  <c:v>22850</c:v>
                </c:pt>
                <c:pt idx="40">
                  <c:v>22900</c:v>
                </c:pt>
                <c:pt idx="41">
                  <c:v>22950</c:v>
                </c:pt>
                <c:pt idx="42">
                  <c:v>23000</c:v>
                </c:pt>
              </c:numCache>
            </c:numRef>
          </c:xVal>
          <c:yVal>
            <c:numRef>
              <c:f>'LONG CALL BUTTERFLY'!$L$6:$L$48</c:f>
              <c:numCache>
                <c:formatCode>#,##0.00;\(#,##0.00\)</c:formatCode>
                <c:ptCount val="43"/>
                <c:pt idx="0">
                  <c:v>-9.75</c:v>
                </c:pt>
                <c:pt idx="1">
                  <c:v>-9.75</c:v>
                </c:pt>
                <c:pt idx="2">
                  <c:v>-9.75</c:v>
                </c:pt>
                <c:pt idx="3">
                  <c:v>-9.75</c:v>
                </c:pt>
                <c:pt idx="4">
                  <c:v>-9.75</c:v>
                </c:pt>
                <c:pt idx="5">
                  <c:v>-9.75</c:v>
                </c:pt>
                <c:pt idx="6">
                  <c:v>-9.75</c:v>
                </c:pt>
                <c:pt idx="7">
                  <c:v>-9.75</c:v>
                </c:pt>
                <c:pt idx="8">
                  <c:v>-9.75</c:v>
                </c:pt>
                <c:pt idx="9">
                  <c:v>-9.75</c:v>
                </c:pt>
                <c:pt idx="10">
                  <c:v>-9.75</c:v>
                </c:pt>
                <c:pt idx="11">
                  <c:v>-9.75</c:v>
                </c:pt>
                <c:pt idx="12">
                  <c:v>-9.75</c:v>
                </c:pt>
                <c:pt idx="13">
                  <c:v>-9.75</c:v>
                </c:pt>
                <c:pt idx="14">
                  <c:v>-9.75</c:v>
                </c:pt>
                <c:pt idx="15">
                  <c:v>-9.75</c:v>
                </c:pt>
                <c:pt idx="16">
                  <c:v>-9.75</c:v>
                </c:pt>
                <c:pt idx="17">
                  <c:v>-9.75</c:v>
                </c:pt>
                <c:pt idx="18">
                  <c:v>-9.75</c:v>
                </c:pt>
                <c:pt idx="19">
                  <c:v>0</c:v>
                </c:pt>
                <c:pt idx="20">
                  <c:v>40.25</c:v>
                </c:pt>
                <c:pt idx="21">
                  <c:v>90.25</c:v>
                </c:pt>
                <c:pt idx="22">
                  <c:v>40.25</c:v>
                </c:pt>
                <c:pt idx="23">
                  <c:v>0</c:v>
                </c:pt>
                <c:pt idx="24">
                  <c:v>-9.75</c:v>
                </c:pt>
                <c:pt idx="25">
                  <c:v>-9.75</c:v>
                </c:pt>
                <c:pt idx="26">
                  <c:v>-9.75</c:v>
                </c:pt>
                <c:pt idx="27">
                  <c:v>-9.75</c:v>
                </c:pt>
                <c:pt idx="28">
                  <c:v>-9.75</c:v>
                </c:pt>
                <c:pt idx="29">
                  <c:v>-9.75</c:v>
                </c:pt>
                <c:pt idx="30">
                  <c:v>-9.7500000000000568</c:v>
                </c:pt>
                <c:pt idx="31">
                  <c:v>-9.7500000000000568</c:v>
                </c:pt>
                <c:pt idx="32">
                  <c:v>-9.7500000000000568</c:v>
                </c:pt>
                <c:pt idx="33">
                  <c:v>-9.7500000000000568</c:v>
                </c:pt>
                <c:pt idx="34">
                  <c:v>-9.75</c:v>
                </c:pt>
                <c:pt idx="35">
                  <c:v>-9.75</c:v>
                </c:pt>
                <c:pt idx="36">
                  <c:v>-9.75</c:v>
                </c:pt>
                <c:pt idx="37">
                  <c:v>-9.75</c:v>
                </c:pt>
                <c:pt idx="38">
                  <c:v>-9.75</c:v>
                </c:pt>
                <c:pt idx="39">
                  <c:v>-9.75</c:v>
                </c:pt>
                <c:pt idx="40">
                  <c:v>-9.75</c:v>
                </c:pt>
                <c:pt idx="41">
                  <c:v>-9.75</c:v>
                </c:pt>
                <c:pt idx="42">
                  <c:v>-9.75</c:v>
                </c:pt>
              </c:numCache>
            </c:numRef>
          </c:yVal>
          <c:smooth val="0"/>
          <c:extLst>
            <c:ext xmlns:c16="http://schemas.microsoft.com/office/drawing/2014/chart" uri="{C3380CC4-5D6E-409C-BE32-E72D297353CC}">
              <c16:uniqueId val="{00000000-FD88-4A7C-9B87-726C7F0A71E0}"/>
            </c:ext>
          </c:extLst>
        </c:ser>
        <c:dLbls>
          <c:showLegendKey val="0"/>
          <c:showVal val="0"/>
          <c:showCatName val="0"/>
          <c:showSerName val="0"/>
          <c:showPercent val="0"/>
          <c:showBubbleSize val="0"/>
        </c:dLbls>
        <c:axId val="1542837024"/>
        <c:axId val="1542837504"/>
      </c:scatterChart>
      <c:valAx>
        <c:axId val="1542837024"/>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837504"/>
        <c:crosses val="autoZero"/>
        <c:crossBetween val="midCat"/>
      </c:valAx>
      <c:valAx>
        <c:axId val="1542837504"/>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83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'LONG CALL CONDOR'!$M$6</c:f>
              <c:strCache>
                <c:ptCount val="1"/>
                <c:pt idx="0">
                  <c:v>P&amp;L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'LONG CALL CONDOR'!$H$7:$H$51</c:f>
              <c:numCache>
                <c:formatCode>#,##0.00;\(#,##0.00\)</c:formatCode>
                <c:ptCount val="45"/>
                <c:pt idx="0">
                  <c:v>21000</c:v>
                </c:pt>
                <c:pt idx="1">
                  <c:v>21050</c:v>
                </c:pt>
                <c:pt idx="2">
                  <c:v>21100</c:v>
                </c:pt>
                <c:pt idx="3">
                  <c:v>21150</c:v>
                </c:pt>
                <c:pt idx="4">
                  <c:v>21200</c:v>
                </c:pt>
                <c:pt idx="5">
                  <c:v>21250</c:v>
                </c:pt>
                <c:pt idx="6">
                  <c:v>21300</c:v>
                </c:pt>
                <c:pt idx="7">
                  <c:v>21350</c:v>
                </c:pt>
                <c:pt idx="8">
                  <c:v>21400</c:v>
                </c:pt>
                <c:pt idx="9">
                  <c:v>21450</c:v>
                </c:pt>
                <c:pt idx="10">
                  <c:v>21500</c:v>
                </c:pt>
                <c:pt idx="11">
                  <c:v>21550</c:v>
                </c:pt>
                <c:pt idx="12">
                  <c:v>21600</c:v>
                </c:pt>
                <c:pt idx="13">
                  <c:v>21650</c:v>
                </c:pt>
                <c:pt idx="14">
                  <c:v>21700</c:v>
                </c:pt>
                <c:pt idx="15">
                  <c:v>21750</c:v>
                </c:pt>
                <c:pt idx="16">
                  <c:v>21800</c:v>
                </c:pt>
                <c:pt idx="17">
                  <c:v>21850</c:v>
                </c:pt>
                <c:pt idx="18">
                  <c:v>21883</c:v>
                </c:pt>
                <c:pt idx="19">
                  <c:v>21900</c:v>
                </c:pt>
                <c:pt idx="20">
                  <c:v>21909.75</c:v>
                </c:pt>
                <c:pt idx="21">
                  <c:v>21950</c:v>
                </c:pt>
                <c:pt idx="22">
                  <c:v>22000</c:v>
                </c:pt>
                <c:pt idx="23">
                  <c:v>22050</c:v>
                </c:pt>
                <c:pt idx="24">
                  <c:v>22090.25</c:v>
                </c:pt>
                <c:pt idx="25">
                  <c:v>22100</c:v>
                </c:pt>
                <c:pt idx="26">
                  <c:v>22117</c:v>
                </c:pt>
                <c:pt idx="27">
                  <c:v>22150</c:v>
                </c:pt>
                <c:pt idx="28">
                  <c:v>22200</c:v>
                </c:pt>
                <c:pt idx="29">
                  <c:v>22250</c:v>
                </c:pt>
                <c:pt idx="30">
                  <c:v>22300</c:v>
                </c:pt>
                <c:pt idx="31">
                  <c:v>22350</c:v>
                </c:pt>
                <c:pt idx="32">
                  <c:v>22400</c:v>
                </c:pt>
                <c:pt idx="33">
                  <c:v>22450</c:v>
                </c:pt>
                <c:pt idx="34">
                  <c:v>22500</c:v>
                </c:pt>
                <c:pt idx="35">
                  <c:v>22550</c:v>
                </c:pt>
                <c:pt idx="36">
                  <c:v>22600</c:v>
                </c:pt>
                <c:pt idx="37">
                  <c:v>22650</c:v>
                </c:pt>
                <c:pt idx="38">
                  <c:v>22700</c:v>
                </c:pt>
                <c:pt idx="39">
                  <c:v>22750</c:v>
                </c:pt>
                <c:pt idx="40">
                  <c:v>22800</c:v>
                </c:pt>
                <c:pt idx="41">
                  <c:v>22850</c:v>
                </c:pt>
                <c:pt idx="42">
                  <c:v>22900</c:v>
                </c:pt>
                <c:pt idx="43">
                  <c:v>22950</c:v>
                </c:pt>
                <c:pt idx="44">
                  <c:v>23000</c:v>
                </c:pt>
              </c:numCache>
            </c:numRef>
          </c:xVal>
          <c:yVal>
            <c:numRef>
              <c:f>'LONG CALL CONDOR'!$M$7:$M$51</c:f>
              <c:numCache>
                <c:formatCode>#,##0.00;\(#,##0.00\)</c:formatCode>
                <c:ptCount val="45"/>
                <c:pt idx="0">
                  <c:v>-83</c:v>
                </c:pt>
                <c:pt idx="1">
                  <c:v>-83</c:v>
                </c:pt>
                <c:pt idx="2">
                  <c:v>-83</c:v>
                </c:pt>
                <c:pt idx="3">
                  <c:v>-83</c:v>
                </c:pt>
                <c:pt idx="4">
                  <c:v>-83</c:v>
                </c:pt>
                <c:pt idx="5">
                  <c:v>-83</c:v>
                </c:pt>
                <c:pt idx="6">
                  <c:v>-83</c:v>
                </c:pt>
                <c:pt idx="7">
                  <c:v>-83</c:v>
                </c:pt>
                <c:pt idx="8">
                  <c:v>-83</c:v>
                </c:pt>
                <c:pt idx="9">
                  <c:v>-83</c:v>
                </c:pt>
                <c:pt idx="10">
                  <c:v>-83</c:v>
                </c:pt>
                <c:pt idx="11">
                  <c:v>-83</c:v>
                </c:pt>
                <c:pt idx="12">
                  <c:v>-83</c:v>
                </c:pt>
                <c:pt idx="13">
                  <c:v>-83</c:v>
                </c:pt>
                <c:pt idx="14">
                  <c:v>-83</c:v>
                </c:pt>
                <c:pt idx="15">
                  <c:v>-83</c:v>
                </c:pt>
                <c:pt idx="16">
                  <c:v>-83</c:v>
                </c:pt>
                <c:pt idx="17">
                  <c:v>-33</c:v>
                </c:pt>
                <c:pt idx="18">
                  <c:v>0</c:v>
                </c:pt>
                <c:pt idx="19">
                  <c:v>17</c:v>
                </c:pt>
                <c:pt idx="20">
                  <c:v>17</c:v>
                </c:pt>
                <c:pt idx="21">
                  <c:v>17</c:v>
                </c:pt>
                <c:pt idx="22">
                  <c:v>17</c:v>
                </c:pt>
                <c:pt idx="23">
                  <c:v>17</c:v>
                </c:pt>
                <c:pt idx="24">
                  <c:v>17</c:v>
                </c:pt>
                <c:pt idx="25">
                  <c:v>17</c:v>
                </c:pt>
                <c:pt idx="26">
                  <c:v>0</c:v>
                </c:pt>
                <c:pt idx="27">
                  <c:v>-33</c:v>
                </c:pt>
                <c:pt idx="28">
                  <c:v>-83</c:v>
                </c:pt>
                <c:pt idx="29">
                  <c:v>-83</c:v>
                </c:pt>
                <c:pt idx="30">
                  <c:v>-83</c:v>
                </c:pt>
                <c:pt idx="31">
                  <c:v>-83</c:v>
                </c:pt>
                <c:pt idx="32">
                  <c:v>-83</c:v>
                </c:pt>
                <c:pt idx="33">
                  <c:v>-83</c:v>
                </c:pt>
                <c:pt idx="34">
                  <c:v>-83</c:v>
                </c:pt>
                <c:pt idx="35">
                  <c:v>-83</c:v>
                </c:pt>
                <c:pt idx="36">
                  <c:v>-83</c:v>
                </c:pt>
                <c:pt idx="37">
                  <c:v>-83</c:v>
                </c:pt>
                <c:pt idx="38">
                  <c:v>-83</c:v>
                </c:pt>
                <c:pt idx="39">
                  <c:v>-83</c:v>
                </c:pt>
                <c:pt idx="40">
                  <c:v>-83</c:v>
                </c:pt>
                <c:pt idx="41">
                  <c:v>-83</c:v>
                </c:pt>
                <c:pt idx="42">
                  <c:v>-83</c:v>
                </c:pt>
                <c:pt idx="43">
                  <c:v>-83</c:v>
                </c:pt>
                <c:pt idx="44">
                  <c:v>-83</c:v>
                </c:pt>
              </c:numCache>
            </c:numRef>
          </c:yVal>
          <c:smooth val="0"/>
          <c:extLst>
            <c:ext xmlns:c16="http://schemas.microsoft.com/office/drawing/2014/chart" uri="{C3380CC4-5D6E-409C-BE32-E72D297353CC}">
              <c16:uniqueId val="{00000000-1FCB-4629-BBAC-16BBA55CD81D}"/>
            </c:ext>
          </c:extLst>
        </c:ser>
        <c:dLbls>
          <c:showLegendKey val="0"/>
          <c:showVal val="0"/>
          <c:showCatName val="0"/>
          <c:showSerName val="0"/>
          <c:showPercent val="0"/>
          <c:showBubbleSize val="0"/>
        </c:dLbls>
        <c:axId val="1542881664"/>
        <c:axId val="1542882144"/>
      </c:scatterChart>
      <c:valAx>
        <c:axId val="1542881664"/>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882144"/>
        <c:crosses val="autoZero"/>
        <c:crossBetween val="midCat"/>
      </c:valAx>
      <c:valAx>
        <c:axId val="1542882144"/>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8816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'LONG CALL CONDOR'!$AF$6</c:f>
              <c:strCache>
                <c:ptCount val="1"/>
                <c:pt idx="0">
                  <c:v>P&amp;L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'LONG CALL CONDOR'!$AA$7:$AA$51</c:f>
              <c:numCache>
                <c:formatCode>#,##0.00;\(#,##0.00\)</c:formatCode>
                <c:ptCount val="45"/>
                <c:pt idx="0">
                  <c:v>10000</c:v>
                </c:pt>
                <c:pt idx="1">
                  <c:v>10050</c:v>
                </c:pt>
                <c:pt idx="2">
                  <c:v>10100</c:v>
                </c:pt>
                <c:pt idx="3">
                  <c:v>10150</c:v>
                </c:pt>
                <c:pt idx="4">
                  <c:v>10200</c:v>
                </c:pt>
                <c:pt idx="5">
                  <c:v>10250</c:v>
                </c:pt>
                <c:pt idx="6">
                  <c:v>10300</c:v>
                </c:pt>
                <c:pt idx="7">
                  <c:v>10350</c:v>
                </c:pt>
                <c:pt idx="8">
                  <c:v>10400</c:v>
                </c:pt>
                <c:pt idx="9">
                  <c:v>10450</c:v>
                </c:pt>
                <c:pt idx="10">
                  <c:v>10500</c:v>
                </c:pt>
                <c:pt idx="11">
                  <c:v>10550</c:v>
                </c:pt>
                <c:pt idx="12">
                  <c:v>10600</c:v>
                </c:pt>
                <c:pt idx="13">
                  <c:v>10650</c:v>
                </c:pt>
                <c:pt idx="14">
                  <c:v>10700</c:v>
                </c:pt>
                <c:pt idx="15">
                  <c:v>10750</c:v>
                </c:pt>
                <c:pt idx="16">
                  <c:v>10800</c:v>
                </c:pt>
                <c:pt idx="17">
                  <c:v>10850</c:v>
                </c:pt>
                <c:pt idx="18">
                  <c:v>10883</c:v>
                </c:pt>
                <c:pt idx="19">
                  <c:v>10900</c:v>
                </c:pt>
                <c:pt idx="20">
                  <c:v>10909.75</c:v>
                </c:pt>
                <c:pt idx="21">
                  <c:v>10950</c:v>
                </c:pt>
                <c:pt idx="22">
                  <c:v>11000</c:v>
                </c:pt>
                <c:pt idx="23">
                  <c:v>11050</c:v>
                </c:pt>
                <c:pt idx="24">
                  <c:v>11090.25</c:v>
                </c:pt>
                <c:pt idx="25">
                  <c:v>11100</c:v>
                </c:pt>
                <c:pt idx="26">
                  <c:v>11117</c:v>
                </c:pt>
                <c:pt idx="27">
                  <c:v>11150</c:v>
                </c:pt>
                <c:pt idx="28">
                  <c:v>11200</c:v>
                </c:pt>
                <c:pt idx="29">
                  <c:v>11250</c:v>
                </c:pt>
                <c:pt idx="30">
                  <c:v>11300</c:v>
                </c:pt>
                <c:pt idx="31">
                  <c:v>11350</c:v>
                </c:pt>
                <c:pt idx="32">
                  <c:v>11400</c:v>
                </c:pt>
                <c:pt idx="33">
                  <c:v>11450</c:v>
                </c:pt>
                <c:pt idx="34">
                  <c:v>11500</c:v>
                </c:pt>
                <c:pt idx="35">
                  <c:v>11550</c:v>
                </c:pt>
                <c:pt idx="36">
                  <c:v>11600</c:v>
                </c:pt>
                <c:pt idx="37">
                  <c:v>11650</c:v>
                </c:pt>
                <c:pt idx="38">
                  <c:v>11700</c:v>
                </c:pt>
                <c:pt idx="39">
                  <c:v>11750</c:v>
                </c:pt>
                <c:pt idx="40">
                  <c:v>11800</c:v>
                </c:pt>
                <c:pt idx="41">
                  <c:v>11850</c:v>
                </c:pt>
                <c:pt idx="42">
                  <c:v>11900</c:v>
                </c:pt>
                <c:pt idx="43">
                  <c:v>11950</c:v>
                </c:pt>
                <c:pt idx="44">
                  <c:v>12000</c:v>
                </c:pt>
              </c:numCache>
            </c:numRef>
          </c:xVal>
          <c:yVal>
            <c:numRef>
              <c:f>'LONG CALL CONDOR'!$AF$7:$AF$51</c:f>
              <c:numCache>
                <c:formatCode>#,##0.00;\(#,##0.00\)</c:formatCode>
                <c:ptCount val="45"/>
                <c:pt idx="0">
                  <c:v>-83</c:v>
                </c:pt>
                <c:pt idx="1">
                  <c:v>-83</c:v>
                </c:pt>
                <c:pt idx="2">
                  <c:v>-83</c:v>
                </c:pt>
                <c:pt idx="3">
                  <c:v>-83</c:v>
                </c:pt>
                <c:pt idx="4">
                  <c:v>-83</c:v>
                </c:pt>
                <c:pt idx="5">
                  <c:v>-83</c:v>
                </c:pt>
                <c:pt idx="6">
                  <c:v>-83</c:v>
                </c:pt>
                <c:pt idx="7">
                  <c:v>-83</c:v>
                </c:pt>
                <c:pt idx="8">
                  <c:v>-83</c:v>
                </c:pt>
                <c:pt idx="9">
                  <c:v>-83</c:v>
                </c:pt>
                <c:pt idx="10">
                  <c:v>-83</c:v>
                </c:pt>
                <c:pt idx="11">
                  <c:v>-83</c:v>
                </c:pt>
                <c:pt idx="12">
                  <c:v>-83</c:v>
                </c:pt>
                <c:pt idx="13">
                  <c:v>-83</c:v>
                </c:pt>
                <c:pt idx="14">
                  <c:v>-83</c:v>
                </c:pt>
                <c:pt idx="15">
                  <c:v>-83</c:v>
                </c:pt>
                <c:pt idx="16">
                  <c:v>-83</c:v>
                </c:pt>
                <c:pt idx="17">
                  <c:v>-33</c:v>
                </c:pt>
                <c:pt idx="18">
                  <c:v>0</c:v>
                </c:pt>
                <c:pt idx="19">
                  <c:v>17</c:v>
                </c:pt>
                <c:pt idx="20">
                  <c:v>17</c:v>
                </c:pt>
                <c:pt idx="21">
                  <c:v>17</c:v>
                </c:pt>
                <c:pt idx="22">
                  <c:v>17</c:v>
                </c:pt>
                <c:pt idx="23">
                  <c:v>17</c:v>
                </c:pt>
                <c:pt idx="24">
                  <c:v>17</c:v>
                </c:pt>
                <c:pt idx="25">
                  <c:v>17</c:v>
                </c:pt>
                <c:pt idx="26">
                  <c:v>0</c:v>
                </c:pt>
                <c:pt idx="27">
                  <c:v>-33</c:v>
                </c:pt>
                <c:pt idx="28">
                  <c:v>-83</c:v>
                </c:pt>
                <c:pt idx="29">
                  <c:v>-83</c:v>
                </c:pt>
                <c:pt idx="30">
                  <c:v>-83</c:v>
                </c:pt>
                <c:pt idx="31">
                  <c:v>-83</c:v>
                </c:pt>
                <c:pt idx="32">
                  <c:v>-83</c:v>
                </c:pt>
                <c:pt idx="33">
                  <c:v>-83</c:v>
                </c:pt>
                <c:pt idx="34">
                  <c:v>-83</c:v>
                </c:pt>
                <c:pt idx="35">
                  <c:v>-83</c:v>
                </c:pt>
                <c:pt idx="36">
                  <c:v>-83</c:v>
                </c:pt>
                <c:pt idx="37">
                  <c:v>-83</c:v>
                </c:pt>
                <c:pt idx="38">
                  <c:v>-83</c:v>
                </c:pt>
                <c:pt idx="39">
                  <c:v>-83</c:v>
                </c:pt>
                <c:pt idx="40">
                  <c:v>-83</c:v>
                </c:pt>
                <c:pt idx="41">
                  <c:v>-83</c:v>
                </c:pt>
                <c:pt idx="42">
                  <c:v>-83</c:v>
                </c:pt>
                <c:pt idx="43">
                  <c:v>-83</c:v>
                </c:pt>
                <c:pt idx="44">
                  <c:v>-83</c:v>
                </c:pt>
              </c:numCache>
            </c:numRef>
          </c:yVal>
          <c:smooth val="0"/>
          <c:extLst>
            <c:ext xmlns:c16="http://schemas.microsoft.com/office/drawing/2014/chart" uri="{C3380CC4-5D6E-409C-BE32-E72D297353CC}">
              <c16:uniqueId val="{00000000-B32E-4155-9405-9645F909D310}"/>
            </c:ext>
          </c:extLst>
        </c:ser>
        <c:dLbls>
          <c:showLegendKey val="0"/>
          <c:showVal val="0"/>
          <c:showCatName val="0"/>
          <c:showSerName val="0"/>
          <c:showPercent val="0"/>
          <c:showBubbleSize val="0"/>
        </c:dLbls>
        <c:axId val="1752120592"/>
        <c:axId val="1752124432"/>
      </c:scatterChart>
      <c:valAx>
        <c:axId val="1752120592"/>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124432"/>
        <c:crosses val="autoZero"/>
        <c:crossBetween val="midCat"/>
      </c:valAx>
      <c:valAx>
        <c:axId val="1752124432"/>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120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'SHORT CALL BUTTERFLY'!$L$6</c:f>
              <c:strCache>
                <c:ptCount val="1"/>
                <c:pt idx="0">
                  <c:v>P&amp;L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'SHORT CALL BUTTERFLY'!$H$7:$H$49</c:f>
              <c:numCache>
                <c:formatCode>#,##0.00;\(#,##0.00\)</c:formatCode>
                <c:ptCount val="43"/>
                <c:pt idx="0">
                  <c:v>21000</c:v>
                </c:pt>
                <c:pt idx="1">
                  <c:v>21050</c:v>
                </c:pt>
                <c:pt idx="2">
                  <c:v>21100</c:v>
                </c:pt>
                <c:pt idx="3">
                  <c:v>21150</c:v>
                </c:pt>
                <c:pt idx="4">
                  <c:v>21200</c:v>
                </c:pt>
                <c:pt idx="5">
                  <c:v>21250</c:v>
                </c:pt>
                <c:pt idx="6">
                  <c:v>21300</c:v>
                </c:pt>
                <c:pt idx="7">
                  <c:v>21350</c:v>
                </c:pt>
                <c:pt idx="8">
                  <c:v>21400</c:v>
                </c:pt>
                <c:pt idx="9">
                  <c:v>21450</c:v>
                </c:pt>
                <c:pt idx="10">
                  <c:v>21500</c:v>
                </c:pt>
                <c:pt idx="11">
                  <c:v>21550</c:v>
                </c:pt>
                <c:pt idx="12">
                  <c:v>21600</c:v>
                </c:pt>
                <c:pt idx="13">
                  <c:v>21650</c:v>
                </c:pt>
                <c:pt idx="14">
                  <c:v>21700</c:v>
                </c:pt>
                <c:pt idx="15">
                  <c:v>21750</c:v>
                </c:pt>
                <c:pt idx="16">
                  <c:v>21800</c:v>
                </c:pt>
                <c:pt idx="17">
                  <c:v>21850</c:v>
                </c:pt>
                <c:pt idx="18">
                  <c:v>21900</c:v>
                </c:pt>
                <c:pt idx="19">
                  <c:v>21909.75</c:v>
                </c:pt>
                <c:pt idx="20">
                  <c:v>21950</c:v>
                </c:pt>
                <c:pt idx="21">
                  <c:v>22000</c:v>
                </c:pt>
                <c:pt idx="22">
                  <c:v>22050</c:v>
                </c:pt>
                <c:pt idx="23">
                  <c:v>22090.25</c:v>
                </c:pt>
                <c:pt idx="24">
                  <c:v>22100</c:v>
                </c:pt>
                <c:pt idx="25">
                  <c:v>22150</c:v>
                </c:pt>
                <c:pt idx="26">
                  <c:v>22200</c:v>
                </c:pt>
                <c:pt idx="27">
                  <c:v>22250</c:v>
                </c:pt>
                <c:pt idx="28">
                  <c:v>22300</c:v>
                </c:pt>
                <c:pt idx="29">
                  <c:v>22350</c:v>
                </c:pt>
                <c:pt idx="30">
                  <c:v>22400</c:v>
                </c:pt>
                <c:pt idx="31">
                  <c:v>22450</c:v>
                </c:pt>
                <c:pt idx="32">
                  <c:v>22500</c:v>
                </c:pt>
                <c:pt idx="33">
                  <c:v>22550</c:v>
                </c:pt>
                <c:pt idx="34">
                  <c:v>22600</c:v>
                </c:pt>
                <c:pt idx="35">
                  <c:v>22650</c:v>
                </c:pt>
                <c:pt idx="36">
                  <c:v>22700</c:v>
                </c:pt>
                <c:pt idx="37">
                  <c:v>22750</c:v>
                </c:pt>
                <c:pt idx="38">
                  <c:v>22800</c:v>
                </c:pt>
                <c:pt idx="39">
                  <c:v>22850</c:v>
                </c:pt>
                <c:pt idx="40">
                  <c:v>22900</c:v>
                </c:pt>
                <c:pt idx="41">
                  <c:v>22950</c:v>
                </c:pt>
                <c:pt idx="42">
                  <c:v>23000</c:v>
                </c:pt>
              </c:numCache>
            </c:numRef>
          </c:xVal>
          <c:yVal>
            <c:numRef>
              <c:f>'SHORT CALL BUTTERFLY'!$L$7:$L$49</c:f>
              <c:numCache>
                <c:formatCode>#,##0.00;\(#,##0.00\)</c:formatCode>
                <c:ptCount val="43"/>
                <c:pt idx="0">
                  <c:v>9.75</c:v>
                </c:pt>
                <c:pt idx="1">
                  <c:v>9.75</c:v>
                </c:pt>
                <c:pt idx="2">
                  <c:v>9.75</c:v>
                </c:pt>
                <c:pt idx="3">
                  <c:v>9.75</c:v>
                </c:pt>
                <c:pt idx="4">
                  <c:v>9.75</c:v>
                </c:pt>
                <c:pt idx="5">
                  <c:v>9.75</c:v>
                </c:pt>
                <c:pt idx="6">
                  <c:v>9.75</c:v>
                </c:pt>
                <c:pt idx="7">
                  <c:v>9.75</c:v>
                </c:pt>
                <c:pt idx="8">
                  <c:v>9.75</c:v>
                </c:pt>
                <c:pt idx="9">
                  <c:v>9.75</c:v>
                </c:pt>
                <c:pt idx="10">
                  <c:v>9.75</c:v>
                </c:pt>
                <c:pt idx="11">
                  <c:v>9.75</c:v>
                </c:pt>
                <c:pt idx="12">
                  <c:v>9.75</c:v>
                </c:pt>
                <c:pt idx="13">
                  <c:v>9.75</c:v>
                </c:pt>
                <c:pt idx="14">
                  <c:v>9.75</c:v>
                </c:pt>
                <c:pt idx="15">
                  <c:v>9.75</c:v>
                </c:pt>
                <c:pt idx="16">
                  <c:v>9.75</c:v>
                </c:pt>
                <c:pt idx="17">
                  <c:v>9.75</c:v>
                </c:pt>
                <c:pt idx="18">
                  <c:v>9.75</c:v>
                </c:pt>
                <c:pt idx="19">
                  <c:v>0</c:v>
                </c:pt>
                <c:pt idx="20">
                  <c:v>-40.25</c:v>
                </c:pt>
                <c:pt idx="21">
                  <c:v>-90.25</c:v>
                </c:pt>
                <c:pt idx="22">
                  <c:v>-40.25</c:v>
                </c:pt>
                <c:pt idx="23">
                  <c:v>0</c:v>
                </c:pt>
                <c:pt idx="24">
                  <c:v>9.75</c:v>
                </c:pt>
                <c:pt idx="25">
                  <c:v>9.75</c:v>
                </c:pt>
                <c:pt idx="26">
                  <c:v>9.75</c:v>
                </c:pt>
                <c:pt idx="27">
                  <c:v>9.75</c:v>
                </c:pt>
                <c:pt idx="28">
                  <c:v>9.75</c:v>
                </c:pt>
                <c:pt idx="29">
                  <c:v>9.75</c:v>
                </c:pt>
                <c:pt idx="30">
                  <c:v>9.7500000000000568</c:v>
                </c:pt>
                <c:pt idx="31">
                  <c:v>9.7500000000000568</c:v>
                </c:pt>
                <c:pt idx="32">
                  <c:v>9.7500000000000568</c:v>
                </c:pt>
                <c:pt idx="33">
                  <c:v>9.7500000000000568</c:v>
                </c:pt>
                <c:pt idx="34">
                  <c:v>9.75</c:v>
                </c:pt>
                <c:pt idx="35">
                  <c:v>9.75</c:v>
                </c:pt>
                <c:pt idx="36">
                  <c:v>9.75</c:v>
                </c:pt>
                <c:pt idx="37">
                  <c:v>9.75</c:v>
                </c:pt>
                <c:pt idx="38">
                  <c:v>9.75</c:v>
                </c:pt>
                <c:pt idx="39">
                  <c:v>9.75</c:v>
                </c:pt>
                <c:pt idx="40">
                  <c:v>9.75</c:v>
                </c:pt>
                <c:pt idx="41">
                  <c:v>9.75</c:v>
                </c:pt>
                <c:pt idx="42">
                  <c:v>9.75</c:v>
                </c:pt>
              </c:numCache>
            </c:numRef>
          </c:yVal>
          <c:smooth val="0"/>
          <c:extLst>
            <c:ext xmlns:c16="http://schemas.microsoft.com/office/drawing/2014/chart" uri="{C3380CC4-5D6E-409C-BE32-E72D297353CC}">
              <c16:uniqueId val="{00000000-1BDA-423C-8FB0-2BB90E6E8215}"/>
            </c:ext>
          </c:extLst>
        </c:ser>
        <c:dLbls>
          <c:showLegendKey val="0"/>
          <c:showVal val="0"/>
          <c:showCatName val="0"/>
          <c:showSerName val="0"/>
          <c:showPercent val="0"/>
          <c:showBubbleSize val="0"/>
        </c:dLbls>
        <c:axId val="1542841344"/>
        <c:axId val="1542842304"/>
      </c:scatterChart>
      <c:valAx>
        <c:axId val="1542841344"/>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842304"/>
        <c:crosses val="autoZero"/>
        <c:crossBetween val="midCat"/>
      </c:valAx>
      <c:valAx>
        <c:axId val="1542842304"/>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8413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'SHORT CALL CONDOR'!$M$6</c:f>
              <c:strCache>
                <c:ptCount val="1"/>
                <c:pt idx="0">
                  <c:v>P&amp;L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'SHORT CALL CONDOR'!$H$7:$H$51</c:f>
              <c:numCache>
                <c:formatCode>#,##0.00;\(#,##0.00\)</c:formatCode>
                <c:ptCount val="45"/>
                <c:pt idx="0">
                  <c:v>21000</c:v>
                </c:pt>
                <c:pt idx="1">
                  <c:v>21050</c:v>
                </c:pt>
                <c:pt idx="2">
                  <c:v>21100</c:v>
                </c:pt>
                <c:pt idx="3">
                  <c:v>21150</c:v>
                </c:pt>
                <c:pt idx="4">
                  <c:v>21200</c:v>
                </c:pt>
                <c:pt idx="5">
                  <c:v>21250</c:v>
                </c:pt>
                <c:pt idx="6">
                  <c:v>21300</c:v>
                </c:pt>
                <c:pt idx="7">
                  <c:v>21350</c:v>
                </c:pt>
                <c:pt idx="8">
                  <c:v>21400</c:v>
                </c:pt>
                <c:pt idx="9">
                  <c:v>21450</c:v>
                </c:pt>
                <c:pt idx="10">
                  <c:v>21500</c:v>
                </c:pt>
                <c:pt idx="11">
                  <c:v>21550</c:v>
                </c:pt>
                <c:pt idx="12">
                  <c:v>21600</c:v>
                </c:pt>
                <c:pt idx="13">
                  <c:v>21650</c:v>
                </c:pt>
                <c:pt idx="14">
                  <c:v>21700</c:v>
                </c:pt>
                <c:pt idx="15">
                  <c:v>21750</c:v>
                </c:pt>
                <c:pt idx="16">
                  <c:v>21800</c:v>
                </c:pt>
                <c:pt idx="17">
                  <c:v>21850</c:v>
                </c:pt>
                <c:pt idx="18">
                  <c:v>21883</c:v>
                </c:pt>
                <c:pt idx="19">
                  <c:v>21900</c:v>
                </c:pt>
                <c:pt idx="20">
                  <c:v>21909.75</c:v>
                </c:pt>
                <c:pt idx="21">
                  <c:v>21950</c:v>
                </c:pt>
                <c:pt idx="22">
                  <c:v>22000</c:v>
                </c:pt>
                <c:pt idx="23">
                  <c:v>22050</c:v>
                </c:pt>
                <c:pt idx="24">
                  <c:v>22090.25</c:v>
                </c:pt>
                <c:pt idx="25">
                  <c:v>22100</c:v>
                </c:pt>
                <c:pt idx="26">
                  <c:v>22117</c:v>
                </c:pt>
                <c:pt idx="27">
                  <c:v>22150</c:v>
                </c:pt>
                <c:pt idx="28">
                  <c:v>22200</c:v>
                </c:pt>
                <c:pt idx="29">
                  <c:v>22250</c:v>
                </c:pt>
                <c:pt idx="30">
                  <c:v>22300</c:v>
                </c:pt>
                <c:pt idx="31">
                  <c:v>22350</c:v>
                </c:pt>
                <c:pt idx="32">
                  <c:v>22400</c:v>
                </c:pt>
                <c:pt idx="33">
                  <c:v>22450</c:v>
                </c:pt>
                <c:pt idx="34">
                  <c:v>22500</c:v>
                </c:pt>
                <c:pt idx="35">
                  <c:v>22550</c:v>
                </c:pt>
                <c:pt idx="36">
                  <c:v>22600</c:v>
                </c:pt>
                <c:pt idx="37">
                  <c:v>22650</c:v>
                </c:pt>
                <c:pt idx="38">
                  <c:v>22700</c:v>
                </c:pt>
                <c:pt idx="39">
                  <c:v>22750</c:v>
                </c:pt>
                <c:pt idx="40">
                  <c:v>22800</c:v>
                </c:pt>
                <c:pt idx="41">
                  <c:v>22850</c:v>
                </c:pt>
                <c:pt idx="42">
                  <c:v>22900</c:v>
                </c:pt>
                <c:pt idx="43">
                  <c:v>22950</c:v>
                </c:pt>
                <c:pt idx="44">
                  <c:v>23000</c:v>
                </c:pt>
              </c:numCache>
            </c:numRef>
          </c:xVal>
          <c:yVal>
            <c:numRef>
              <c:f>'SHORT CALL CONDOR'!$M$7:$M$51</c:f>
              <c:numCache>
                <c:formatCode>#,##0.00;\(#,##0.00\)</c:formatCode>
                <c:ptCount val="45"/>
                <c:pt idx="0">
                  <c:v>83</c:v>
                </c:pt>
                <c:pt idx="1">
                  <c:v>83</c:v>
                </c:pt>
                <c:pt idx="2">
                  <c:v>83</c:v>
                </c:pt>
                <c:pt idx="3">
                  <c:v>83</c:v>
                </c:pt>
                <c:pt idx="4">
                  <c:v>83</c:v>
                </c:pt>
                <c:pt idx="5">
                  <c:v>83</c:v>
                </c:pt>
                <c:pt idx="6">
                  <c:v>83</c:v>
                </c:pt>
                <c:pt idx="7">
                  <c:v>83</c:v>
                </c:pt>
                <c:pt idx="8">
                  <c:v>83</c:v>
                </c:pt>
                <c:pt idx="9">
                  <c:v>83</c:v>
                </c:pt>
                <c:pt idx="10">
                  <c:v>83</c:v>
                </c:pt>
                <c:pt idx="11">
                  <c:v>83</c:v>
                </c:pt>
                <c:pt idx="12">
                  <c:v>83</c:v>
                </c:pt>
                <c:pt idx="13">
                  <c:v>83</c:v>
                </c:pt>
                <c:pt idx="14">
                  <c:v>83</c:v>
                </c:pt>
                <c:pt idx="15">
                  <c:v>83</c:v>
                </c:pt>
                <c:pt idx="16">
                  <c:v>83</c:v>
                </c:pt>
                <c:pt idx="17">
                  <c:v>33</c:v>
                </c:pt>
                <c:pt idx="18">
                  <c:v>0</c:v>
                </c:pt>
                <c:pt idx="19">
                  <c:v>-17</c:v>
                </c:pt>
                <c:pt idx="20">
                  <c:v>-17</c:v>
                </c:pt>
                <c:pt idx="21">
                  <c:v>-17</c:v>
                </c:pt>
                <c:pt idx="22">
                  <c:v>-17</c:v>
                </c:pt>
                <c:pt idx="23">
                  <c:v>-17</c:v>
                </c:pt>
                <c:pt idx="24">
                  <c:v>-17</c:v>
                </c:pt>
                <c:pt idx="25">
                  <c:v>-17</c:v>
                </c:pt>
                <c:pt idx="26">
                  <c:v>0</c:v>
                </c:pt>
                <c:pt idx="27">
                  <c:v>33</c:v>
                </c:pt>
                <c:pt idx="28">
                  <c:v>83</c:v>
                </c:pt>
                <c:pt idx="29">
                  <c:v>83</c:v>
                </c:pt>
                <c:pt idx="30">
                  <c:v>83</c:v>
                </c:pt>
                <c:pt idx="31">
                  <c:v>83</c:v>
                </c:pt>
                <c:pt idx="32">
                  <c:v>83</c:v>
                </c:pt>
                <c:pt idx="33">
                  <c:v>83</c:v>
                </c:pt>
                <c:pt idx="34">
                  <c:v>83</c:v>
                </c:pt>
                <c:pt idx="35">
                  <c:v>83</c:v>
                </c:pt>
                <c:pt idx="36">
                  <c:v>83</c:v>
                </c:pt>
                <c:pt idx="37">
                  <c:v>83</c:v>
                </c:pt>
                <c:pt idx="38">
                  <c:v>83</c:v>
                </c:pt>
                <c:pt idx="39">
                  <c:v>83</c:v>
                </c:pt>
                <c:pt idx="40">
                  <c:v>83</c:v>
                </c:pt>
                <c:pt idx="41">
                  <c:v>83</c:v>
                </c:pt>
                <c:pt idx="42">
                  <c:v>83</c:v>
                </c:pt>
                <c:pt idx="43">
                  <c:v>83</c:v>
                </c:pt>
                <c:pt idx="44">
                  <c:v>83</c:v>
                </c:pt>
              </c:numCache>
            </c:numRef>
          </c:yVal>
          <c:smooth val="0"/>
          <c:extLst>
            <c:ext xmlns:c16="http://schemas.microsoft.com/office/drawing/2014/chart" uri="{C3380CC4-5D6E-409C-BE32-E72D297353CC}">
              <c16:uniqueId val="{00000000-9976-4B0D-A995-CCADD8A1DCF6}"/>
            </c:ext>
          </c:extLst>
        </c:ser>
        <c:dLbls>
          <c:showLegendKey val="0"/>
          <c:showVal val="0"/>
          <c:showCatName val="0"/>
          <c:showSerName val="0"/>
          <c:showPercent val="0"/>
          <c:showBubbleSize val="0"/>
        </c:dLbls>
        <c:axId val="1542846624"/>
        <c:axId val="1542844704"/>
      </c:scatterChart>
      <c:valAx>
        <c:axId val="1542846624"/>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844704"/>
        <c:crosses val="autoZero"/>
        <c:crossBetween val="midCat"/>
      </c:valAx>
      <c:valAx>
        <c:axId val="1542844704"/>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846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8</xdr:col>
      <xdr:colOff>11470</xdr:colOff>
      <xdr:row>42</xdr:row>
      <xdr:rowOff>172545</xdr:rowOff>
    </xdr:from>
    <xdr:to>
      <xdr:col>23</xdr:col>
      <xdr:colOff>33457</xdr:colOff>
      <xdr:row>58</xdr:row>
      <xdr:rowOff>12321</xdr:rowOff>
    </xdr:to>
    <xdr:graphicFrame macro="">
      <xdr:nvGraphicFramePr>
        <xdr:cNvPr id="5" name="Chart 4">
          <a:extLst>
            <a:ext uri="{FF2B5EF4-FFF2-40B4-BE49-F238E27FC236}">
              <a16:creationId xmlns:a16="http://schemas.microsoft.com/office/drawing/2014/main" id="{E43F6824-8F89-5944-0980-37E0DDE7A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26450</xdr:colOff>
      <xdr:row>59</xdr:row>
      <xdr:rowOff>16584</xdr:rowOff>
    </xdr:from>
    <xdr:to>
      <xdr:col>17</xdr:col>
      <xdr:colOff>479092</xdr:colOff>
      <xdr:row>74</xdr:row>
      <xdr:rowOff>55913</xdr:rowOff>
    </xdr:to>
    <xdr:graphicFrame macro="">
      <xdr:nvGraphicFramePr>
        <xdr:cNvPr id="2" name="Chart 1">
          <a:extLst>
            <a:ext uri="{FF2B5EF4-FFF2-40B4-BE49-F238E27FC236}">
              <a16:creationId xmlns:a16="http://schemas.microsoft.com/office/drawing/2014/main" id="{644E43AA-F049-EE0C-697C-53FFAA0C6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3494</xdr:colOff>
      <xdr:row>32</xdr:row>
      <xdr:rowOff>148903</xdr:rowOff>
    </xdr:from>
    <xdr:to>
      <xdr:col>15</xdr:col>
      <xdr:colOff>318082</xdr:colOff>
      <xdr:row>47</xdr:row>
      <xdr:rowOff>165681</xdr:rowOff>
    </xdr:to>
    <xdr:graphicFrame macro="">
      <xdr:nvGraphicFramePr>
        <xdr:cNvPr id="2" name="Chart 1">
          <a:extLst>
            <a:ext uri="{FF2B5EF4-FFF2-40B4-BE49-F238E27FC236}">
              <a16:creationId xmlns:a16="http://schemas.microsoft.com/office/drawing/2014/main" id="{43069F72-3614-863B-A017-A6CCC6562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3494</xdr:colOff>
      <xdr:row>49</xdr:row>
      <xdr:rowOff>2097</xdr:rowOff>
    </xdr:from>
    <xdr:to>
      <xdr:col>15</xdr:col>
      <xdr:colOff>318082</xdr:colOff>
      <xdr:row>64</xdr:row>
      <xdr:rowOff>18875</xdr:rowOff>
    </xdr:to>
    <xdr:graphicFrame macro="">
      <xdr:nvGraphicFramePr>
        <xdr:cNvPr id="3" name="Chart 2">
          <a:extLst>
            <a:ext uri="{FF2B5EF4-FFF2-40B4-BE49-F238E27FC236}">
              <a16:creationId xmlns:a16="http://schemas.microsoft.com/office/drawing/2014/main" id="{8CE69A7F-973D-C069-2982-2428D33F4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600957</xdr:colOff>
      <xdr:row>49</xdr:row>
      <xdr:rowOff>14700</xdr:rowOff>
    </xdr:from>
    <xdr:to>
      <xdr:col>20</xdr:col>
      <xdr:colOff>298635</xdr:colOff>
      <xdr:row>64</xdr:row>
      <xdr:rowOff>14700</xdr:rowOff>
    </xdr:to>
    <xdr:graphicFrame macro="">
      <xdr:nvGraphicFramePr>
        <xdr:cNvPr id="2" name="Chart 1">
          <a:extLst>
            <a:ext uri="{FF2B5EF4-FFF2-40B4-BE49-F238E27FC236}">
              <a16:creationId xmlns:a16="http://schemas.microsoft.com/office/drawing/2014/main" id="{78EA78AF-2698-EBDF-3920-4ECAC375E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9292</xdr:colOff>
      <xdr:row>65</xdr:row>
      <xdr:rowOff>19205</xdr:rowOff>
    </xdr:from>
    <xdr:to>
      <xdr:col>20</xdr:col>
      <xdr:colOff>331439</xdr:colOff>
      <xdr:row>79</xdr:row>
      <xdr:rowOff>160454</xdr:rowOff>
    </xdr:to>
    <xdr:graphicFrame macro="">
      <xdr:nvGraphicFramePr>
        <xdr:cNvPr id="4" name="Chart 3">
          <a:extLst>
            <a:ext uri="{FF2B5EF4-FFF2-40B4-BE49-F238E27FC236}">
              <a16:creationId xmlns:a16="http://schemas.microsoft.com/office/drawing/2014/main" id="{212DFE27-58D3-0057-DC49-B570A8BF7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473578</xdr:colOff>
      <xdr:row>14</xdr:row>
      <xdr:rowOff>27776</xdr:rowOff>
    </xdr:from>
    <xdr:to>
      <xdr:col>18</xdr:col>
      <xdr:colOff>605327</xdr:colOff>
      <xdr:row>32</xdr:row>
      <xdr:rowOff>178040</xdr:rowOff>
    </xdr:to>
    <xdr:graphicFrame macro="">
      <xdr:nvGraphicFramePr>
        <xdr:cNvPr id="2" name="Chart 1">
          <a:extLst>
            <a:ext uri="{FF2B5EF4-FFF2-40B4-BE49-F238E27FC236}">
              <a16:creationId xmlns:a16="http://schemas.microsoft.com/office/drawing/2014/main" id="{5BCB4134-40BA-9819-961D-0A5E84C13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7620</xdr:colOff>
      <xdr:row>8</xdr:row>
      <xdr:rowOff>34290</xdr:rowOff>
    </xdr:from>
    <xdr:to>
      <xdr:col>19</xdr:col>
      <xdr:colOff>312420</xdr:colOff>
      <xdr:row>23</xdr:row>
      <xdr:rowOff>34290</xdr:rowOff>
    </xdr:to>
    <xdr:graphicFrame macro="">
      <xdr:nvGraphicFramePr>
        <xdr:cNvPr id="2" name="Chart 1">
          <a:extLst>
            <a:ext uri="{FF2B5EF4-FFF2-40B4-BE49-F238E27FC236}">
              <a16:creationId xmlns:a16="http://schemas.microsoft.com/office/drawing/2014/main" id="{28982594-B673-28A7-7754-278E4B2B0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13487</xdr:colOff>
      <xdr:row>14</xdr:row>
      <xdr:rowOff>673</xdr:rowOff>
    </xdr:from>
    <xdr:to>
      <xdr:col>18</xdr:col>
      <xdr:colOff>53947</xdr:colOff>
      <xdr:row>34</xdr:row>
      <xdr:rowOff>107892</xdr:rowOff>
    </xdr:to>
    <xdr:graphicFrame macro="">
      <xdr:nvGraphicFramePr>
        <xdr:cNvPr id="2" name="Chart 1">
          <a:extLst>
            <a:ext uri="{FF2B5EF4-FFF2-40B4-BE49-F238E27FC236}">
              <a16:creationId xmlns:a16="http://schemas.microsoft.com/office/drawing/2014/main" id="{EC2E73AF-30B3-80E6-FE15-BDE83C72A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160020</xdr:colOff>
      <xdr:row>14</xdr:row>
      <xdr:rowOff>80010</xdr:rowOff>
    </xdr:from>
    <xdr:to>
      <xdr:col>18</xdr:col>
      <xdr:colOff>464820</xdr:colOff>
      <xdr:row>29</xdr:row>
      <xdr:rowOff>80010</xdr:rowOff>
    </xdr:to>
    <xdr:graphicFrame macro="">
      <xdr:nvGraphicFramePr>
        <xdr:cNvPr id="2" name="Chart 1">
          <a:extLst>
            <a:ext uri="{FF2B5EF4-FFF2-40B4-BE49-F238E27FC236}">
              <a16:creationId xmlns:a16="http://schemas.microsoft.com/office/drawing/2014/main" id="{7E154684-F41E-5ED5-19EF-CC2CBF8C2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327660</xdr:colOff>
      <xdr:row>14</xdr:row>
      <xdr:rowOff>133350</xdr:rowOff>
    </xdr:from>
    <xdr:to>
      <xdr:col>19</xdr:col>
      <xdr:colOff>22860</xdr:colOff>
      <xdr:row>29</xdr:row>
      <xdr:rowOff>133350</xdr:rowOff>
    </xdr:to>
    <xdr:graphicFrame macro="">
      <xdr:nvGraphicFramePr>
        <xdr:cNvPr id="2" name="Chart 1">
          <a:extLst>
            <a:ext uri="{FF2B5EF4-FFF2-40B4-BE49-F238E27FC236}">
              <a16:creationId xmlns:a16="http://schemas.microsoft.com/office/drawing/2014/main" id="{DB81A3B6-C696-FE8E-7A1F-F4FD11B9A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11</xdr:col>
      <xdr:colOff>7620</xdr:colOff>
      <xdr:row>14</xdr:row>
      <xdr:rowOff>148590</xdr:rowOff>
    </xdr:from>
    <xdr:to>
      <xdr:col>18</xdr:col>
      <xdr:colOff>312420</xdr:colOff>
      <xdr:row>29</xdr:row>
      <xdr:rowOff>148590</xdr:rowOff>
    </xdr:to>
    <xdr:graphicFrame macro="">
      <xdr:nvGraphicFramePr>
        <xdr:cNvPr id="2" name="Chart 1">
          <a:extLst>
            <a:ext uri="{FF2B5EF4-FFF2-40B4-BE49-F238E27FC236}">
              <a16:creationId xmlns:a16="http://schemas.microsoft.com/office/drawing/2014/main" id="{A301DDB2-45F0-B398-136E-2C8C27705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24581</xdr:colOff>
      <xdr:row>12</xdr:row>
      <xdr:rowOff>119626</xdr:rowOff>
    </xdr:from>
    <xdr:to>
      <xdr:col>19</xdr:col>
      <xdr:colOff>352323</xdr:colOff>
      <xdr:row>27</xdr:row>
      <xdr:rowOff>158955</xdr:rowOff>
    </xdr:to>
    <xdr:graphicFrame macro="">
      <xdr:nvGraphicFramePr>
        <xdr:cNvPr id="2" name="Chart 1">
          <a:extLst>
            <a:ext uri="{FF2B5EF4-FFF2-40B4-BE49-F238E27FC236}">
              <a16:creationId xmlns:a16="http://schemas.microsoft.com/office/drawing/2014/main" id="{779D8DDD-8BDA-92CE-DA74-26D8D2FC8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60960</xdr:colOff>
      <xdr:row>12</xdr:row>
      <xdr:rowOff>95250</xdr:rowOff>
    </xdr:from>
    <xdr:to>
      <xdr:col>20</xdr:col>
      <xdr:colOff>365760</xdr:colOff>
      <xdr:row>27</xdr:row>
      <xdr:rowOff>95250</xdr:rowOff>
    </xdr:to>
    <xdr:graphicFrame macro="">
      <xdr:nvGraphicFramePr>
        <xdr:cNvPr id="2" name="Chart 1">
          <a:extLst>
            <a:ext uri="{FF2B5EF4-FFF2-40B4-BE49-F238E27FC236}">
              <a16:creationId xmlns:a16="http://schemas.microsoft.com/office/drawing/2014/main" id="{17F20254-2C1F-4507-315A-859A772CF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12</xdr:col>
      <xdr:colOff>373380</xdr:colOff>
      <xdr:row>13</xdr:row>
      <xdr:rowOff>140970</xdr:rowOff>
    </xdr:from>
    <xdr:to>
      <xdr:col>20</xdr:col>
      <xdr:colOff>68580</xdr:colOff>
      <xdr:row>28</xdr:row>
      <xdr:rowOff>140970</xdr:rowOff>
    </xdr:to>
    <xdr:graphicFrame macro="">
      <xdr:nvGraphicFramePr>
        <xdr:cNvPr id="2" name="Chart 1">
          <a:extLst>
            <a:ext uri="{FF2B5EF4-FFF2-40B4-BE49-F238E27FC236}">
              <a16:creationId xmlns:a16="http://schemas.microsoft.com/office/drawing/2014/main" id="{04A9736B-A7DF-4D6E-FF7D-BA200C545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800100</xdr:colOff>
      <xdr:row>12</xdr:row>
      <xdr:rowOff>102870</xdr:rowOff>
    </xdr:from>
    <xdr:to>
      <xdr:col>19</xdr:col>
      <xdr:colOff>297180</xdr:colOff>
      <xdr:row>27</xdr:row>
      <xdr:rowOff>87630</xdr:rowOff>
    </xdr:to>
    <xdr:graphicFrame macro="">
      <xdr:nvGraphicFramePr>
        <xdr:cNvPr id="2" name="Chart 1">
          <a:extLst>
            <a:ext uri="{FF2B5EF4-FFF2-40B4-BE49-F238E27FC236}">
              <a16:creationId xmlns:a16="http://schemas.microsoft.com/office/drawing/2014/main" id="{8A7A9A0C-7535-C1AD-1569-74CC66D2B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785567</xdr:colOff>
      <xdr:row>29</xdr:row>
      <xdr:rowOff>54204</xdr:rowOff>
    </xdr:from>
    <xdr:to>
      <xdr:col>19</xdr:col>
      <xdr:colOff>322082</xdr:colOff>
      <xdr:row>44</xdr:row>
      <xdr:rowOff>87197</xdr:rowOff>
    </xdr:to>
    <xdr:graphicFrame macro="">
      <xdr:nvGraphicFramePr>
        <xdr:cNvPr id="5" name="Chart 4">
          <a:extLst>
            <a:ext uri="{FF2B5EF4-FFF2-40B4-BE49-F238E27FC236}">
              <a16:creationId xmlns:a16="http://schemas.microsoft.com/office/drawing/2014/main" id="{DBC98121-4A00-5C9A-4790-EF7ED8D57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251460</xdr:colOff>
      <xdr:row>17</xdr:row>
      <xdr:rowOff>125730</xdr:rowOff>
    </xdr:from>
    <xdr:to>
      <xdr:col>20</xdr:col>
      <xdr:colOff>556260</xdr:colOff>
      <xdr:row>32</xdr:row>
      <xdr:rowOff>125730</xdr:rowOff>
    </xdr:to>
    <xdr:graphicFrame macro="">
      <xdr:nvGraphicFramePr>
        <xdr:cNvPr id="2" name="Chart 1">
          <a:extLst>
            <a:ext uri="{FF2B5EF4-FFF2-40B4-BE49-F238E27FC236}">
              <a16:creationId xmlns:a16="http://schemas.microsoft.com/office/drawing/2014/main" id="{A3B59E7E-578F-0128-65D8-C8059935B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594360</xdr:colOff>
      <xdr:row>18</xdr:row>
      <xdr:rowOff>19050</xdr:rowOff>
    </xdr:from>
    <xdr:to>
      <xdr:col>18</xdr:col>
      <xdr:colOff>289560</xdr:colOff>
      <xdr:row>33</xdr:row>
      <xdr:rowOff>19050</xdr:rowOff>
    </xdr:to>
    <xdr:graphicFrame macro="">
      <xdr:nvGraphicFramePr>
        <xdr:cNvPr id="2" name="Chart 1">
          <a:extLst>
            <a:ext uri="{FF2B5EF4-FFF2-40B4-BE49-F238E27FC236}">
              <a16:creationId xmlns:a16="http://schemas.microsoft.com/office/drawing/2014/main" id="{7157F0DB-F886-C582-453E-9427CA00D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449580</xdr:colOff>
      <xdr:row>17</xdr:row>
      <xdr:rowOff>110490</xdr:rowOff>
    </xdr:from>
    <xdr:to>
      <xdr:col>18</xdr:col>
      <xdr:colOff>144780</xdr:colOff>
      <xdr:row>32</xdr:row>
      <xdr:rowOff>110490</xdr:rowOff>
    </xdr:to>
    <xdr:graphicFrame macro="">
      <xdr:nvGraphicFramePr>
        <xdr:cNvPr id="2" name="Chart 1">
          <a:extLst>
            <a:ext uri="{FF2B5EF4-FFF2-40B4-BE49-F238E27FC236}">
              <a16:creationId xmlns:a16="http://schemas.microsoft.com/office/drawing/2014/main" id="{A0169229-A435-AC90-21DB-673BD6E73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14</xdr:col>
      <xdr:colOff>217714</xdr:colOff>
      <xdr:row>12</xdr:row>
      <xdr:rowOff>127280</xdr:rowOff>
    </xdr:from>
    <xdr:to>
      <xdr:col>21</xdr:col>
      <xdr:colOff>510791</xdr:colOff>
      <xdr:row>27</xdr:row>
      <xdr:rowOff>98809</xdr:rowOff>
    </xdr:to>
    <xdr:graphicFrame macro="">
      <xdr:nvGraphicFramePr>
        <xdr:cNvPr id="2" name="Chart 1">
          <a:extLst>
            <a:ext uri="{FF2B5EF4-FFF2-40B4-BE49-F238E27FC236}">
              <a16:creationId xmlns:a16="http://schemas.microsoft.com/office/drawing/2014/main" id="{2097B6E4-2F19-F335-E7AB-E81B15475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15</xdr:col>
      <xdr:colOff>597243</xdr:colOff>
      <xdr:row>20</xdr:row>
      <xdr:rowOff>162697</xdr:rowOff>
    </xdr:from>
    <xdr:to>
      <xdr:col>23</xdr:col>
      <xdr:colOff>308919</xdr:colOff>
      <xdr:row>35</xdr:row>
      <xdr:rowOff>125627</xdr:rowOff>
    </xdr:to>
    <xdr:graphicFrame macro="">
      <xdr:nvGraphicFramePr>
        <xdr:cNvPr id="2" name="Chart 1">
          <a:extLst>
            <a:ext uri="{FF2B5EF4-FFF2-40B4-BE49-F238E27FC236}">
              <a16:creationId xmlns:a16="http://schemas.microsoft.com/office/drawing/2014/main" id="{8B089E64-BDA7-33E6-1192-F1F49188C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249391</xdr:colOff>
      <xdr:row>7</xdr:row>
      <xdr:rowOff>140365</xdr:rowOff>
    </xdr:from>
    <xdr:to>
      <xdr:col>41</xdr:col>
      <xdr:colOff>577133</xdr:colOff>
      <xdr:row>22</xdr:row>
      <xdr:rowOff>120163</xdr:rowOff>
    </xdr:to>
    <xdr:graphicFrame macro="">
      <xdr:nvGraphicFramePr>
        <xdr:cNvPr id="3" name="Chart 2">
          <a:extLst>
            <a:ext uri="{FF2B5EF4-FFF2-40B4-BE49-F238E27FC236}">
              <a16:creationId xmlns:a16="http://schemas.microsoft.com/office/drawing/2014/main" id="{686C6B5B-115C-461E-7B62-FED057097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22860</xdr:colOff>
      <xdr:row>17</xdr:row>
      <xdr:rowOff>140970</xdr:rowOff>
    </xdr:from>
    <xdr:to>
      <xdr:col>21</xdr:col>
      <xdr:colOff>327660</xdr:colOff>
      <xdr:row>32</xdr:row>
      <xdr:rowOff>140970</xdr:rowOff>
    </xdr:to>
    <xdr:graphicFrame macro="">
      <xdr:nvGraphicFramePr>
        <xdr:cNvPr id="2" name="Chart 1">
          <a:extLst>
            <a:ext uri="{FF2B5EF4-FFF2-40B4-BE49-F238E27FC236}">
              <a16:creationId xmlns:a16="http://schemas.microsoft.com/office/drawing/2014/main" id="{4990FB0D-D8BC-467A-1DAF-AF9FF846B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15</xdr:col>
      <xdr:colOff>510540</xdr:colOff>
      <xdr:row>22</xdr:row>
      <xdr:rowOff>179070</xdr:rowOff>
    </xdr:from>
    <xdr:to>
      <xdr:col>23</xdr:col>
      <xdr:colOff>205740</xdr:colOff>
      <xdr:row>37</xdr:row>
      <xdr:rowOff>179070</xdr:rowOff>
    </xdr:to>
    <xdr:graphicFrame macro="">
      <xdr:nvGraphicFramePr>
        <xdr:cNvPr id="2" name="Chart 1">
          <a:extLst>
            <a:ext uri="{FF2B5EF4-FFF2-40B4-BE49-F238E27FC236}">
              <a16:creationId xmlns:a16="http://schemas.microsoft.com/office/drawing/2014/main" id="{E2B95737-F27A-3225-4AB3-EED4011B7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3B89D-A6A8-4B27-8F9F-8653BC5507B2}">
  <sheetPr codeName="Sheet1"/>
  <dimension ref="B2:E24"/>
  <sheetViews>
    <sheetView showGridLines="0" topLeftCell="Y1" zoomScale="95" workbookViewId="0">
      <selection activeCell="M10" sqref="M10"/>
    </sheetView>
  </sheetViews>
  <sheetFormatPr defaultRowHeight="14.4" x14ac:dyDescent="0.3"/>
  <cols>
    <col min="3" max="3" width="25.77734375" bestFit="1" customWidth="1"/>
  </cols>
  <sheetData>
    <row r="2" spans="2:5" ht="14.4" customHeight="1" x14ac:dyDescent="0.3">
      <c r="B2" s="74"/>
      <c r="C2" s="74"/>
      <c r="D2" s="74"/>
      <c r="E2" s="74"/>
    </row>
    <row r="3" spans="2:5" x14ac:dyDescent="0.3">
      <c r="B3" s="74"/>
      <c r="C3" s="74"/>
      <c r="D3" s="74"/>
      <c r="E3" s="74"/>
    </row>
    <row r="4" spans="2:5" ht="15.6" x14ac:dyDescent="0.3">
      <c r="B4" s="2">
        <v>1</v>
      </c>
      <c r="C4" s="29" t="s">
        <v>179</v>
      </c>
    </row>
    <row r="5" spans="2:5" ht="15.6" x14ac:dyDescent="0.3">
      <c r="B5" s="2">
        <v>2</v>
      </c>
      <c r="C5" s="29" t="s">
        <v>160</v>
      </c>
    </row>
    <row r="6" spans="2:5" ht="15.6" x14ac:dyDescent="0.3">
      <c r="B6" s="2">
        <v>3</v>
      </c>
      <c r="C6" s="30" t="s">
        <v>161</v>
      </c>
    </row>
    <row r="7" spans="2:5" ht="15.6" x14ac:dyDescent="0.3">
      <c r="B7" s="2">
        <v>4</v>
      </c>
      <c r="C7" s="30" t="s">
        <v>162</v>
      </c>
    </row>
    <row r="8" spans="2:5" ht="15.6" x14ac:dyDescent="0.3">
      <c r="B8" s="2">
        <v>5</v>
      </c>
      <c r="C8" s="30" t="s">
        <v>163</v>
      </c>
    </row>
    <row r="9" spans="2:5" ht="15.6" x14ac:dyDescent="0.3">
      <c r="B9" s="2">
        <v>6</v>
      </c>
      <c r="C9" s="30" t="s">
        <v>164</v>
      </c>
    </row>
    <row r="10" spans="2:5" ht="15.6" x14ac:dyDescent="0.3">
      <c r="B10" s="2">
        <v>7</v>
      </c>
      <c r="C10" s="30" t="s">
        <v>165</v>
      </c>
    </row>
    <row r="11" spans="2:5" ht="15.6" x14ac:dyDescent="0.3">
      <c r="B11" s="2">
        <v>8</v>
      </c>
      <c r="C11" s="30" t="s">
        <v>166</v>
      </c>
    </row>
    <row r="12" spans="2:5" ht="15.6" x14ac:dyDescent="0.3">
      <c r="B12" s="2">
        <v>9</v>
      </c>
      <c r="C12" s="30" t="s">
        <v>167</v>
      </c>
    </row>
    <row r="13" spans="2:5" ht="15.6" x14ac:dyDescent="0.3">
      <c r="B13" s="2">
        <v>10</v>
      </c>
      <c r="C13" s="30" t="s">
        <v>168</v>
      </c>
    </row>
    <row r="14" spans="2:5" ht="15.6" x14ac:dyDescent="0.3">
      <c r="B14" s="2">
        <v>11</v>
      </c>
      <c r="C14" s="30" t="s">
        <v>169</v>
      </c>
    </row>
    <row r="15" spans="2:5" ht="15.6" x14ac:dyDescent="0.3">
      <c r="B15" s="2">
        <v>12</v>
      </c>
      <c r="C15" s="29" t="s">
        <v>170</v>
      </c>
    </row>
    <row r="16" spans="2:5" ht="15.6" x14ac:dyDescent="0.3">
      <c r="B16" s="2">
        <v>13</v>
      </c>
      <c r="C16" s="30" t="s">
        <v>171</v>
      </c>
    </row>
    <row r="17" spans="2:3" ht="15.6" x14ac:dyDescent="0.3">
      <c r="B17" s="2">
        <v>14</v>
      </c>
      <c r="C17" s="30" t="s">
        <v>172</v>
      </c>
    </row>
    <row r="18" spans="2:3" ht="15.6" x14ac:dyDescent="0.3">
      <c r="B18" s="2">
        <v>15</v>
      </c>
      <c r="C18" s="30" t="s">
        <v>173</v>
      </c>
    </row>
    <row r="19" spans="2:3" ht="15.6" x14ac:dyDescent="0.3">
      <c r="B19" s="2">
        <v>16</v>
      </c>
      <c r="C19" s="30" t="s">
        <v>174</v>
      </c>
    </row>
    <row r="20" spans="2:3" ht="15.6" x14ac:dyDescent="0.3">
      <c r="B20" s="2">
        <v>17</v>
      </c>
      <c r="C20" s="30" t="s">
        <v>175</v>
      </c>
    </row>
    <row r="21" spans="2:3" ht="15.6" x14ac:dyDescent="0.3">
      <c r="B21" s="2">
        <v>18</v>
      </c>
      <c r="C21" s="30" t="s">
        <v>176</v>
      </c>
    </row>
    <row r="22" spans="2:3" ht="15.6" x14ac:dyDescent="0.3">
      <c r="B22" s="2">
        <v>19</v>
      </c>
      <c r="C22" s="30" t="s">
        <v>177</v>
      </c>
    </row>
    <row r="23" spans="2:3" ht="15.6" x14ac:dyDescent="0.3">
      <c r="B23" s="2">
        <v>20</v>
      </c>
      <c r="C23" s="30" t="s">
        <v>178</v>
      </c>
    </row>
    <row r="24" spans="2:3" ht="15.6" x14ac:dyDescent="0.3">
      <c r="C24" s="28"/>
    </row>
  </sheetData>
  <sheetProtection sheet="1" objects="1" scenarios="1"/>
  <mergeCells count="1">
    <mergeCell ref="B2:E3"/>
  </mergeCells>
  <phoneticPr fontId="5" type="noConversion"/>
  <hyperlinks>
    <hyperlink ref="C4" location="CE!A1" display="CE!A1" xr:uid="{0D91478A-C9B6-4E14-B63C-E8C63B8C7162}"/>
    <hyperlink ref="C5" location="PE!A1" display="PE!A1" xr:uid="{8C523B58-919C-45CD-95AD-07179BA46520}"/>
    <hyperlink ref="C6" location="'COVERED CALL '!A1" display="'COVERED CALL '!A1" xr:uid="{C75FDA1A-34B1-4CA9-AE98-89512D6AC346}"/>
    <hyperlink ref="C7" location="'PROTECTIVE PUT '!A1" display="'PROTECTIVE PUT '!A1" xr:uid="{5EA2A19D-6FB3-4E4E-922A-799A94FC36C4}"/>
    <hyperlink ref="C8" location="'LONG COMBO'!A1" display="'LONG COMBO'!A1" xr:uid="{BEBAAA8F-73B2-4FA3-86FC-87C456D554F5}"/>
    <hyperlink ref="C9" location="'PROTECTIVE CALL'!A1" display="'PROTECTIVE CALL'!A1" xr:uid="{A81CE972-5A82-4D1B-9D10-DD17DC11BA56}"/>
    <hyperlink ref="C10" location="'COVERED PUT'!A1" display="'COVERED PUT'!A1" xr:uid="{51CB0EA4-8921-41DF-9B4B-B56CACE0232E}"/>
    <hyperlink ref="C11" location="'LONG STRADDLE'!A1" display="'LONG STRADDLE'!A1" xr:uid="{D51FB5DC-8513-4A17-9F13-84406D67EC89}"/>
    <hyperlink ref="C12" location="'SHORT STRADDLE'!A1" display="'SHORT STRADDLE'!A1" xr:uid="{6E828B85-406D-4570-8815-2C067DD1EEF6}"/>
    <hyperlink ref="C13" location="' LONG STRANGLE '!A1" display="' LONG STRANGLE '!A1" xr:uid="{0F2E96D5-A117-408A-AB49-3A9A9239DF99}"/>
    <hyperlink ref="C14" location="'SHORT STRANGLE'!A1" display="'SHORT STRANGLE'!A1" xr:uid="{EF8EEEE1-4AE3-443B-AA69-34EB41023C53}"/>
    <hyperlink ref="C15" location="COLLAR!A1" display="COLLAR!A1" xr:uid="{E435661A-E311-4EDD-8477-741B455BE7AE}"/>
    <hyperlink ref="C16" location="'BULL CALL SPREAD STRATEGY'!A1" display="'BULL CALL SPREAD STRATEGY'!A1" xr:uid="{27A9C8DF-FC53-4E76-ACE6-562E5E389C2A}"/>
    <hyperlink ref="C17" location="'BULL PUT SPREAD STRATEGY'!A1" display="'BULL PUT SPREAD STRATEGY'!A1" xr:uid="{C4294BB6-8F34-412A-ABA6-2BE3CB758B0F}"/>
    <hyperlink ref="C18" location="'BEAR CALL SPREAD STRATEGY'!A1" display="'BEAR CALL SPREAD STRATEGY'!A1" xr:uid="{8CE8D4A8-EBC8-4B28-BA2B-A2BF77BA6F44}"/>
    <hyperlink ref="C19" location="'BEAR PUT SPREAD'!A1" display="'BEAR PUT SPREAD'!A1" xr:uid="{D00D46BA-899F-4C59-83F7-E3614F61218E}"/>
    <hyperlink ref="C20" location="'LONG CALL BUTTERFLY'!A1" display="'LONG CALL BUTTERFLY'!A1" xr:uid="{014CE1BB-9388-478E-9C55-B78A404F23DC}"/>
    <hyperlink ref="C21" location="'SHORT CALL BUTTERFLY'!A1" display="'SHORT CALL BUTTERFLY'!A1" xr:uid="{46B472DF-C7F6-4156-97BF-FE8B609E9E97}"/>
    <hyperlink ref="C22" location="'LONG CALL CONDOR'!A1" display="'LONG CALL CONDOR'!A1" xr:uid="{A357D0E7-7E37-485A-B52A-2E41F0E5FEC3}"/>
    <hyperlink ref="C23" location="'SHORT CALL CONDOR'!A1" display="'SHORT CALL CONDOR'!A1" xr:uid="{66B53683-A315-4AF7-8429-1C7E9EC0E09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7C2D3-C6D3-403A-9E48-449ED575F4DA}">
  <sheetPr codeName="Sheet2"/>
  <dimension ref="A3:N126"/>
  <sheetViews>
    <sheetView showGridLines="0" zoomScale="107" zoomScaleNormal="85" workbookViewId="0"/>
  </sheetViews>
  <sheetFormatPr defaultRowHeight="14.4" x14ac:dyDescent="0.3"/>
  <cols>
    <col min="6" max="6" width="13" customWidth="1"/>
    <col min="7" max="8" width="19" bestFit="1" customWidth="1"/>
  </cols>
  <sheetData>
    <row r="3" spans="1:14" x14ac:dyDescent="0.3">
      <c r="A3" s="2">
        <v>1</v>
      </c>
      <c r="F3" s="1" t="s">
        <v>1</v>
      </c>
      <c r="G3" s="1" t="s">
        <v>3</v>
      </c>
    </row>
    <row r="4" spans="1:14" x14ac:dyDescent="0.3">
      <c r="B4" s="75" t="s">
        <v>0</v>
      </c>
      <c r="C4" s="75"/>
      <c r="D4" s="75"/>
      <c r="E4" s="75"/>
      <c r="F4" s="6">
        <v>62</v>
      </c>
      <c r="G4" s="6">
        <v>1.25</v>
      </c>
    </row>
    <row r="5" spans="1:14" x14ac:dyDescent="0.3">
      <c r="B5" s="3" t="s">
        <v>2</v>
      </c>
      <c r="C5" s="2"/>
      <c r="D5" s="2"/>
      <c r="E5" s="2"/>
      <c r="F5" s="1" t="s">
        <v>4</v>
      </c>
      <c r="G5" s="1" t="s">
        <v>6</v>
      </c>
      <c r="H5" s="1" t="s">
        <v>7</v>
      </c>
      <c r="K5" s="7"/>
      <c r="L5" s="7"/>
      <c r="M5" s="8"/>
    </row>
    <row r="6" spans="1:14" x14ac:dyDescent="0.3">
      <c r="E6" s="2">
        <v>1</v>
      </c>
      <c r="F6" s="6">
        <v>50</v>
      </c>
      <c r="G6" s="6">
        <f>MAX(F6-$F$4,0)-$G$4</f>
        <v>-1.25</v>
      </c>
      <c r="H6" s="6">
        <f>(MAX(F6-$F$4,0)-$G$4)*-1</f>
        <v>1.25</v>
      </c>
      <c r="K6" s="4" t="s">
        <v>18</v>
      </c>
      <c r="L6" s="4" t="s">
        <v>14</v>
      </c>
      <c r="M6" s="76" t="s">
        <v>19</v>
      </c>
      <c r="N6" s="76"/>
    </row>
    <row r="7" spans="1:14" x14ac:dyDescent="0.3">
      <c r="E7" s="2">
        <v>2</v>
      </c>
      <c r="F7" s="6">
        <f>F6+0.25</f>
        <v>50.25</v>
      </c>
      <c r="G7" s="6">
        <f>MAX(F7-$F$4,0)-$G$4</f>
        <v>-1.25</v>
      </c>
      <c r="H7" s="6">
        <f t="shared" ref="H7:H70" si="0">(MAX(F7-$F$4,0)-$G$4)*-1</f>
        <v>1.25</v>
      </c>
      <c r="K7" s="4" t="s">
        <v>13</v>
      </c>
      <c r="L7" s="4" t="s">
        <v>15</v>
      </c>
      <c r="M7" s="76" t="s">
        <v>20</v>
      </c>
      <c r="N7" s="76"/>
    </row>
    <row r="8" spans="1:14" x14ac:dyDescent="0.3">
      <c r="E8" s="2">
        <v>3</v>
      </c>
      <c r="F8" s="6">
        <f>F7+0.25</f>
        <v>50.5</v>
      </c>
      <c r="G8" s="6">
        <f>MAX(F8-$F$4,0)-$G$4</f>
        <v>-1.25</v>
      </c>
      <c r="H8" s="6">
        <f t="shared" si="0"/>
        <v>1.25</v>
      </c>
      <c r="K8" s="4" t="s">
        <v>17</v>
      </c>
      <c r="L8" s="4" t="s">
        <v>16</v>
      </c>
      <c r="M8" s="76" t="s">
        <v>20</v>
      </c>
      <c r="N8" s="76"/>
    </row>
    <row r="9" spans="1:14" x14ac:dyDescent="0.3">
      <c r="E9" s="2">
        <v>4</v>
      </c>
      <c r="F9" s="6">
        <f t="shared" ref="F9:F72" si="1">F8+0.25</f>
        <v>50.75</v>
      </c>
      <c r="G9" s="6">
        <f t="shared" ref="G9:G72" si="2">MAX(F9-$F$4,0)-$G$4</f>
        <v>-1.25</v>
      </c>
      <c r="H9" s="6">
        <f t="shared" si="0"/>
        <v>1.25</v>
      </c>
    </row>
    <row r="10" spans="1:14" x14ac:dyDescent="0.3">
      <c r="E10" s="2">
        <v>5</v>
      </c>
      <c r="F10" s="6">
        <f t="shared" si="1"/>
        <v>51</v>
      </c>
      <c r="G10" s="6">
        <f t="shared" si="2"/>
        <v>-1.25</v>
      </c>
      <c r="H10" s="6">
        <f t="shared" si="0"/>
        <v>1.25</v>
      </c>
    </row>
    <row r="11" spans="1:14" x14ac:dyDescent="0.3">
      <c r="E11" s="2">
        <v>6</v>
      </c>
      <c r="F11" s="6">
        <f t="shared" si="1"/>
        <v>51.25</v>
      </c>
      <c r="G11" s="6">
        <f t="shared" si="2"/>
        <v>-1.25</v>
      </c>
      <c r="H11" s="6">
        <f t="shared" si="0"/>
        <v>1.25</v>
      </c>
    </row>
    <row r="12" spans="1:14" x14ac:dyDescent="0.3">
      <c r="E12" s="2">
        <v>7</v>
      </c>
      <c r="F12" s="6">
        <f t="shared" si="1"/>
        <v>51.5</v>
      </c>
      <c r="G12" s="6">
        <f t="shared" si="2"/>
        <v>-1.25</v>
      </c>
      <c r="H12" s="6">
        <f t="shared" si="0"/>
        <v>1.25</v>
      </c>
    </row>
    <row r="13" spans="1:14" x14ac:dyDescent="0.3">
      <c r="E13" s="2">
        <v>8</v>
      </c>
      <c r="F13" s="6">
        <f t="shared" si="1"/>
        <v>51.75</v>
      </c>
      <c r="G13" s="6">
        <f t="shared" si="2"/>
        <v>-1.25</v>
      </c>
      <c r="H13" s="6">
        <f t="shared" si="0"/>
        <v>1.25</v>
      </c>
    </row>
    <row r="14" spans="1:14" x14ac:dyDescent="0.3">
      <c r="E14" s="2">
        <v>9</v>
      </c>
      <c r="F14" s="6">
        <f t="shared" si="1"/>
        <v>52</v>
      </c>
      <c r="G14" s="6">
        <f t="shared" si="2"/>
        <v>-1.25</v>
      </c>
      <c r="H14" s="6">
        <f t="shared" si="0"/>
        <v>1.25</v>
      </c>
    </row>
    <row r="15" spans="1:14" x14ac:dyDescent="0.3">
      <c r="E15" s="2">
        <v>10</v>
      </c>
      <c r="F15" s="6">
        <f t="shared" si="1"/>
        <v>52.25</v>
      </c>
      <c r="G15" s="6">
        <f t="shared" si="2"/>
        <v>-1.25</v>
      </c>
      <c r="H15" s="6">
        <f t="shared" si="0"/>
        <v>1.25</v>
      </c>
    </row>
    <row r="16" spans="1:14" x14ac:dyDescent="0.3">
      <c r="E16" s="2">
        <v>11</v>
      </c>
      <c r="F16" s="6">
        <f t="shared" si="1"/>
        <v>52.5</v>
      </c>
      <c r="G16" s="6">
        <f t="shared" si="2"/>
        <v>-1.25</v>
      </c>
      <c r="H16" s="6">
        <f t="shared" si="0"/>
        <v>1.25</v>
      </c>
    </row>
    <row r="17" spans="5:8" x14ac:dyDescent="0.3">
      <c r="E17" s="2">
        <v>12</v>
      </c>
      <c r="F17" s="6">
        <f t="shared" si="1"/>
        <v>52.75</v>
      </c>
      <c r="G17" s="6">
        <f t="shared" si="2"/>
        <v>-1.25</v>
      </c>
      <c r="H17" s="6">
        <f t="shared" si="0"/>
        <v>1.25</v>
      </c>
    </row>
    <row r="18" spans="5:8" x14ac:dyDescent="0.3">
      <c r="E18" s="2">
        <v>13</v>
      </c>
      <c r="F18" s="6">
        <f t="shared" si="1"/>
        <v>53</v>
      </c>
      <c r="G18" s="6">
        <f t="shared" si="2"/>
        <v>-1.25</v>
      </c>
      <c r="H18" s="6">
        <f t="shared" si="0"/>
        <v>1.25</v>
      </c>
    </row>
    <row r="19" spans="5:8" x14ac:dyDescent="0.3">
      <c r="E19" s="2">
        <v>14</v>
      </c>
      <c r="F19" s="6">
        <f t="shared" si="1"/>
        <v>53.25</v>
      </c>
      <c r="G19" s="6">
        <f t="shared" si="2"/>
        <v>-1.25</v>
      </c>
      <c r="H19" s="6">
        <f t="shared" si="0"/>
        <v>1.25</v>
      </c>
    </row>
    <row r="20" spans="5:8" x14ac:dyDescent="0.3">
      <c r="E20" s="2">
        <v>15</v>
      </c>
      <c r="F20" s="6">
        <f t="shared" si="1"/>
        <v>53.5</v>
      </c>
      <c r="G20" s="6">
        <f t="shared" si="2"/>
        <v>-1.25</v>
      </c>
      <c r="H20" s="6">
        <f t="shared" si="0"/>
        <v>1.25</v>
      </c>
    </row>
    <row r="21" spans="5:8" x14ac:dyDescent="0.3">
      <c r="E21" s="2">
        <v>16</v>
      </c>
      <c r="F21" s="6">
        <f t="shared" si="1"/>
        <v>53.75</v>
      </c>
      <c r="G21" s="6">
        <f t="shared" si="2"/>
        <v>-1.25</v>
      </c>
      <c r="H21" s="6">
        <f t="shared" si="0"/>
        <v>1.25</v>
      </c>
    </row>
    <row r="22" spans="5:8" x14ac:dyDescent="0.3">
      <c r="E22" s="2">
        <v>17</v>
      </c>
      <c r="F22" s="6">
        <f t="shared" si="1"/>
        <v>54</v>
      </c>
      <c r="G22" s="6">
        <f t="shared" si="2"/>
        <v>-1.25</v>
      </c>
      <c r="H22" s="6">
        <f t="shared" si="0"/>
        <v>1.25</v>
      </c>
    </row>
    <row r="23" spans="5:8" x14ac:dyDescent="0.3">
      <c r="E23" s="2">
        <v>18</v>
      </c>
      <c r="F23" s="6">
        <f t="shared" si="1"/>
        <v>54.25</v>
      </c>
      <c r="G23" s="6">
        <f t="shared" si="2"/>
        <v>-1.25</v>
      </c>
      <c r="H23" s="6">
        <f t="shared" si="0"/>
        <v>1.25</v>
      </c>
    </row>
    <row r="24" spans="5:8" x14ac:dyDescent="0.3">
      <c r="E24" s="2">
        <v>19</v>
      </c>
      <c r="F24" s="6">
        <f t="shared" si="1"/>
        <v>54.5</v>
      </c>
      <c r="G24" s="6">
        <f t="shared" si="2"/>
        <v>-1.25</v>
      </c>
      <c r="H24" s="6">
        <f t="shared" si="0"/>
        <v>1.25</v>
      </c>
    </row>
    <row r="25" spans="5:8" x14ac:dyDescent="0.3">
      <c r="E25" s="2">
        <v>20</v>
      </c>
      <c r="F25" s="6">
        <f t="shared" si="1"/>
        <v>54.75</v>
      </c>
      <c r="G25" s="6">
        <f t="shared" si="2"/>
        <v>-1.25</v>
      </c>
      <c r="H25" s="6">
        <f t="shared" si="0"/>
        <v>1.25</v>
      </c>
    </row>
    <row r="26" spans="5:8" x14ac:dyDescent="0.3">
      <c r="E26" s="2">
        <v>21</v>
      </c>
      <c r="F26" s="6">
        <f t="shared" si="1"/>
        <v>55</v>
      </c>
      <c r="G26" s="6">
        <f t="shared" si="2"/>
        <v>-1.25</v>
      </c>
      <c r="H26" s="6">
        <f t="shared" si="0"/>
        <v>1.25</v>
      </c>
    </row>
    <row r="27" spans="5:8" x14ac:dyDescent="0.3">
      <c r="E27" s="2">
        <v>22</v>
      </c>
      <c r="F27" s="6">
        <f t="shared" si="1"/>
        <v>55.25</v>
      </c>
      <c r="G27" s="6">
        <f t="shared" si="2"/>
        <v>-1.25</v>
      </c>
      <c r="H27" s="6">
        <f t="shared" si="0"/>
        <v>1.25</v>
      </c>
    </row>
    <row r="28" spans="5:8" x14ac:dyDescent="0.3">
      <c r="E28" s="2">
        <v>23</v>
      </c>
      <c r="F28" s="6">
        <f t="shared" si="1"/>
        <v>55.5</v>
      </c>
      <c r="G28" s="6">
        <f t="shared" si="2"/>
        <v>-1.25</v>
      </c>
      <c r="H28" s="6">
        <f t="shared" si="0"/>
        <v>1.25</v>
      </c>
    </row>
    <row r="29" spans="5:8" x14ac:dyDescent="0.3">
      <c r="E29" s="2">
        <v>24</v>
      </c>
      <c r="F29" s="6">
        <f t="shared" si="1"/>
        <v>55.75</v>
      </c>
      <c r="G29" s="6">
        <f t="shared" si="2"/>
        <v>-1.25</v>
      </c>
      <c r="H29" s="6">
        <f t="shared" si="0"/>
        <v>1.25</v>
      </c>
    </row>
    <row r="30" spans="5:8" x14ac:dyDescent="0.3">
      <c r="E30" s="2">
        <v>25</v>
      </c>
      <c r="F30" s="6">
        <f t="shared" si="1"/>
        <v>56</v>
      </c>
      <c r="G30" s="6">
        <f t="shared" si="2"/>
        <v>-1.25</v>
      </c>
      <c r="H30" s="6">
        <f t="shared" si="0"/>
        <v>1.25</v>
      </c>
    </row>
    <row r="31" spans="5:8" x14ac:dyDescent="0.3">
      <c r="E31" s="2">
        <v>26</v>
      </c>
      <c r="F31" s="6">
        <f t="shared" si="1"/>
        <v>56.25</v>
      </c>
      <c r="G31" s="6">
        <f t="shared" si="2"/>
        <v>-1.25</v>
      </c>
      <c r="H31" s="6">
        <f t="shared" si="0"/>
        <v>1.25</v>
      </c>
    </row>
    <row r="32" spans="5:8" x14ac:dyDescent="0.3">
      <c r="E32" s="2">
        <v>27</v>
      </c>
      <c r="F32" s="6">
        <f t="shared" si="1"/>
        <v>56.5</v>
      </c>
      <c r="G32" s="6">
        <f t="shared" si="2"/>
        <v>-1.25</v>
      </c>
      <c r="H32" s="6">
        <f t="shared" si="0"/>
        <v>1.25</v>
      </c>
    </row>
    <row r="33" spans="5:8" x14ac:dyDescent="0.3">
      <c r="E33" s="2">
        <v>28</v>
      </c>
      <c r="F33" s="6">
        <f t="shared" si="1"/>
        <v>56.75</v>
      </c>
      <c r="G33" s="6">
        <f t="shared" si="2"/>
        <v>-1.25</v>
      </c>
      <c r="H33" s="6">
        <f t="shared" si="0"/>
        <v>1.25</v>
      </c>
    </row>
    <row r="34" spans="5:8" x14ac:dyDescent="0.3">
      <c r="E34" s="2">
        <v>29</v>
      </c>
      <c r="F34" s="6">
        <f t="shared" si="1"/>
        <v>57</v>
      </c>
      <c r="G34" s="6">
        <f t="shared" si="2"/>
        <v>-1.25</v>
      </c>
      <c r="H34" s="6">
        <f t="shared" si="0"/>
        <v>1.25</v>
      </c>
    </row>
    <row r="35" spans="5:8" x14ac:dyDescent="0.3">
      <c r="E35" s="2">
        <v>30</v>
      </c>
      <c r="F35" s="6">
        <f t="shared" si="1"/>
        <v>57.25</v>
      </c>
      <c r="G35" s="6">
        <f t="shared" si="2"/>
        <v>-1.25</v>
      </c>
      <c r="H35" s="6">
        <f t="shared" si="0"/>
        <v>1.25</v>
      </c>
    </row>
    <row r="36" spans="5:8" x14ac:dyDescent="0.3">
      <c r="E36" s="2">
        <v>31</v>
      </c>
      <c r="F36" s="6">
        <f t="shared" si="1"/>
        <v>57.5</v>
      </c>
      <c r="G36" s="6">
        <f t="shared" si="2"/>
        <v>-1.25</v>
      </c>
      <c r="H36" s="6">
        <f t="shared" si="0"/>
        <v>1.25</v>
      </c>
    </row>
    <row r="37" spans="5:8" x14ac:dyDescent="0.3">
      <c r="E37" s="2">
        <v>32</v>
      </c>
      <c r="F37" s="6">
        <f t="shared" si="1"/>
        <v>57.75</v>
      </c>
      <c r="G37" s="6">
        <f t="shared" si="2"/>
        <v>-1.25</v>
      </c>
      <c r="H37" s="6">
        <f t="shared" si="0"/>
        <v>1.25</v>
      </c>
    </row>
    <row r="38" spans="5:8" x14ac:dyDescent="0.3">
      <c r="E38" s="2">
        <v>33</v>
      </c>
      <c r="F38" s="6">
        <f t="shared" si="1"/>
        <v>58</v>
      </c>
      <c r="G38" s="6">
        <f t="shared" si="2"/>
        <v>-1.25</v>
      </c>
      <c r="H38" s="6">
        <f t="shared" si="0"/>
        <v>1.25</v>
      </c>
    </row>
    <row r="39" spans="5:8" x14ac:dyDescent="0.3">
      <c r="E39" s="2">
        <v>34</v>
      </c>
      <c r="F39" s="6">
        <f t="shared" si="1"/>
        <v>58.25</v>
      </c>
      <c r="G39" s="6">
        <f t="shared" si="2"/>
        <v>-1.25</v>
      </c>
      <c r="H39" s="6">
        <f t="shared" si="0"/>
        <v>1.25</v>
      </c>
    </row>
    <row r="40" spans="5:8" x14ac:dyDescent="0.3">
      <c r="E40" s="2">
        <v>35</v>
      </c>
      <c r="F40" s="6">
        <f t="shared" si="1"/>
        <v>58.5</v>
      </c>
      <c r="G40" s="6">
        <f t="shared" si="2"/>
        <v>-1.25</v>
      </c>
      <c r="H40" s="6">
        <f t="shared" si="0"/>
        <v>1.25</v>
      </c>
    </row>
    <row r="41" spans="5:8" x14ac:dyDescent="0.3">
      <c r="E41" s="2">
        <v>36</v>
      </c>
      <c r="F41" s="6">
        <f t="shared" si="1"/>
        <v>58.75</v>
      </c>
      <c r="G41" s="6">
        <f t="shared" si="2"/>
        <v>-1.25</v>
      </c>
      <c r="H41" s="6">
        <f t="shared" si="0"/>
        <v>1.25</v>
      </c>
    </row>
    <row r="42" spans="5:8" x14ac:dyDescent="0.3">
      <c r="E42" s="2">
        <v>37</v>
      </c>
      <c r="F42" s="6">
        <f t="shared" si="1"/>
        <v>59</v>
      </c>
      <c r="G42" s="6">
        <f t="shared" si="2"/>
        <v>-1.25</v>
      </c>
      <c r="H42" s="6">
        <f t="shared" si="0"/>
        <v>1.25</v>
      </c>
    </row>
    <row r="43" spans="5:8" x14ac:dyDescent="0.3">
      <c r="E43" s="2">
        <v>38</v>
      </c>
      <c r="F43" s="6">
        <f t="shared" si="1"/>
        <v>59.25</v>
      </c>
      <c r="G43" s="6">
        <f t="shared" si="2"/>
        <v>-1.25</v>
      </c>
      <c r="H43" s="6">
        <f t="shared" si="0"/>
        <v>1.25</v>
      </c>
    </row>
    <row r="44" spans="5:8" x14ac:dyDescent="0.3">
      <c r="E44" s="2">
        <v>39</v>
      </c>
      <c r="F44" s="6">
        <f t="shared" si="1"/>
        <v>59.5</v>
      </c>
      <c r="G44" s="6">
        <f t="shared" si="2"/>
        <v>-1.25</v>
      </c>
      <c r="H44" s="6">
        <f t="shared" si="0"/>
        <v>1.25</v>
      </c>
    </row>
    <row r="45" spans="5:8" x14ac:dyDescent="0.3">
      <c r="E45" s="2">
        <v>40</v>
      </c>
      <c r="F45" s="6">
        <f t="shared" si="1"/>
        <v>59.75</v>
      </c>
      <c r="G45" s="6">
        <f t="shared" si="2"/>
        <v>-1.25</v>
      </c>
      <c r="H45" s="6">
        <f t="shared" si="0"/>
        <v>1.25</v>
      </c>
    </row>
    <row r="46" spans="5:8" x14ac:dyDescent="0.3">
      <c r="E46" s="2">
        <v>41</v>
      </c>
      <c r="F46" s="6">
        <f t="shared" si="1"/>
        <v>60</v>
      </c>
      <c r="G46" s="6">
        <f t="shared" si="2"/>
        <v>-1.25</v>
      </c>
      <c r="H46" s="6">
        <f t="shared" si="0"/>
        <v>1.25</v>
      </c>
    </row>
    <row r="47" spans="5:8" x14ac:dyDescent="0.3">
      <c r="E47" s="2">
        <v>42</v>
      </c>
      <c r="F47" s="6">
        <f t="shared" si="1"/>
        <v>60.25</v>
      </c>
      <c r="G47" s="6">
        <f t="shared" si="2"/>
        <v>-1.25</v>
      </c>
      <c r="H47" s="6">
        <f t="shared" si="0"/>
        <v>1.25</v>
      </c>
    </row>
    <row r="48" spans="5:8" x14ac:dyDescent="0.3">
      <c r="E48" s="2">
        <v>43</v>
      </c>
      <c r="F48" s="6">
        <f t="shared" si="1"/>
        <v>60.5</v>
      </c>
      <c r="G48" s="6">
        <f t="shared" si="2"/>
        <v>-1.25</v>
      </c>
      <c r="H48" s="6">
        <f t="shared" si="0"/>
        <v>1.25</v>
      </c>
    </row>
    <row r="49" spans="5:9" x14ac:dyDescent="0.3">
      <c r="E49" s="2">
        <v>44</v>
      </c>
      <c r="F49" s="6">
        <f t="shared" si="1"/>
        <v>60.75</v>
      </c>
      <c r="G49" s="6">
        <f t="shared" si="2"/>
        <v>-1.25</v>
      </c>
      <c r="H49" s="6">
        <f t="shared" si="0"/>
        <v>1.25</v>
      </c>
    </row>
    <row r="50" spans="5:9" x14ac:dyDescent="0.3">
      <c r="E50" s="2">
        <v>45</v>
      </c>
      <c r="F50" s="6">
        <f t="shared" si="1"/>
        <v>61</v>
      </c>
      <c r="G50" s="6">
        <f t="shared" si="2"/>
        <v>-1.25</v>
      </c>
      <c r="H50" s="6">
        <f t="shared" si="0"/>
        <v>1.25</v>
      </c>
    </row>
    <row r="51" spans="5:9" x14ac:dyDescent="0.3">
      <c r="E51" s="2">
        <v>46</v>
      </c>
      <c r="F51" s="6">
        <f t="shared" si="1"/>
        <v>61.25</v>
      </c>
      <c r="G51" s="6">
        <f t="shared" si="2"/>
        <v>-1.25</v>
      </c>
      <c r="H51" s="6">
        <f t="shared" si="0"/>
        <v>1.25</v>
      </c>
    </row>
    <row r="52" spans="5:9" x14ac:dyDescent="0.3">
      <c r="E52" s="2">
        <v>47</v>
      </c>
      <c r="F52" s="6">
        <f t="shared" si="1"/>
        <v>61.5</v>
      </c>
      <c r="G52" s="6">
        <f t="shared" si="2"/>
        <v>-1.25</v>
      </c>
      <c r="H52" s="6">
        <f t="shared" si="0"/>
        <v>1.25</v>
      </c>
    </row>
    <row r="53" spans="5:9" x14ac:dyDescent="0.3">
      <c r="E53" s="2">
        <v>48</v>
      </c>
      <c r="F53" s="6">
        <f t="shared" si="1"/>
        <v>61.75</v>
      </c>
      <c r="G53" s="6">
        <f t="shared" si="2"/>
        <v>-1.25</v>
      </c>
      <c r="H53" s="6">
        <f t="shared" si="0"/>
        <v>1.25</v>
      </c>
    </row>
    <row r="54" spans="5:9" x14ac:dyDescent="0.3">
      <c r="E54" s="2">
        <v>49</v>
      </c>
      <c r="F54" s="6">
        <f t="shared" si="1"/>
        <v>62</v>
      </c>
      <c r="G54" s="6">
        <f t="shared" si="2"/>
        <v>-1.25</v>
      </c>
      <c r="H54" s="6">
        <f t="shared" si="0"/>
        <v>1.25</v>
      </c>
    </row>
    <row r="55" spans="5:9" x14ac:dyDescent="0.3">
      <c r="E55" s="2">
        <v>50</v>
      </c>
      <c r="F55" s="6">
        <f t="shared" si="1"/>
        <v>62.25</v>
      </c>
      <c r="G55" s="6">
        <f t="shared" si="2"/>
        <v>-1</v>
      </c>
      <c r="H55" s="6">
        <f t="shared" si="0"/>
        <v>1</v>
      </c>
    </row>
    <row r="56" spans="5:9" x14ac:dyDescent="0.3">
      <c r="E56" s="2">
        <v>51</v>
      </c>
      <c r="F56" s="6">
        <f t="shared" si="1"/>
        <v>62.5</v>
      </c>
      <c r="G56" s="6">
        <f t="shared" si="2"/>
        <v>-0.75</v>
      </c>
      <c r="H56" s="6">
        <f t="shared" si="0"/>
        <v>0.75</v>
      </c>
    </row>
    <row r="57" spans="5:9" x14ac:dyDescent="0.3">
      <c r="E57" s="2">
        <v>52</v>
      </c>
      <c r="F57" s="6">
        <f t="shared" si="1"/>
        <v>62.75</v>
      </c>
      <c r="G57" s="6">
        <f t="shared" si="2"/>
        <v>-0.5</v>
      </c>
      <c r="H57" s="6">
        <f t="shared" si="0"/>
        <v>0.5</v>
      </c>
    </row>
    <row r="58" spans="5:9" x14ac:dyDescent="0.3">
      <c r="E58" s="2">
        <v>53</v>
      </c>
      <c r="F58" s="6">
        <f t="shared" si="1"/>
        <v>63</v>
      </c>
      <c r="G58" s="6">
        <f t="shared" si="2"/>
        <v>-0.25</v>
      </c>
      <c r="H58" s="6">
        <f t="shared" si="0"/>
        <v>0.25</v>
      </c>
    </row>
    <row r="59" spans="5:9" x14ac:dyDescent="0.3">
      <c r="E59" s="4">
        <v>54</v>
      </c>
      <c r="F59" s="15">
        <f t="shared" si="1"/>
        <v>63.25</v>
      </c>
      <c r="G59" s="15">
        <f t="shared" si="2"/>
        <v>0</v>
      </c>
      <c r="H59" s="15">
        <f t="shared" si="0"/>
        <v>0</v>
      </c>
      <c r="I59" s="4" t="s">
        <v>24</v>
      </c>
    </row>
    <row r="60" spans="5:9" x14ac:dyDescent="0.3">
      <c r="E60" s="2">
        <v>55</v>
      </c>
      <c r="F60" s="6">
        <f t="shared" si="1"/>
        <v>63.5</v>
      </c>
      <c r="G60" s="6">
        <f t="shared" si="2"/>
        <v>0.25</v>
      </c>
      <c r="H60" s="6">
        <f t="shared" si="0"/>
        <v>-0.25</v>
      </c>
    </row>
    <row r="61" spans="5:9" x14ac:dyDescent="0.3">
      <c r="E61" s="2">
        <v>56</v>
      </c>
      <c r="F61" s="6">
        <f t="shared" si="1"/>
        <v>63.75</v>
      </c>
      <c r="G61" s="6">
        <f t="shared" si="2"/>
        <v>0.5</v>
      </c>
      <c r="H61" s="6">
        <f t="shared" si="0"/>
        <v>-0.5</v>
      </c>
    </row>
    <row r="62" spans="5:9" x14ac:dyDescent="0.3">
      <c r="E62" s="2">
        <v>57</v>
      </c>
      <c r="F62" s="6">
        <f t="shared" si="1"/>
        <v>64</v>
      </c>
      <c r="G62" s="6">
        <f t="shared" si="2"/>
        <v>0.75</v>
      </c>
      <c r="H62" s="6">
        <f t="shared" si="0"/>
        <v>-0.75</v>
      </c>
    </row>
    <row r="63" spans="5:9" x14ac:dyDescent="0.3">
      <c r="E63" s="2">
        <v>58</v>
      </c>
      <c r="F63" s="6">
        <f t="shared" si="1"/>
        <v>64.25</v>
      </c>
      <c r="G63" s="6">
        <f t="shared" si="2"/>
        <v>1</v>
      </c>
      <c r="H63" s="6">
        <f t="shared" si="0"/>
        <v>-1</v>
      </c>
    </row>
    <row r="64" spans="5:9" x14ac:dyDescent="0.3">
      <c r="E64" s="2">
        <v>59</v>
      </c>
      <c r="F64" s="6">
        <f t="shared" si="1"/>
        <v>64.5</v>
      </c>
      <c r="G64" s="6">
        <f t="shared" si="2"/>
        <v>1.25</v>
      </c>
      <c r="H64" s="6">
        <f t="shared" si="0"/>
        <v>-1.25</v>
      </c>
    </row>
    <row r="65" spans="5:8" x14ac:dyDescent="0.3">
      <c r="E65" s="2">
        <v>60</v>
      </c>
      <c r="F65" s="6">
        <f t="shared" si="1"/>
        <v>64.75</v>
      </c>
      <c r="G65" s="6">
        <f t="shared" si="2"/>
        <v>1.5</v>
      </c>
      <c r="H65" s="6">
        <f t="shared" si="0"/>
        <v>-1.5</v>
      </c>
    </row>
    <row r="66" spans="5:8" x14ac:dyDescent="0.3">
      <c r="E66" s="2">
        <v>61</v>
      </c>
      <c r="F66" s="6">
        <f t="shared" si="1"/>
        <v>65</v>
      </c>
      <c r="G66" s="6">
        <f t="shared" si="2"/>
        <v>1.75</v>
      </c>
      <c r="H66" s="6">
        <f t="shared" si="0"/>
        <v>-1.75</v>
      </c>
    </row>
    <row r="67" spans="5:8" x14ac:dyDescent="0.3">
      <c r="E67" s="2">
        <v>62</v>
      </c>
      <c r="F67" s="6">
        <f t="shared" si="1"/>
        <v>65.25</v>
      </c>
      <c r="G67" s="6">
        <f t="shared" si="2"/>
        <v>2</v>
      </c>
      <c r="H67" s="6">
        <f t="shared" si="0"/>
        <v>-2</v>
      </c>
    </row>
    <row r="68" spans="5:8" x14ac:dyDescent="0.3">
      <c r="E68" s="2">
        <v>63</v>
      </c>
      <c r="F68" s="6">
        <f t="shared" si="1"/>
        <v>65.5</v>
      </c>
      <c r="G68" s="6">
        <f t="shared" si="2"/>
        <v>2.25</v>
      </c>
      <c r="H68" s="6">
        <f t="shared" si="0"/>
        <v>-2.25</v>
      </c>
    </row>
    <row r="69" spans="5:8" x14ac:dyDescent="0.3">
      <c r="E69" s="2">
        <v>64</v>
      </c>
      <c r="F69" s="6">
        <f t="shared" si="1"/>
        <v>65.75</v>
      </c>
      <c r="G69" s="6">
        <f t="shared" si="2"/>
        <v>2.5</v>
      </c>
      <c r="H69" s="6">
        <f t="shared" si="0"/>
        <v>-2.5</v>
      </c>
    </row>
    <row r="70" spans="5:8" x14ac:dyDescent="0.3">
      <c r="E70" s="2">
        <v>65</v>
      </c>
      <c r="F70" s="6">
        <f t="shared" si="1"/>
        <v>66</v>
      </c>
      <c r="G70" s="6">
        <f t="shared" si="2"/>
        <v>2.75</v>
      </c>
      <c r="H70" s="6">
        <f t="shared" si="0"/>
        <v>-2.75</v>
      </c>
    </row>
    <row r="71" spans="5:8" x14ac:dyDescent="0.3">
      <c r="E71" s="2">
        <v>66</v>
      </c>
      <c r="F71" s="6">
        <f t="shared" si="1"/>
        <v>66.25</v>
      </c>
      <c r="G71" s="6">
        <f t="shared" si="2"/>
        <v>3</v>
      </c>
      <c r="H71" s="6">
        <f t="shared" ref="H71:H126" si="3">(MAX(F71-$F$4,0)-$G$4)*-1</f>
        <v>-3</v>
      </c>
    </row>
    <row r="72" spans="5:8" x14ac:dyDescent="0.3">
      <c r="E72" s="2">
        <v>67</v>
      </c>
      <c r="F72" s="6">
        <f t="shared" si="1"/>
        <v>66.5</v>
      </c>
      <c r="G72" s="6">
        <f t="shared" si="2"/>
        <v>3.25</v>
      </c>
      <c r="H72" s="6">
        <f t="shared" si="3"/>
        <v>-3.25</v>
      </c>
    </row>
    <row r="73" spans="5:8" x14ac:dyDescent="0.3">
      <c r="E73" s="2">
        <v>68</v>
      </c>
      <c r="F73" s="6">
        <f t="shared" ref="F73:F126" si="4">F72+0.25</f>
        <v>66.75</v>
      </c>
      <c r="G73" s="6">
        <f t="shared" ref="G73:G126" si="5">MAX(F73-$F$4,0)-$G$4</f>
        <v>3.5</v>
      </c>
      <c r="H73" s="6">
        <f t="shared" si="3"/>
        <v>-3.5</v>
      </c>
    </row>
    <row r="74" spans="5:8" x14ac:dyDescent="0.3">
      <c r="E74" s="2">
        <v>69</v>
      </c>
      <c r="F74" s="6">
        <f t="shared" si="4"/>
        <v>67</v>
      </c>
      <c r="G74" s="6">
        <f t="shared" si="5"/>
        <v>3.75</v>
      </c>
      <c r="H74" s="6">
        <f t="shared" si="3"/>
        <v>-3.75</v>
      </c>
    </row>
    <row r="75" spans="5:8" x14ac:dyDescent="0.3">
      <c r="E75" s="2">
        <v>70</v>
      </c>
      <c r="F75" s="6">
        <f t="shared" si="4"/>
        <v>67.25</v>
      </c>
      <c r="G75" s="6">
        <f t="shared" si="5"/>
        <v>4</v>
      </c>
      <c r="H75" s="6">
        <f t="shared" si="3"/>
        <v>-4</v>
      </c>
    </row>
    <row r="76" spans="5:8" x14ac:dyDescent="0.3">
      <c r="E76" s="2">
        <v>71</v>
      </c>
      <c r="F76" s="6">
        <f t="shared" si="4"/>
        <v>67.5</v>
      </c>
      <c r="G76" s="6">
        <f t="shared" si="5"/>
        <v>4.25</v>
      </c>
      <c r="H76" s="6">
        <f t="shared" si="3"/>
        <v>-4.25</v>
      </c>
    </row>
    <row r="77" spans="5:8" x14ac:dyDescent="0.3">
      <c r="E77" s="2">
        <v>72</v>
      </c>
      <c r="F77" s="6">
        <f t="shared" si="4"/>
        <v>67.75</v>
      </c>
      <c r="G77" s="6">
        <f t="shared" si="5"/>
        <v>4.5</v>
      </c>
      <c r="H77" s="6">
        <f t="shared" si="3"/>
        <v>-4.5</v>
      </c>
    </row>
    <row r="78" spans="5:8" x14ac:dyDescent="0.3">
      <c r="E78" s="2">
        <v>73</v>
      </c>
      <c r="F78" s="6">
        <f t="shared" si="4"/>
        <v>68</v>
      </c>
      <c r="G78" s="6">
        <f t="shared" si="5"/>
        <v>4.75</v>
      </c>
      <c r="H78" s="6">
        <f t="shared" si="3"/>
        <v>-4.75</v>
      </c>
    </row>
    <row r="79" spans="5:8" x14ac:dyDescent="0.3">
      <c r="E79" s="2">
        <v>74</v>
      </c>
      <c r="F79" s="6">
        <f t="shared" si="4"/>
        <v>68.25</v>
      </c>
      <c r="G79" s="6">
        <f t="shared" si="5"/>
        <v>5</v>
      </c>
      <c r="H79" s="6">
        <f t="shared" si="3"/>
        <v>-5</v>
      </c>
    </row>
    <row r="80" spans="5:8" x14ac:dyDescent="0.3">
      <c r="E80" s="2">
        <v>75</v>
      </c>
      <c r="F80" s="6">
        <f t="shared" si="4"/>
        <v>68.5</v>
      </c>
      <c r="G80" s="6">
        <f t="shared" si="5"/>
        <v>5.25</v>
      </c>
      <c r="H80" s="6">
        <f t="shared" si="3"/>
        <v>-5.25</v>
      </c>
    </row>
    <row r="81" spans="5:8" x14ac:dyDescent="0.3">
      <c r="E81" s="2">
        <v>76</v>
      </c>
      <c r="F81" s="6">
        <f t="shared" si="4"/>
        <v>68.75</v>
      </c>
      <c r="G81" s="6">
        <f t="shared" si="5"/>
        <v>5.5</v>
      </c>
      <c r="H81" s="6">
        <f t="shared" si="3"/>
        <v>-5.5</v>
      </c>
    </row>
    <row r="82" spans="5:8" x14ac:dyDescent="0.3">
      <c r="E82" s="2">
        <v>77</v>
      </c>
      <c r="F82" s="6">
        <f t="shared" si="4"/>
        <v>69</v>
      </c>
      <c r="G82" s="6">
        <f t="shared" si="5"/>
        <v>5.75</v>
      </c>
      <c r="H82" s="6">
        <f t="shared" si="3"/>
        <v>-5.75</v>
      </c>
    </row>
    <row r="83" spans="5:8" x14ac:dyDescent="0.3">
      <c r="E83" s="2">
        <v>78</v>
      </c>
      <c r="F83" s="6">
        <f t="shared" si="4"/>
        <v>69.25</v>
      </c>
      <c r="G83" s="6">
        <f t="shared" si="5"/>
        <v>6</v>
      </c>
      <c r="H83" s="6">
        <f t="shared" si="3"/>
        <v>-6</v>
      </c>
    </row>
    <row r="84" spans="5:8" x14ac:dyDescent="0.3">
      <c r="E84" s="2">
        <v>79</v>
      </c>
      <c r="F84" s="6">
        <f t="shared" si="4"/>
        <v>69.5</v>
      </c>
      <c r="G84" s="6">
        <f t="shared" si="5"/>
        <v>6.25</v>
      </c>
      <c r="H84" s="6">
        <f t="shared" si="3"/>
        <v>-6.25</v>
      </c>
    </row>
    <row r="85" spans="5:8" x14ac:dyDescent="0.3">
      <c r="E85" s="2">
        <v>80</v>
      </c>
      <c r="F85" s="6">
        <f t="shared" si="4"/>
        <v>69.75</v>
      </c>
      <c r="G85" s="6">
        <f t="shared" si="5"/>
        <v>6.5</v>
      </c>
      <c r="H85" s="6">
        <f t="shared" si="3"/>
        <v>-6.5</v>
      </c>
    </row>
    <row r="86" spans="5:8" x14ac:dyDescent="0.3">
      <c r="E86" s="2">
        <v>81</v>
      </c>
      <c r="F86" s="6">
        <f t="shared" si="4"/>
        <v>70</v>
      </c>
      <c r="G86" s="6">
        <f t="shared" si="5"/>
        <v>6.75</v>
      </c>
      <c r="H86" s="6">
        <f t="shared" si="3"/>
        <v>-6.75</v>
      </c>
    </row>
    <row r="87" spans="5:8" x14ac:dyDescent="0.3">
      <c r="E87" s="2">
        <v>82</v>
      </c>
      <c r="F87" s="6">
        <f t="shared" si="4"/>
        <v>70.25</v>
      </c>
      <c r="G87" s="6">
        <f t="shared" si="5"/>
        <v>7</v>
      </c>
      <c r="H87" s="6">
        <f t="shared" si="3"/>
        <v>-7</v>
      </c>
    </row>
    <row r="88" spans="5:8" x14ac:dyDescent="0.3">
      <c r="E88" s="2">
        <v>83</v>
      </c>
      <c r="F88" s="6">
        <f t="shared" si="4"/>
        <v>70.5</v>
      </c>
      <c r="G88" s="6">
        <f t="shared" si="5"/>
        <v>7.25</v>
      </c>
      <c r="H88" s="6">
        <f t="shared" si="3"/>
        <v>-7.25</v>
      </c>
    </row>
    <row r="89" spans="5:8" x14ac:dyDescent="0.3">
      <c r="E89" s="2">
        <v>84</v>
      </c>
      <c r="F89" s="6">
        <f t="shared" si="4"/>
        <v>70.75</v>
      </c>
      <c r="G89" s="6">
        <f t="shared" si="5"/>
        <v>7.5</v>
      </c>
      <c r="H89" s="6">
        <f t="shared" si="3"/>
        <v>-7.5</v>
      </c>
    </row>
    <row r="90" spans="5:8" x14ac:dyDescent="0.3">
      <c r="E90" s="2">
        <v>85</v>
      </c>
      <c r="F90" s="6">
        <f t="shared" si="4"/>
        <v>71</v>
      </c>
      <c r="G90" s="6">
        <f t="shared" si="5"/>
        <v>7.75</v>
      </c>
      <c r="H90" s="6">
        <f t="shared" si="3"/>
        <v>-7.75</v>
      </c>
    </row>
    <row r="91" spans="5:8" x14ac:dyDescent="0.3">
      <c r="E91" s="2">
        <v>86</v>
      </c>
      <c r="F91" s="6">
        <f t="shared" si="4"/>
        <v>71.25</v>
      </c>
      <c r="G91" s="6">
        <f t="shared" si="5"/>
        <v>8</v>
      </c>
      <c r="H91" s="6">
        <f t="shared" si="3"/>
        <v>-8</v>
      </c>
    </row>
    <row r="92" spans="5:8" x14ac:dyDescent="0.3">
      <c r="E92" s="2">
        <v>87</v>
      </c>
      <c r="F92" s="6">
        <f t="shared" si="4"/>
        <v>71.5</v>
      </c>
      <c r="G92" s="6">
        <f t="shared" si="5"/>
        <v>8.25</v>
      </c>
      <c r="H92" s="6">
        <f t="shared" si="3"/>
        <v>-8.25</v>
      </c>
    </row>
    <row r="93" spans="5:8" x14ac:dyDescent="0.3">
      <c r="E93" s="2">
        <v>88</v>
      </c>
      <c r="F93" s="6">
        <f t="shared" si="4"/>
        <v>71.75</v>
      </c>
      <c r="G93" s="6">
        <f t="shared" si="5"/>
        <v>8.5</v>
      </c>
      <c r="H93" s="6">
        <f t="shared" si="3"/>
        <v>-8.5</v>
      </c>
    </row>
    <row r="94" spans="5:8" x14ac:dyDescent="0.3">
      <c r="E94" s="2">
        <v>89</v>
      </c>
      <c r="F94" s="6">
        <f t="shared" si="4"/>
        <v>72</v>
      </c>
      <c r="G94" s="6">
        <f t="shared" si="5"/>
        <v>8.75</v>
      </c>
      <c r="H94" s="6">
        <f t="shared" si="3"/>
        <v>-8.75</v>
      </c>
    </row>
    <row r="95" spans="5:8" x14ac:dyDescent="0.3">
      <c r="E95" s="2">
        <v>90</v>
      </c>
      <c r="F95" s="6">
        <f t="shared" si="4"/>
        <v>72.25</v>
      </c>
      <c r="G95" s="6">
        <f t="shared" si="5"/>
        <v>9</v>
      </c>
      <c r="H95" s="6">
        <f t="shared" si="3"/>
        <v>-9</v>
      </c>
    </row>
    <row r="96" spans="5:8" x14ac:dyDescent="0.3">
      <c r="E96" s="2">
        <v>91</v>
      </c>
      <c r="F96" s="6">
        <f t="shared" si="4"/>
        <v>72.5</v>
      </c>
      <c r="G96" s="6">
        <f t="shared" si="5"/>
        <v>9.25</v>
      </c>
      <c r="H96" s="6">
        <f t="shared" si="3"/>
        <v>-9.25</v>
      </c>
    </row>
    <row r="97" spans="5:8" x14ac:dyDescent="0.3">
      <c r="E97" s="2">
        <v>92</v>
      </c>
      <c r="F97" s="6">
        <f t="shared" si="4"/>
        <v>72.75</v>
      </c>
      <c r="G97" s="6">
        <f t="shared" si="5"/>
        <v>9.5</v>
      </c>
      <c r="H97" s="6">
        <f t="shared" si="3"/>
        <v>-9.5</v>
      </c>
    </row>
    <row r="98" spans="5:8" x14ac:dyDescent="0.3">
      <c r="E98" s="2">
        <v>93</v>
      </c>
      <c r="F98" s="6">
        <f t="shared" si="4"/>
        <v>73</v>
      </c>
      <c r="G98" s="6">
        <f t="shared" si="5"/>
        <v>9.75</v>
      </c>
      <c r="H98" s="6">
        <f t="shared" si="3"/>
        <v>-9.75</v>
      </c>
    </row>
    <row r="99" spans="5:8" x14ac:dyDescent="0.3">
      <c r="E99" s="2">
        <v>94</v>
      </c>
      <c r="F99" s="6">
        <f t="shared" si="4"/>
        <v>73.25</v>
      </c>
      <c r="G99" s="6">
        <f t="shared" si="5"/>
        <v>10</v>
      </c>
      <c r="H99" s="6">
        <f t="shared" si="3"/>
        <v>-10</v>
      </c>
    </row>
    <row r="100" spans="5:8" x14ac:dyDescent="0.3">
      <c r="E100" s="2">
        <v>95</v>
      </c>
      <c r="F100" s="6">
        <f t="shared" si="4"/>
        <v>73.5</v>
      </c>
      <c r="G100" s="6">
        <f t="shared" si="5"/>
        <v>10.25</v>
      </c>
      <c r="H100" s="6">
        <f t="shared" si="3"/>
        <v>-10.25</v>
      </c>
    </row>
    <row r="101" spans="5:8" x14ac:dyDescent="0.3">
      <c r="E101" s="2">
        <v>96</v>
      </c>
      <c r="F101" s="6">
        <f t="shared" si="4"/>
        <v>73.75</v>
      </c>
      <c r="G101" s="6">
        <f t="shared" si="5"/>
        <v>10.5</v>
      </c>
      <c r="H101" s="6">
        <f t="shared" si="3"/>
        <v>-10.5</v>
      </c>
    </row>
    <row r="102" spans="5:8" x14ac:dyDescent="0.3">
      <c r="E102" s="2">
        <v>97</v>
      </c>
      <c r="F102" s="6">
        <f t="shared" si="4"/>
        <v>74</v>
      </c>
      <c r="G102" s="6">
        <f t="shared" si="5"/>
        <v>10.75</v>
      </c>
      <c r="H102" s="6">
        <f t="shared" si="3"/>
        <v>-10.75</v>
      </c>
    </row>
    <row r="103" spans="5:8" x14ac:dyDescent="0.3">
      <c r="E103" s="2">
        <v>98</v>
      </c>
      <c r="F103" s="6">
        <f t="shared" si="4"/>
        <v>74.25</v>
      </c>
      <c r="G103" s="6">
        <f t="shared" si="5"/>
        <v>11</v>
      </c>
      <c r="H103" s="6">
        <f t="shared" si="3"/>
        <v>-11</v>
      </c>
    </row>
    <row r="104" spans="5:8" x14ac:dyDescent="0.3">
      <c r="E104" s="2">
        <v>99</v>
      </c>
      <c r="F104" s="6">
        <f t="shared" si="4"/>
        <v>74.5</v>
      </c>
      <c r="G104" s="6">
        <f t="shared" si="5"/>
        <v>11.25</v>
      </c>
      <c r="H104" s="6">
        <f t="shared" si="3"/>
        <v>-11.25</v>
      </c>
    </row>
    <row r="105" spans="5:8" x14ac:dyDescent="0.3">
      <c r="E105" s="2">
        <v>100</v>
      </c>
      <c r="F105" s="6">
        <f t="shared" si="4"/>
        <v>74.75</v>
      </c>
      <c r="G105" s="6">
        <f t="shared" si="5"/>
        <v>11.5</v>
      </c>
      <c r="H105" s="6">
        <f t="shared" si="3"/>
        <v>-11.5</v>
      </c>
    </row>
    <row r="106" spans="5:8" x14ac:dyDescent="0.3">
      <c r="E106" s="2">
        <v>101</v>
      </c>
      <c r="F106" s="6">
        <f t="shared" si="4"/>
        <v>75</v>
      </c>
      <c r="G106" s="6">
        <f t="shared" si="5"/>
        <v>11.75</v>
      </c>
      <c r="H106" s="6">
        <f t="shared" si="3"/>
        <v>-11.75</v>
      </c>
    </row>
    <row r="107" spans="5:8" x14ac:dyDescent="0.3">
      <c r="E107" s="2">
        <v>102</v>
      </c>
      <c r="F107" s="6">
        <f t="shared" si="4"/>
        <v>75.25</v>
      </c>
      <c r="G107" s="6">
        <f t="shared" si="5"/>
        <v>12</v>
      </c>
      <c r="H107" s="6">
        <f t="shared" si="3"/>
        <v>-12</v>
      </c>
    </row>
    <row r="108" spans="5:8" x14ac:dyDescent="0.3">
      <c r="E108" s="2">
        <v>103</v>
      </c>
      <c r="F108" s="6">
        <f t="shared" si="4"/>
        <v>75.5</v>
      </c>
      <c r="G108" s="6">
        <f t="shared" si="5"/>
        <v>12.25</v>
      </c>
      <c r="H108" s="6">
        <f t="shared" si="3"/>
        <v>-12.25</v>
      </c>
    </row>
    <row r="109" spans="5:8" x14ac:dyDescent="0.3">
      <c r="E109" s="2">
        <v>104</v>
      </c>
      <c r="F109" s="6">
        <f t="shared" si="4"/>
        <v>75.75</v>
      </c>
      <c r="G109" s="6">
        <f t="shared" si="5"/>
        <v>12.5</v>
      </c>
      <c r="H109" s="6">
        <f t="shared" si="3"/>
        <v>-12.5</v>
      </c>
    </row>
    <row r="110" spans="5:8" x14ac:dyDescent="0.3">
      <c r="E110" s="2">
        <v>105</v>
      </c>
      <c r="F110" s="6">
        <f t="shared" si="4"/>
        <v>76</v>
      </c>
      <c r="G110" s="6">
        <f t="shared" si="5"/>
        <v>12.75</v>
      </c>
      <c r="H110" s="6">
        <f t="shared" si="3"/>
        <v>-12.75</v>
      </c>
    </row>
    <row r="111" spans="5:8" x14ac:dyDescent="0.3">
      <c r="E111" s="2">
        <v>106</v>
      </c>
      <c r="F111" s="6">
        <f t="shared" si="4"/>
        <v>76.25</v>
      </c>
      <c r="G111" s="6">
        <f t="shared" si="5"/>
        <v>13</v>
      </c>
      <c r="H111" s="6">
        <f t="shared" si="3"/>
        <v>-13</v>
      </c>
    </row>
    <row r="112" spans="5:8" x14ac:dyDescent="0.3">
      <c r="E112" s="2">
        <v>107</v>
      </c>
      <c r="F112" s="6">
        <f t="shared" si="4"/>
        <v>76.5</v>
      </c>
      <c r="G112" s="6">
        <f t="shared" si="5"/>
        <v>13.25</v>
      </c>
      <c r="H112" s="6">
        <f t="shared" si="3"/>
        <v>-13.25</v>
      </c>
    </row>
    <row r="113" spans="5:8" x14ac:dyDescent="0.3">
      <c r="E113" s="2">
        <v>108</v>
      </c>
      <c r="F113" s="6">
        <f t="shared" si="4"/>
        <v>76.75</v>
      </c>
      <c r="G113" s="6">
        <f t="shared" si="5"/>
        <v>13.5</v>
      </c>
      <c r="H113" s="6">
        <f t="shared" si="3"/>
        <v>-13.5</v>
      </c>
    </row>
    <row r="114" spans="5:8" x14ac:dyDescent="0.3">
      <c r="E114" s="2">
        <v>109</v>
      </c>
      <c r="F114" s="6">
        <f t="shared" si="4"/>
        <v>77</v>
      </c>
      <c r="G114" s="6">
        <f t="shared" si="5"/>
        <v>13.75</v>
      </c>
      <c r="H114" s="6">
        <f t="shared" si="3"/>
        <v>-13.75</v>
      </c>
    </row>
    <row r="115" spans="5:8" x14ac:dyDescent="0.3">
      <c r="E115" s="2">
        <v>110</v>
      </c>
      <c r="F115" s="6">
        <f t="shared" si="4"/>
        <v>77.25</v>
      </c>
      <c r="G115" s="6">
        <f t="shared" si="5"/>
        <v>14</v>
      </c>
      <c r="H115" s="6">
        <f t="shared" si="3"/>
        <v>-14</v>
      </c>
    </row>
    <row r="116" spans="5:8" x14ac:dyDescent="0.3">
      <c r="E116" s="2">
        <v>111</v>
      </c>
      <c r="F116" s="6">
        <f t="shared" si="4"/>
        <v>77.5</v>
      </c>
      <c r="G116" s="6">
        <f t="shared" si="5"/>
        <v>14.25</v>
      </c>
      <c r="H116" s="6">
        <f t="shared" si="3"/>
        <v>-14.25</v>
      </c>
    </row>
    <row r="117" spans="5:8" x14ac:dyDescent="0.3">
      <c r="E117" s="2">
        <v>112</v>
      </c>
      <c r="F117" s="6">
        <f t="shared" si="4"/>
        <v>77.75</v>
      </c>
      <c r="G117" s="6">
        <f t="shared" si="5"/>
        <v>14.5</v>
      </c>
      <c r="H117" s="6">
        <f t="shared" si="3"/>
        <v>-14.5</v>
      </c>
    </row>
    <row r="118" spans="5:8" x14ac:dyDescent="0.3">
      <c r="E118" s="2">
        <v>113</v>
      </c>
      <c r="F118" s="6">
        <f t="shared" si="4"/>
        <v>78</v>
      </c>
      <c r="G118" s="6">
        <f t="shared" si="5"/>
        <v>14.75</v>
      </c>
      <c r="H118" s="6">
        <f t="shared" si="3"/>
        <v>-14.75</v>
      </c>
    </row>
    <row r="119" spans="5:8" x14ac:dyDescent="0.3">
      <c r="E119" s="2">
        <v>114</v>
      </c>
      <c r="F119" s="6">
        <f t="shared" si="4"/>
        <v>78.25</v>
      </c>
      <c r="G119" s="6">
        <f t="shared" si="5"/>
        <v>15</v>
      </c>
      <c r="H119" s="6">
        <f t="shared" si="3"/>
        <v>-15</v>
      </c>
    </row>
    <row r="120" spans="5:8" x14ac:dyDescent="0.3">
      <c r="E120" s="2">
        <v>115</v>
      </c>
      <c r="F120" s="6">
        <f t="shared" si="4"/>
        <v>78.5</v>
      </c>
      <c r="G120" s="6">
        <f t="shared" si="5"/>
        <v>15.25</v>
      </c>
      <c r="H120" s="6">
        <f t="shared" si="3"/>
        <v>-15.25</v>
      </c>
    </row>
    <row r="121" spans="5:8" x14ac:dyDescent="0.3">
      <c r="E121" s="2">
        <v>116</v>
      </c>
      <c r="F121" s="6">
        <f t="shared" si="4"/>
        <v>78.75</v>
      </c>
      <c r="G121" s="6">
        <f t="shared" si="5"/>
        <v>15.5</v>
      </c>
      <c r="H121" s="6">
        <f t="shared" si="3"/>
        <v>-15.5</v>
      </c>
    </row>
    <row r="122" spans="5:8" x14ac:dyDescent="0.3">
      <c r="E122" s="2">
        <v>117</v>
      </c>
      <c r="F122" s="6">
        <f t="shared" si="4"/>
        <v>79</v>
      </c>
      <c r="G122" s="6">
        <f t="shared" si="5"/>
        <v>15.75</v>
      </c>
      <c r="H122" s="6">
        <f t="shared" si="3"/>
        <v>-15.75</v>
      </c>
    </row>
    <row r="123" spans="5:8" x14ac:dyDescent="0.3">
      <c r="E123" s="2">
        <v>118</v>
      </c>
      <c r="F123" s="6">
        <f t="shared" si="4"/>
        <v>79.25</v>
      </c>
      <c r="G123" s="6">
        <f t="shared" si="5"/>
        <v>16</v>
      </c>
      <c r="H123" s="6">
        <f t="shared" si="3"/>
        <v>-16</v>
      </c>
    </row>
    <row r="124" spans="5:8" x14ac:dyDescent="0.3">
      <c r="E124" s="2">
        <v>119</v>
      </c>
      <c r="F124" s="6">
        <f t="shared" si="4"/>
        <v>79.5</v>
      </c>
      <c r="G124" s="6">
        <f t="shared" si="5"/>
        <v>16.25</v>
      </c>
      <c r="H124" s="6">
        <f t="shared" si="3"/>
        <v>-16.25</v>
      </c>
    </row>
    <row r="125" spans="5:8" x14ac:dyDescent="0.3">
      <c r="E125" s="2">
        <v>120</v>
      </c>
      <c r="F125" s="6">
        <f t="shared" si="4"/>
        <v>79.75</v>
      </c>
      <c r="G125" s="6">
        <f t="shared" si="5"/>
        <v>16.5</v>
      </c>
      <c r="H125" s="6">
        <f t="shared" si="3"/>
        <v>-16.5</v>
      </c>
    </row>
    <row r="126" spans="5:8" x14ac:dyDescent="0.3">
      <c r="E126" s="2">
        <v>121</v>
      </c>
      <c r="F126" s="6">
        <f t="shared" si="4"/>
        <v>80</v>
      </c>
      <c r="G126" s="6">
        <f t="shared" si="5"/>
        <v>16.75</v>
      </c>
      <c r="H126" s="6">
        <f t="shared" si="3"/>
        <v>-16.75</v>
      </c>
    </row>
  </sheetData>
  <sheetProtection algorithmName="SHA-512" hashValue="VzVVq5JhCp5e+rAQgtQfQN0yo4Y/RqYnRW6PxSZWCMrp5Hk+JKFNE76mUfkVTneZOc8UN7lM6OPkWEOWplwBKA==" saltValue="D9m7Zp1gkwEUL8G8xUv5Zw==" spinCount="100000" sheet="1" objects="1" scenarios="1"/>
  <dataConsolidate/>
  <mergeCells count="4">
    <mergeCell ref="B4:E4"/>
    <mergeCell ref="M6:N6"/>
    <mergeCell ref="M7:N7"/>
    <mergeCell ref="M8:N8"/>
  </mergeCells>
  <conditionalFormatting sqref="G6:H126">
    <cfRule type="cellIs" dxfId="111" priority="3" operator="lessThan">
      <formula>$M$9</formula>
    </cfRule>
    <cfRule type="cellIs" dxfId="110" priority="4" operator="greaterThan">
      <formula>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599AF-4E74-4DEA-AEB1-A0774411623E}">
  <sheetPr codeName="Sheet3"/>
  <dimension ref="A3:Q126"/>
  <sheetViews>
    <sheetView zoomScale="105" workbookViewId="0">
      <selection activeCell="E3" sqref="E3:G6"/>
    </sheetView>
  </sheetViews>
  <sheetFormatPr defaultRowHeight="14.4" x14ac:dyDescent="0.3"/>
  <cols>
    <col min="5" max="5" width="12.5546875" bestFit="1" customWidth="1"/>
    <col min="6" max="7" width="19.109375" bestFit="1" customWidth="1"/>
  </cols>
  <sheetData>
    <row r="3" spans="1:17" x14ac:dyDescent="0.3">
      <c r="E3" s="1" t="s">
        <v>1</v>
      </c>
      <c r="F3" s="1" t="s">
        <v>3</v>
      </c>
      <c r="I3" s="78" t="s">
        <v>10</v>
      </c>
      <c r="J3" s="79"/>
      <c r="K3" s="79"/>
      <c r="L3" s="80"/>
      <c r="M3" s="77" t="s">
        <v>21</v>
      </c>
      <c r="N3" s="77"/>
      <c r="O3" s="77" t="s">
        <v>22</v>
      </c>
      <c r="P3" s="77"/>
      <c r="Q3" s="77"/>
    </row>
    <row r="4" spans="1:17" x14ac:dyDescent="0.3">
      <c r="A4" s="75" t="s">
        <v>5</v>
      </c>
      <c r="B4" s="75"/>
      <c r="C4" s="75"/>
      <c r="D4" s="75"/>
      <c r="E4" s="6">
        <v>62</v>
      </c>
      <c r="F4" s="6">
        <v>1.25</v>
      </c>
      <c r="I4" s="77" t="s">
        <v>11</v>
      </c>
      <c r="J4" s="77"/>
      <c r="K4" s="77"/>
      <c r="L4" s="77"/>
      <c r="M4" s="77" t="s">
        <v>22</v>
      </c>
      <c r="N4" s="77"/>
      <c r="O4" s="77" t="s">
        <v>21</v>
      </c>
      <c r="P4" s="77"/>
      <c r="Q4" s="77"/>
    </row>
    <row r="5" spans="1:17" ht="15" thickBot="1" x14ac:dyDescent="0.35">
      <c r="A5" s="3" t="s">
        <v>2</v>
      </c>
      <c r="B5" s="2"/>
      <c r="C5" s="2"/>
      <c r="D5" s="2"/>
      <c r="E5" s="5" t="s">
        <v>4</v>
      </c>
      <c r="F5" s="5" t="s">
        <v>8</v>
      </c>
      <c r="G5" s="5" t="s">
        <v>9</v>
      </c>
    </row>
    <row r="6" spans="1:17" x14ac:dyDescent="0.3">
      <c r="D6" s="2">
        <v>1</v>
      </c>
      <c r="E6" s="6">
        <v>50</v>
      </c>
      <c r="F6" s="6">
        <f>MAX($E$4-E6,0)-$F$4</f>
        <v>10.75</v>
      </c>
      <c r="G6" s="6">
        <f>(MAX($E$4-E6,0)-$F$4)*-1</f>
        <v>-10.75</v>
      </c>
      <c r="I6" s="10" t="s">
        <v>13</v>
      </c>
      <c r="J6" s="11" t="s">
        <v>14</v>
      </c>
      <c r="K6" s="81" t="s">
        <v>19</v>
      </c>
      <c r="L6" s="82"/>
    </row>
    <row r="7" spans="1:17" x14ac:dyDescent="0.3">
      <c r="D7" s="2">
        <v>2</v>
      </c>
      <c r="E7" s="6">
        <f>E6+0.25</f>
        <v>50.25</v>
      </c>
      <c r="F7" s="6">
        <f t="shared" ref="F7:F70" si="0">MAX($E$4-E7,0)-$F$4</f>
        <v>10.5</v>
      </c>
      <c r="G7" s="6">
        <f t="shared" ref="G7:G70" si="1">(MAX($E$4-E7,0)-$F$4)*-1</f>
        <v>-10.5</v>
      </c>
      <c r="I7" s="12" t="s">
        <v>18</v>
      </c>
      <c r="J7" s="9" t="s">
        <v>15</v>
      </c>
      <c r="K7" s="83" t="s">
        <v>20</v>
      </c>
      <c r="L7" s="84"/>
    </row>
    <row r="8" spans="1:17" ht="15" thickBot="1" x14ac:dyDescent="0.35">
      <c r="D8" s="2">
        <v>3</v>
      </c>
      <c r="E8" s="6">
        <f>E7+0.25</f>
        <v>50.5</v>
      </c>
      <c r="F8" s="6">
        <f t="shared" si="0"/>
        <v>10.25</v>
      </c>
      <c r="G8" s="6">
        <f t="shared" si="1"/>
        <v>-10.25</v>
      </c>
      <c r="I8" s="13" t="s">
        <v>17</v>
      </c>
      <c r="J8" s="14" t="s">
        <v>16</v>
      </c>
      <c r="K8" s="85" t="s">
        <v>20</v>
      </c>
      <c r="L8" s="86"/>
    </row>
    <row r="9" spans="1:17" x14ac:dyDescent="0.3">
      <c r="D9" s="2">
        <v>4</v>
      </c>
      <c r="E9" s="6">
        <f t="shared" ref="E9:E72" si="2">E8+0.25</f>
        <v>50.75</v>
      </c>
      <c r="F9" s="6">
        <f t="shared" si="0"/>
        <v>10</v>
      </c>
      <c r="G9" s="6">
        <f t="shared" si="1"/>
        <v>-10</v>
      </c>
    </row>
    <row r="10" spans="1:17" x14ac:dyDescent="0.3">
      <c r="D10" s="2">
        <v>5</v>
      </c>
      <c r="E10" s="6">
        <f t="shared" si="2"/>
        <v>51</v>
      </c>
      <c r="F10" s="6">
        <f t="shared" si="0"/>
        <v>9.75</v>
      </c>
      <c r="G10" s="6">
        <f t="shared" si="1"/>
        <v>-9.75</v>
      </c>
    </row>
    <row r="11" spans="1:17" x14ac:dyDescent="0.3">
      <c r="D11" s="2">
        <v>6</v>
      </c>
      <c r="E11" s="6">
        <f t="shared" si="2"/>
        <v>51.25</v>
      </c>
      <c r="F11" s="6">
        <f t="shared" si="0"/>
        <v>9.5</v>
      </c>
      <c r="G11" s="6">
        <f t="shared" si="1"/>
        <v>-9.5</v>
      </c>
    </row>
    <row r="12" spans="1:17" x14ac:dyDescent="0.3">
      <c r="D12" s="2">
        <v>7</v>
      </c>
      <c r="E12" s="6">
        <f t="shared" si="2"/>
        <v>51.5</v>
      </c>
      <c r="F12" s="6">
        <f t="shared" si="0"/>
        <v>9.25</v>
      </c>
      <c r="G12" s="6">
        <f t="shared" si="1"/>
        <v>-9.25</v>
      </c>
      <c r="K12" t="s">
        <v>12</v>
      </c>
    </row>
    <row r="13" spans="1:17" x14ac:dyDescent="0.3">
      <c r="D13" s="2">
        <v>8</v>
      </c>
      <c r="E13" s="6">
        <f t="shared" si="2"/>
        <v>51.75</v>
      </c>
      <c r="F13" s="6">
        <f t="shared" si="0"/>
        <v>9</v>
      </c>
      <c r="G13" s="6">
        <f t="shared" si="1"/>
        <v>-9</v>
      </c>
    </row>
    <row r="14" spans="1:17" x14ac:dyDescent="0.3">
      <c r="D14" s="2">
        <v>9</v>
      </c>
      <c r="E14" s="6">
        <f t="shared" si="2"/>
        <v>52</v>
      </c>
      <c r="F14" s="6">
        <f t="shared" si="0"/>
        <v>8.75</v>
      </c>
      <c r="G14" s="6">
        <f t="shared" si="1"/>
        <v>-8.75</v>
      </c>
    </row>
    <row r="15" spans="1:17" x14ac:dyDescent="0.3">
      <c r="D15" s="2">
        <v>10</v>
      </c>
      <c r="E15" s="6">
        <f t="shared" si="2"/>
        <v>52.25</v>
      </c>
      <c r="F15" s="6">
        <f t="shared" si="0"/>
        <v>8.5</v>
      </c>
      <c r="G15" s="6">
        <f t="shared" si="1"/>
        <v>-8.5</v>
      </c>
    </row>
    <row r="16" spans="1:17" x14ac:dyDescent="0.3">
      <c r="D16" s="2">
        <v>11</v>
      </c>
      <c r="E16" s="6">
        <f t="shared" si="2"/>
        <v>52.5</v>
      </c>
      <c r="F16" s="6">
        <f t="shared" si="0"/>
        <v>8.25</v>
      </c>
      <c r="G16" s="6">
        <f t="shared" si="1"/>
        <v>-8.25</v>
      </c>
    </row>
    <row r="17" spans="4:7" x14ac:dyDescent="0.3">
      <c r="D17" s="2">
        <v>12</v>
      </c>
      <c r="E17" s="6">
        <f t="shared" si="2"/>
        <v>52.75</v>
      </c>
      <c r="F17" s="6">
        <f t="shared" si="0"/>
        <v>8</v>
      </c>
      <c r="G17" s="6">
        <f t="shared" si="1"/>
        <v>-8</v>
      </c>
    </row>
    <row r="18" spans="4:7" x14ac:dyDescent="0.3">
      <c r="D18" s="2">
        <v>13</v>
      </c>
      <c r="E18" s="6">
        <f t="shared" si="2"/>
        <v>53</v>
      </c>
      <c r="F18" s="6">
        <f t="shared" si="0"/>
        <v>7.75</v>
      </c>
      <c r="G18" s="6">
        <f t="shared" si="1"/>
        <v>-7.75</v>
      </c>
    </row>
    <row r="19" spans="4:7" x14ac:dyDescent="0.3">
      <c r="D19" s="2">
        <v>14</v>
      </c>
      <c r="E19" s="6">
        <f t="shared" si="2"/>
        <v>53.25</v>
      </c>
      <c r="F19" s="6">
        <f t="shared" si="0"/>
        <v>7.5</v>
      </c>
      <c r="G19" s="6">
        <f t="shared" si="1"/>
        <v>-7.5</v>
      </c>
    </row>
    <row r="20" spans="4:7" x14ac:dyDescent="0.3">
      <c r="D20" s="2">
        <v>15</v>
      </c>
      <c r="E20" s="6">
        <f t="shared" si="2"/>
        <v>53.5</v>
      </c>
      <c r="F20" s="6">
        <f t="shared" si="0"/>
        <v>7.25</v>
      </c>
      <c r="G20" s="6">
        <f t="shared" si="1"/>
        <v>-7.25</v>
      </c>
    </row>
    <row r="21" spans="4:7" x14ac:dyDescent="0.3">
      <c r="D21" s="2">
        <v>16</v>
      </c>
      <c r="E21" s="6">
        <f t="shared" si="2"/>
        <v>53.75</v>
      </c>
      <c r="F21" s="6">
        <f t="shared" si="0"/>
        <v>7</v>
      </c>
      <c r="G21" s="6">
        <f t="shared" si="1"/>
        <v>-7</v>
      </c>
    </row>
    <row r="22" spans="4:7" x14ac:dyDescent="0.3">
      <c r="D22" s="2">
        <v>17</v>
      </c>
      <c r="E22" s="6">
        <f t="shared" si="2"/>
        <v>54</v>
      </c>
      <c r="F22" s="6">
        <f t="shared" si="0"/>
        <v>6.75</v>
      </c>
      <c r="G22" s="6">
        <f t="shared" si="1"/>
        <v>-6.75</v>
      </c>
    </row>
    <row r="23" spans="4:7" x14ac:dyDescent="0.3">
      <c r="D23" s="2">
        <v>18</v>
      </c>
      <c r="E23" s="6">
        <f t="shared" si="2"/>
        <v>54.25</v>
      </c>
      <c r="F23" s="6">
        <f t="shared" si="0"/>
        <v>6.5</v>
      </c>
      <c r="G23" s="6">
        <f t="shared" si="1"/>
        <v>-6.5</v>
      </c>
    </row>
    <row r="24" spans="4:7" x14ac:dyDescent="0.3">
      <c r="D24" s="2">
        <v>19</v>
      </c>
      <c r="E24" s="6">
        <f t="shared" si="2"/>
        <v>54.5</v>
      </c>
      <c r="F24" s="6">
        <f t="shared" si="0"/>
        <v>6.25</v>
      </c>
      <c r="G24" s="6">
        <f t="shared" si="1"/>
        <v>-6.25</v>
      </c>
    </row>
    <row r="25" spans="4:7" x14ac:dyDescent="0.3">
      <c r="D25" s="2">
        <v>20</v>
      </c>
      <c r="E25" s="6">
        <f t="shared" si="2"/>
        <v>54.75</v>
      </c>
      <c r="F25" s="6">
        <f t="shared" si="0"/>
        <v>6</v>
      </c>
      <c r="G25" s="6">
        <f t="shared" si="1"/>
        <v>-6</v>
      </c>
    </row>
    <row r="26" spans="4:7" x14ac:dyDescent="0.3">
      <c r="D26" s="2">
        <v>21</v>
      </c>
      <c r="E26" s="6">
        <f t="shared" si="2"/>
        <v>55</v>
      </c>
      <c r="F26" s="6">
        <f t="shared" si="0"/>
        <v>5.75</v>
      </c>
      <c r="G26" s="6">
        <f t="shared" si="1"/>
        <v>-5.75</v>
      </c>
    </row>
    <row r="27" spans="4:7" x14ac:dyDescent="0.3">
      <c r="D27" s="2">
        <v>22</v>
      </c>
      <c r="E27" s="6">
        <f t="shared" si="2"/>
        <v>55.25</v>
      </c>
      <c r="F27" s="6">
        <f t="shared" si="0"/>
        <v>5.5</v>
      </c>
      <c r="G27" s="6">
        <f t="shared" si="1"/>
        <v>-5.5</v>
      </c>
    </row>
    <row r="28" spans="4:7" x14ac:dyDescent="0.3">
      <c r="D28" s="2">
        <v>23</v>
      </c>
      <c r="E28" s="6">
        <f t="shared" si="2"/>
        <v>55.5</v>
      </c>
      <c r="F28" s="6">
        <f t="shared" si="0"/>
        <v>5.25</v>
      </c>
      <c r="G28" s="6">
        <f t="shared" si="1"/>
        <v>-5.25</v>
      </c>
    </row>
    <row r="29" spans="4:7" x14ac:dyDescent="0.3">
      <c r="D29" s="2">
        <v>24</v>
      </c>
      <c r="E29" s="6">
        <f t="shared" si="2"/>
        <v>55.75</v>
      </c>
      <c r="F29" s="6">
        <f t="shared" si="0"/>
        <v>5</v>
      </c>
      <c r="G29" s="6">
        <f t="shared" si="1"/>
        <v>-5</v>
      </c>
    </row>
    <row r="30" spans="4:7" x14ac:dyDescent="0.3">
      <c r="D30" s="2">
        <v>25</v>
      </c>
      <c r="E30" s="6">
        <f t="shared" si="2"/>
        <v>56</v>
      </c>
      <c r="F30" s="6">
        <f t="shared" si="0"/>
        <v>4.75</v>
      </c>
      <c r="G30" s="6">
        <f t="shared" si="1"/>
        <v>-4.75</v>
      </c>
    </row>
    <row r="31" spans="4:7" x14ac:dyDescent="0.3">
      <c r="D31" s="2">
        <v>26</v>
      </c>
      <c r="E31" s="6">
        <f t="shared" si="2"/>
        <v>56.25</v>
      </c>
      <c r="F31" s="6">
        <f t="shared" si="0"/>
        <v>4.5</v>
      </c>
      <c r="G31" s="6">
        <f t="shared" si="1"/>
        <v>-4.5</v>
      </c>
    </row>
    <row r="32" spans="4:7" x14ac:dyDescent="0.3">
      <c r="D32" s="2">
        <v>27</v>
      </c>
      <c r="E32" s="6">
        <f t="shared" si="2"/>
        <v>56.5</v>
      </c>
      <c r="F32" s="6">
        <f t="shared" si="0"/>
        <v>4.25</v>
      </c>
      <c r="G32" s="6">
        <f t="shared" si="1"/>
        <v>-4.25</v>
      </c>
    </row>
    <row r="33" spans="4:7" x14ac:dyDescent="0.3">
      <c r="D33" s="2">
        <v>28</v>
      </c>
      <c r="E33" s="6">
        <f t="shared" si="2"/>
        <v>56.75</v>
      </c>
      <c r="F33" s="6">
        <f t="shared" si="0"/>
        <v>4</v>
      </c>
      <c r="G33" s="6">
        <f t="shared" si="1"/>
        <v>-4</v>
      </c>
    </row>
    <row r="34" spans="4:7" x14ac:dyDescent="0.3">
      <c r="D34" s="2">
        <v>29</v>
      </c>
      <c r="E34" s="6">
        <f t="shared" si="2"/>
        <v>57</v>
      </c>
      <c r="F34" s="6">
        <f t="shared" si="0"/>
        <v>3.75</v>
      </c>
      <c r="G34" s="6">
        <f t="shared" si="1"/>
        <v>-3.75</v>
      </c>
    </row>
    <row r="35" spans="4:7" x14ac:dyDescent="0.3">
      <c r="D35" s="2">
        <v>30</v>
      </c>
      <c r="E35" s="6">
        <f t="shared" si="2"/>
        <v>57.25</v>
      </c>
      <c r="F35" s="6">
        <f t="shared" si="0"/>
        <v>3.5</v>
      </c>
      <c r="G35" s="6">
        <f t="shared" si="1"/>
        <v>-3.5</v>
      </c>
    </row>
    <row r="36" spans="4:7" x14ac:dyDescent="0.3">
      <c r="D36" s="2">
        <v>31</v>
      </c>
      <c r="E36" s="6">
        <f t="shared" si="2"/>
        <v>57.5</v>
      </c>
      <c r="F36" s="6">
        <f t="shared" si="0"/>
        <v>3.25</v>
      </c>
      <c r="G36" s="6">
        <f t="shared" si="1"/>
        <v>-3.25</v>
      </c>
    </row>
    <row r="37" spans="4:7" x14ac:dyDescent="0.3">
      <c r="D37" s="2">
        <v>32</v>
      </c>
      <c r="E37" s="6">
        <f t="shared" si="2"/>
        <v>57.75</v>
      </c>
      <c r="F37" s="6">
        <f t="shared" si="0"/>
        <v>3</v>
      </c>
      <c r="G37" s="6">
        <f t="shared" si="1"/>
        <v>-3</v>
      </c>
    </row>
    <row r="38" spans="4:7" x14ac:dyDescent="0.3">
      <c r="D38" s="2">
        <v>33</v>
      </c>
      <c r="E38" s="6">
        <f t="shared" si="2"/>
        <v>58</v>
      </c>
      <c r="F38" s="6">
        <f t="shared" si="0"/>
        <v>2.75</v>
      </c>
      <c r="G38" s="6">
        <f t="shared" si="1"/>
        <v>-2.75</v>
      </c>
    </row>
    <row r="39" spans="4:7" x14ac:dyDescent="0.3">
      <c r="D39" s="2">
        <v>34</v>
      </c>
      <c r="E39" s="6">
        <f t="shared" si="2"/>
        <v>58.25</v>
      </c>
      <c r="F39" s="6">
        <f t="shared" si="0"/>
        <v>2.5</v>
      </c>
      <c r="G39" s="6">
        <f t="shared" si="1"/>
        <v>-2.5</v>
      </c>
    </row>
    <row r="40" spans="4:7" x14ac:dyDescent="0.3">
      <c r="D40" s="2">
        <v>35</v>
      </c>
      <c r="E40" s="6">
        <f t="shared" si="2"/>
        <v>58.5</v>
      </c>
      <c r="F40" s="6">
        <f t="shared" si="0"/>
        <v>2.25</v>
      </c>
      <c r="G40" s="6">
        <f t="shared" si="1"/>
        <v>-2.25</v>
      </c>
    </row>
    <row r="41" spans="4:7" x14ac:dyDescent="0.3">
      <c r="D41" s="2">
        <v>36</v>
      </c>
      <c r="E41" s="6">
        <f t="shared" si="2"/>
        <v>58.75</v>
      </c>
      <c r="F41" s="6">
        <f t="shared" si="0"/>
        <v>2</v>
      </c>
      <c r="G41" s="6">
        <f t="shared" si="1"/>
        <v>-2</v>
      </c>
    </row>
    <row r="42" spans="4:7" x14ac:dyDescent="0.3">
      <c r="D42" s="2">
        <v>37</v>
      </c>
      <c r="E42" s="6">
        <f t="shared" si="2"/>
        <v>59</v>
      </c>
      <c r="F42" s="6">
        <f t="shared" si="0"/>
        <v>1.75</v>
      </c>
      <c r="G42" s="6">
        <f t="shared" si="1"/>
        <v>-1.75</v>
      </c>
    </row>
    <row r="43" spans="4:7" x14ac:dyDescent="0.3">
      <c r="D43" s="2">
        <v>38</v>
      </c>
      <c r="E43" s="6">
        <f t="shared" si="2"/>
        <v>59.25</v>
      </c>
      <c r="F43" s="6">
        <f t="shared" si="0"/>
        <v>1.5</v>
      </c>
      <c r="G43" s="6">
        <f t="shared" si="1"/>
        <v>-1.5</v>
      </c>
    </row>
    <row r="44" spans="4:7" x14ac:dyDescent="0.3">
      <c r="D44" s="2">
        <v>39</v>
      </c>
      <c r="E44" s="6">
        <f t="shared" si="2"/>
        <v>59.5</v>
      </c>
      <c r="F44" s="6">
        <f t="shared" si="0"/>
        <v>1.25</v>
      </c>
      <c r="G44" s="6">
        <f t="shared" si="1"/>
        <v>-1.25</v>
      </c>
    </row>
    <row r="45" spans="4:7" x14ac:dyDescent="0.3">
      <c r="D45" s="2">
        <v>40</v>
      </c>
      <c r="E45" s="6">
        <f t="shared" si="2"/>
        <v>59.75</v>
      </c>
      <c r="F45" s="6">
        <f t="shared" si="0"/>
        <v>1</v>
      </c>
      <c r="G45" s="6">
        <f t="shared" si="1"/>
        <v>-1</v>
      </c>
    </row>
    <row r="46" spans="4:7" x14ac:dyDescent="0.3">
      <c r="D46" s="2">
        <v>41</v>
      </c>
      <c r="E46" s="6">
        <f t="shared" si="2"/>
        <v>60</v>
      </c>
      <c r="F46" s="6">
        <f t="shared" si="0"/>
        <v>0.75</v>
      </c>
      <c r="G46" s="6">
        <f t="shared" si="1"/>
        <v>-0.75</v>
      </c>
    </row>
    <row r="47" spans="4:7" x14ac:dyDescent="0.3">
      <c r="D47" s="2">
        <v>42</v>
      </c>
      <c r="E47" s="6">
        <f t="shared" si="2"/>
        <v>60.25</v>
      </c>
      <c r="F47" s="6">
        <f t="shared" si="0"/>
        <v>0.5</v>
      </c>
      <c r="G47" s="6">
        <f t="shared" si="1"/>
        <v>-0.5</v>
      </c>
    </row>
    <row r="48" spans="4:7" x14ac:dyDescent="0.3">
      <c r="D48" s="2">
        <v>43</v>
      </c>
      <c r="E48" s="6">
        <f t="shared" si="2"/>
        <v>60.5</v>
      </c>
      <c r="F48" s="6">
        <f t="shared" si="0"/>
        <v>0.25</v>
      </c>
      <c r="G48" s="6">
        <f t="shared" si="1"/>
        <v>-0.25</v>
      </c>
    </row>
    <row r="49" spans="4:8" x14ac:dyDescent="0.3">
      <c r="D49" s="4">
        <v>44</v>
      </c>
      <c r="E49" s="15">
        <f t="shared" si="2"/>
        <v>60.75</v>
      </c>
      <c r="F49" s="15">
        <f t="shared" si="0"/>
        <v>0</v>
      </c>
      <c r="G49" s="15">
        <f t="shared" si="1"/>
        <v>0</v>
      </c>
      <c r="H49" s="4" t="s">
        <v>23</v>
      </c>
    </row>
    <row r="50" spans="4:8" x14ac:dyDescent="0.3">
      <c r="D50" s="2">
        <v>45</v>
      </c>
      <c r="E50" s="6">
        <f t="shared" si="2"/>
        <v>61</v>
      </c>
      <c r="F50" s="6">
        <f t="shared" si="0"/>
        <v>-0.25</v>
      </c>
      <c r="G50" s="6">
        <f t="shared" si="1"/>
        <v>0.25</v>
      </c>
    </row>
    <row r="51" spans="4:8" x14ac:dyDescent="0.3">
      <c r="D51" s="2">
        <v>46</v>
      </c>
      <c r="E51" s="6">
        <f t="shared" si="2"/>
        <v>61.25</v>
      </c>
      <c r="F51" s="6">
        <f t="shared" si="0"/>
        <v>-0.5</v>
      </c>
      <c r="G51" s="6">
        <f t="shared" si="1"/>
        <v>0.5</v>
      </c>
    </row>
    <row r="52" spans="4:8" x14ac:dyDescent="0.3">
      <c r="D52" s="2">
        <v>47</v>
      </c>
      <c r="E52" s="6">
        <f t="shared" si="2"/>
        <v>61.5</v>
      </c>
      <c r="F52" s="6">
        <f t="shared" si="0"/>
        <v>-0.75</v>
      </c>
      <c r="G52" s="6">
        <f t="shared" si="1"/>
        <v>0.75</v>
      </c>
    </row>
    <row r="53" spans="4:8" x14ac:dyDescent="0.3">
      <c r="D53" s="2">
        <v>48</v>
      </c>
      <c r="E53" s="6">
        <f t="shared" si="2"/>
        <v>61.75</v>
      </c>
      <c r="F53" s="6">
        <f t="shared" si="0"/>
        <v>-1</v>
      </c>
      <c r="G53" s="6">
        <f t="shared" si="1"/>
        <v>1</v>
      </c>
    </row>
    <row r="54" spans="4:8" x14ac:dyDescent="0.3">
      <c r="D54" s="2">
        <v>49</v>
      </c>
      <c r="E54" s="6">
        <f t="shared" si="2"/>
        <v>62</v>
      </c>
      <c r="F54" s="6">
        <f t="shared" si="0"/>
        <v>-1.25</v>
      </c>
      <c r="G54" s="6">
        <f t="shared" si="1"/>
        <v>1.25</v>
      </c>
    </row>
    <row r="55" spans="4:8" x14ac:dyDescent="0.3">
      <c r="D55" s="2">
        <v>50</v>
      </c>
      <c r="E55" s="6">
        <f t="shared" si="2"/>
        <v>62.25</v>
      </c>
      <c r="F55" s="6">
        <f t="shared" si="0"/>
        <v>-1.25</v>
      </c>
      <c r="G55" s="6">
        <f t="shared" si="1"/>
        <v>1.25</v>
      </c>
    </row>
    <row r="56" spans="4:8" x14ac:dyDescent="0.3">
      <c r="D56" s="2">
        <v>51</v>
      </c>
      <c r="E56" s="6">
        <f t="shared" si="2"/>
        <v>62.5</v>
      </c>
      <c r="F56" s="6">
        <f t="shared" si="0"/>
        <v>-1.25</v>
      </c>
      <c r="G56" s="6">
        <f t="shared" si="1"/>
        <v>1.25</v>
      </c>
    </row>
    <row r="57" spans="4:8" x14ac:dyDescent="0.3">
      <c r="D57" s="2">
        <v>52</v>
      </c>
      <c r="E57" s="6">
        <f t="shared" si="2"/>
        <v>62.75</v>
      </c>
      <c r="F57" s="6">
        <f t="shared" si="0"/>
        <v>-1.25</v>
      </c>
      <c r="G57" s="6">
        <f t="shared" si="1"/>
        <v>1.25</v>
      </c>
    </row>
    <row r="58" spans="4:8" x14ac:dyDescent="0.3">
      <c r="D58" s="2">
        <v>53</v>
      </c>
      <c r="E58" s="6">
        <f t="shared" si="2"/>
        <v>63</v>
      </c>
      <c r="F58" s="6">
        <f t="shared" si="0"/>
        <v>-1.25</v>
      </c>
      <c r="G58" s="6">
        <f t="shared" si="1"/>
        <v>1.25</v>
      </c>
    </row>
    <row r="59" spans="4:8" x14ac:dyDescent="0.3">
      <c r="D59" s="2">
        <v>54</v>
      </c>
      <c r="E59" s="6">
        <f t="shared" si="2"/>
        <v>63.25</v>
      </c>
      <c r="F59" s="6">
        <f t="shared" si="0"/>
        <v>-1.25</v>
      </c>
      <c r="G59" s="6">
        <f t="shared" si="1"/>
        <v>1.25</v>
      </c>
    </row>
    <row r="60" spans="4:8" x14ac:dyDescent="0.3">
      <c r="D60" s="2">
        <v>55</v>
      </c>
      <c r="E60" s="6">
        <f t="shared" si="2"/>
        <v>63.5</v>
      </c>
      <c r="F60" s="6">
        <f t="shared" si="0"/>
        <v>-1.25</v>
      </c>
      <c r="G60" s="6">
        <f t="shared" si="1"/>
        <v>1.25</v>
      </c>
    </row>
    <row r="61" spans="4:8" x14ac:dyDescent="0.3">
      <c r="D61" s="2">
        <v>56</v>
      </c>
      <c r="E61" s="6">
        <f t="shared" si="2"/>
        <v>63.75</v>
      </c>
      <c r="F61" s="6">
        <f t="shared" si="0"/>
        <v>-1.25</v>
      </c>
      <c r="G61" s="6">
        <f t="shared" si="1"/>
        <v>1.25</v>
      </c>
    </row>
    <row r="62" spans="4:8" x14ac:dyDescent="0.3">
      <c r="D62" s="2">
        <v>57</v>
      </c>
      <c r="E62" s="6">
        <f t="shared" si="2"/>
        <v>64</v>
      </c>
      <c r="F62" s="6">
        <f t="shared" si="0"/>
        <v>-1.25</v>
      </c>
      <c r="G62" s="6">
        <f t="shared" si="1"/>
        <v>1.25</v>
      </c>
    </row>
    <row r="63" spans="4:8" x14ac:dyDescent="0.3">
      <c r="D63" s="2">
        <v>58</v>
      </c>
      <c r="E63" s="6">
        <f t="shared" si="2"/>
        <v>64.25</v>
      </c>
      <c r="F63" s="6">
        <f t="shared" si="0"/>
        <v>-1.25</v>
      </c>
      <c r="G63" s="6">
        <f t="shared" si="1"/>
        <v>1.25</v>
      </c>
    </row>
    <row r="64" spans="4:8" x14ac:dyDescent="0.3">
      <c r="D64" s="2">
        <v>59</v>
      </c>
      <c r="E64" s="6">
        <f t="shared" si="2"/>
        <v>64.5</v>
      </c>
      <c r="F64" s="6">
        <f t="shared" si="0"/>
        <v>-1.25</v>
      </c>
      <c r="G64" s="6">
        <f t="shared" si="1"/>
        <v>1.25</v>
      </c>
    </row>
    <row r="65" spans="4:7" x14ac:dyDescent="0.3">
      <c r="D65" s="2">
        <v>60</v>
      </c>
      <c r="E65" s="6">
        <f t="shared" si="2"/>
        <v>64.75</v>
      </c>
      <c r="F65" s="6">
        <f t="shared" si="0"/>
        <v>-1.25</v>
      </c>
      <c r="G65" s="6">
        <f t="shared" si="1"/>
        <v>1.25</v>
      </c>
    </row>
    <row r="66" spans="4:7" x14ac:dyDescent="0.3">
      <c r="D66" s="2">
        <v>61</v>
      </c>
      <c r="E66" s="6">
        <f t="shared" si="2"/>
        <v>65</v>
      </c>
      <c r="F66" s="6">
        <f t="shared" si="0"/>
        <v>-1.25</v>
      </c>
      <c r="G66" s="6">
        <f t="shared" si="1"/>
        <v>1.25</v>
      </c>
    </row>
    <row r="67" spans="4:7" x14ac:dyDescent="0.3">
      <c r="D67" s="2">
        <v>62</v>
      </c>
      <c r="E67" s="6">
        <f t="shared" si="2"/>
        <v>65.25</v>
      </c>
      <c r="F67" s="6">
        <f t="shared" si="0"/>
        <v>-1.25</v>
      </c>
      <c r="G67" s="6">
        <f t="shared" si="1"/>
        <v>1.25</v>
      </c>
    </row>
    <row r="68" spans="4:7" x14ac:dyDescent="0.3">
      <c r="D68" s="2">
        <v>63</v>
      </c>
      <c r="E68" s="6">
        <f t="shared" si="2"/>
        <v>65.5</v>
      </c>
      <c r="F68" s="6">
        <f t="shared" si="0"/>
        <v>-1.25</v>
      </c>
      <c r="G68" s="6">
        <f t="shared" si="1"/>
        <v>1.25</v>
      </c>
    </row>
    <row r="69" spans="4:7" x14ac:dyDescent="0.3">
      <c r="D69" s="2">
        <v>64</v>
      </c>
      <c r="E69" s="6">
        <f t="shared" si="2"/>
        <v>65.75</v>
      </c>
      <c r="F69" s="6">
        <f t="shared" si="0"/>
        <v>-1.25</v>
      </c>
      <c r="G69" s="6">
        <f t="shared" si="1"/>
        <v>1.25</v>
      </c>
    </row>
    <row r="70" spans="4:7" x14ac:dyDescent="0.3">
      <c r="D70" s="2">
        <v>65</v>
      </c>
      <c r="E70" s="6">
        <f t="shared" si="2"/>
        <v>66</v>
      </c>
      <c r="F70" s="6">
        <f t="shared" si="0"/>
        <v>-1.25</v>
      </c>
      <c r="G70" s="6">
        <f t="shared" si="1"/>
        <v>1.25</v>
      </c>
    </row>
    <row r="71" spans="4:7" x14ac:dyDescent="0.3">
      <c r="D71" s="2">
        <v>66</v>
      </c>
      <c r="E71" s="6">
        <f t="shared" si="2"/>
        <v>66.25</v>
      </c>
      <c r="F71" s="6">
        <f t="shared" ref="F71:F126" si="3">MAX($E$4-E71,0)-$F$4</f>
        <v>-1.25</v>
      </c>
      <c r="G71" s="6">
        <f t="shared" ref="G71:G126" si="4">(MAX($E$4-E71,0)-$F$4)*-1</f>
        <v>1.25</v>
      </c>
    </row>
    <row r="72" spans="4:7" x14ac:dyDescent="0.3">
      <c r="D72" s="2">
        <v>67</v>
      </c>
      <c r="E72" s="6">
        <f t="shared" si="2"/>
        <v>66.5</v>
      </c>
      <c r="F72" s="6">
        <f t="shared" si="3"/>
        <v>-1.25</v>
      </c>
      <c r="G72" s="6">
        <f t="shared" si="4"/>
        <v>1.25</v>
      </c>
    </row>
    <row r="73" spans="4:7" x14ac:dyDescent="0.3">
      <c r="D73" s="2">
        <v>68</v>
      </c>
      <c r="E73" s="6">
        <f t="shared" ref="E73:E126" si="5">E72+0.25</f>
        <v>66.75</v>
      </c>
      <c r="F73" s="6">
        <f t="shared" si="3"/>
        <v>-1.25</v>
      </c>
      <c r="G73" s="6">
        <f t="shared" si="4"/>
        <v>1.25</v>
      </c>
    </row>
    <row r="74" spans="4:7" x14ac:dyDescent="0.3">
      <c r="D74" s="2">
        <v>69</v>
      </c>
      <c r="E74" s="6">
        <f t="shared" si="5"/>
        <v>67</v>
      </c>
      <c r="F74" s="6">
        <f t="shared" si="3"/>
        <v>-1.25</v>
      </c>
      <c r="G74" s="6">
        <f t="shared" si="4"/>
        <v>1.25</v>
      </c>
    </row>
    <row r="75" spans="4:7" x14ac:dyDescent="0.3">
      <c r="D75" s="2">
        <v>70</v>
      </c>
      <c r="E75" s="6">
        <f t="shared" si="5"/>
        <v>67.25</v>
      </c>
      <c r="F75" s="6">
        <f t="shared" si="3"/>
        <v>-1.25</v>
      </c>
      <c r="G75" s="6">
        <f t="shared" si="4"/>
        <v>1.25</v>
      </c>
    </row>
    <row r="76" spans="4:7" x14ac:dyDescent="0.3">
      <c r="D76" s="2">
        <v>71</v>
      </c>
      <c r="E76" s="6">
        <f t="shared" si="5"/>
        <v>67.5</v>
      </c>
      <c r="F76" s="6">
        <f t="shared" si="3"/>
        <v>-1.25</v>
      </c>
      <c r="G76" s="6">
        <f t="shared" si="4"/>
        <v>1.25</v>
      </c>
    </row>
    <row r="77" spans="4:7" x14ac:dyDescent="0.3">
      <c r="D77" s="2">
        <v>72</v>
      </c>
      <c r="E77" s="6">
        <f t="shared" si="5"/>
        <v>67.75</v>
      </c>
      <c r="F77" s="6">
        <f t="shared" si="3"/>
        <v>-1.25</v>
      </c>
      <c r="G77" s="6">
        <f t="shared" si="4"/>
        <v>1.25</v>
      </c>
    </row>
    <row r="78" spans="4:7" x14ac:dyDescent="0.3">
      <c r="D78" s="2">
        <v>73</v>
      </c>
      <c r="E78" s="6">
        <f t="shared" si="5"/>
        <v>68</v>
      </c>
      <c r="F78" s="6">
        <f t="shared" si="3"/>
        <v>-1.25</v>
      </c>
      <c r="G78" s="6">
        <f t="shared" si="4"/>
        <v>1.25</v>
      </c>
    </row>
    <row r="79" spans="4:7" x14ac:dyDescent="0.3">
      <c r="D79" s="2">
        <v>74</v>
      </c>
      <c r="E79" s="6">
        <f t="shared" si="5"/>
        <v>68.25</v>
      </c>
      <c r="F79" s="6">
        <f t="shared" si="3"/>
        <v>-1.25</v>
      </c>
      <c r="G79" s="6">
        <f t="shared" si="4"/>
        <v>1.25</v>
      </c>
    </row>
    <row r="80" spans="4:7" x14ac:dyDescent="0.3">
      <c r="D80" s="2">
        <v>75</v>
      </c>
      <c r="E80" s="6">
        <f t="shared" si="5"/>
        <v>68.5</v>
      </c>
      <c r="F80" s="6">
        <f t="shared" si="3"/>
        <v>-1.25</v>
      </c>
      <c r="G80" s="6">
        <f t="shared" si="4"/>
        <v>1.25</v>
      </c>
    </row>
    <row r="81" spans="4:7" x14ac:dyDescent="0.3">
      <c r="D81" s="2">
        <v>76</v>
      </c>
      <c r="E81" s="6">
        <f t="shared" si="5"/>
        <v>68.75</v>
      </c>
      <c r="F81" s="6">
        <f t="shared" si="3"/>
        <v>-1.25</v>
      </c>
      <c r="G81" s="6">
        <f t="shared" si="4"/>
        <v>1.25</v>
      </c>
    </row>
    <row r="82" spans="4:7" x14ac:dyDescent="0.3">
      <c r="D82" s="2">
        <v>77</v>
      </c>
      <c r="E82" s="6">
        <f t="shared" si="5"/>
        <v>69</v>
      </c>
      <c r="F82" s="6">
        <f t="shared" si="3"/>
        <v>-1.25</v>
      </c>
      <c r="G82" s="6">
        <f t="shared" si="4"/>
        <v>1.25</v>
      </c>
    </row>
    <row r="83" spans="4:7" x14ac:dyDescent="0.3">
      <c r="D83" s="2">
        <v>78</v>
      </c>
      <c r="E83" s="6">
        <f t="shared" si="5"/>
        <v>69.25</v>
      </c>
      <c r="F83" s="6">
        <f t="shared" si="3"/>
        <v>-1.25</v>
      </c>
      <c r="G83" s="6">
        <f t="shared" si="4"/>
        <v>1.25</v>
      </c>
    </row>
    <row r="84" spans="4:7" x14ac:dyDescent="0.3">
      <c r="D84" s="2">
        <v>79</v>
      </c>
      <c r="E84" s="6">
        <f t="shared" si="5"/>
        <v>69.5</v>
      </c>
      <c r="F84" s="6">
        <f t="shared" si="3"/>
        <v>-1.25</v>
      </c>
      <c r="G84" s="6">
        <f t="shared" si="4"/>
        <v>1.25</v>
      </c>
    </row>
    <row r="85" spans="4:7" x14ac:dyDescent="0.3">
      <c r="D85" s="2">
        <v>80</v>
      </c>
      <c r="E85" s="6">
        <f t="shared" si="5"/>
        <v>69.75</v>
      </c>
      <c r="F85" s="6">
        <f t="shared" si="3"/>
        <v>-1.25</v>
      </c>
      <c r="G85" s="6">
        <f t="shared" si="4"/>
        <v>1.25</v>
      </c>
    </row>
    <row r="86" spans="4:7" x14ac:dyDescent="0.3">
      <c r="D86" s="2">
        <v>81</v>
      </c>
      <c r="E86" s="6">
        <f t="shared" si="5"/>
        <v>70</v>
      </c>
      <c r="F86" s="6">
        <f t="shared" si="3"/>
        <v>-1.25</v>
      </c>
      <c r="G86" s="6">
        <f t="shared" si="4"/>
        <v>1.25</v>
      </c>
    </row>
    <row r="87" spans="4:7" x14ac:dyDescent="0.3">
      <c r="D87" s="2">
        <v>82</v>
      </c>
      <c r="E87" s="6">
        <f t="shared" si="5"/>
        <v>70.25</v>
      </c>
      <c r="F87" s="6">
        <f t="shared" si="3"/>
        <v>-1.25</v>
      </c>
      <c r="G87" s="6">
        <f t="shared" si="4"/>
        <v>1.25</v>
      </c>
    </row>
    <row r="88" spans="4:7" x14ac:dyDescent="0.3">
      <c r="D88" s="2">
        <v>83</v>
      </c>
      <c r="E88" s="6">
        <f t="shared" si="5"/>
        <v>70.5</v>
      </c>
      <c r="F88" s="6">
        <f t="shared" si="3"/>
        <v>-1.25</v>
      </c>
      <c r="G88" s="6">
        <f t="shared" si="4"/>
        <v>1.25</v>
      </c>
    </row>
    <row r="89" spans="4:7" x14ac:dyDescent="0.3">
      <c r="D89" s="2">
        <v>84</v>
      </c>
      <c r="E89" s="6">
        <f t="shared" si="5"/>
        <v>70.75</v>
      </c>
      <c r="F89" s="6">
        <f t="shared" si="3"/>
        <v>-1.25</v>
      </c>
      <c r="G89" s="6">
        <f t="shared" si="4"/>
        <v>1.25</v>
      </c>
    </row>
    <row r="90" spans="4:7" x14ac:dyDescent="0.3">
      <c r="D90" s="2">
        <v>85</v>
      </c>
      <c r="E90" s="6">
        <f t="shared" si="5"/>
        <v>71</v>
      </c>
      <c r="F90" s="6">
        <f t="shared" si="3"/>
        <v>-1.25</v>
      </c>
      <c r="G90" s="6">
        <f t="shared" si="4"/>
        <v>1.25</v>
      </c>
    </row>
    <row r="91" spans="4:7" x14ac:dyDescent="0.3">
      <c r="D91" s="2">
        <v>86</v>
      </c>
      <c r="E91" s="6">
        <f t="shared" si="5"/>
        <v>71.25</v>
      </c>
      <c r="F91" s="6">
        <f t="shared" si="3"/>
        <v>-1.25</v>
      </c>
      <c r="G91" s="6">
        <f t="shared" si="4"/>
        <v>1.25</v>
      </c>
    </row>
    <row r="92" spans="4:7" x14ac:dyDescent="0.3">
      <c r="D92" s="2">
        <v>87</v>
      </c>
      <c r="E92" s="6">
        <f t="shared" si="5"/>
        <v>71.5</v>
      </c>
      <c r="F92" s="6">
        <f t="shared" si="3"/>
        <v>-1.25</v>
      </c>
      <c r="G92" s="6">
        <f t="shared" si="4"/>
        <v>1.25</v>
      </c>
    </row>
    <row r="93" spans="4:7" x14ac:dyDescent="0.3">
      <c r="D93" s="2">
        <v>88</v>
      </c>
      <c r="E93" s="6">
        <f t="shared" si="5"/>
        <v>71.75</v>
      </c>
      <c r="F93" s="6">
        <f t="shared" si="3"/>
        <v>-1.25</v>
      </c>
      <c r="G93" s="6">
        <f t="shared" si="4"/>
        <v>1.25</v>
      </c>
    </row>
    <row r="94" spans="4:7" x14ac:dyDescent="0.3">
      <c r="D94" s="2">
        <v>89</v>
      </c>
      <c r="E94" s="6">
        <f t="shared" si="5"/>
        <v>72</v>
      </c>
      <c r="F94" s="6">
        <f t="shared" si="3"/>
        <v>-1.25</v>
      </c>
      <c r="G94" s="6">
        <f t="shared" si="4"/>
        <v>1.25</v>
      </c>
    </row>
    <row r="95" spans="4:7" x14ac:dyDescent="0.3">
      <c r="D95" s="2">
        <v>90</v>
      </c>
      <c r="E95" s="6">
        <f t="shared" si="5"/>
        <v>72.25</v>
      </c>
      <c r="F95" s="6">
        <f t="shared" si="3"/>
        <v>-1.25</v>
      </c>
      <c r="G95" s="6">
        <f t="shared" si="4"/>
        <v>1.25</v>
      </c>
    </row>
    <row r="96" spans="4:7" x14ac:dyDescent="0.3">
      <c r="D96" s="2">
        <v>91</v>
      </c>
      <c r="E96" s="6">
        <f t="shared" si="5"/>
        <v>72.5</v>
      </c>
      <c r="F96" s="6">
        <f t="shared" si="3"/>
        <v>-1.25</v>
      </c>
      <c r="G96" s="6">
        <f t="shared" si="4"/>
        <v>1.25</v>
      </c>
    </row>
    <row r="97" spans="4:7" x14ac:dyDescent="0.3">
      <c r="D97" s="2">
        <v>92</v>
      </c>
      <c r="E97" s="6">
        <f t="shared" si="5"/>
        <v>72.75</v>
      </c>
      <c r="F97" s="6">
        <f t="shared" si="3"/>
        <v>-1.25</v>
      </c>
      <c r="G97" s="6">
        <f t="shared" si="4"/>
        <v>1.25</v>
      </c>
    </row>
    <row r="98" spans="4:7" x14ac:dyDescent="0.3">
      <c r="D98" s="2">
        <v>93</v>
      </c>
      <c r="E98" s="6">
        <f t="shared" si="5"/>
        <v>73</v>
      </c>
      <c r="F98" s="6">
        <f t="shared" si="3"/>
        <v>-1.25</v>
      </c>
      <c r="G98" s="6">
        <f t="shared" si="4"/>
        <v>1.25</v>
      </c>
    </row>
    <row r="99" spans="4:7" x14ac:dyDescent="0.3">
      <c r="D99" s="2">
        <v>94</v>
      </c>
      <c r="E99" s="6">
        <f t="shared" si="5"/>
        <v>73.25</v>
      </c>
      <c r="F99" s="6">
        <f t="shared" si="3"/>
        <v>-1.25</v>
      </c>
      <c r="G99" s="6">
        <f t="shared" si="4"/>
        <v>1.25</v>
      </c>
    </row>
    <row r="100" spans="4:7" x14ac:dyDescent="0.3">
      <c r="D100" s="2">
        <v>95</v>
      </c>
      <c r="E100" s="6">
        <f t="shared" si="5"/>
        <v>73.5</v>
      </c>
      <c r="F100" s="6">
        <f t="shared" si="3"/>
        <v>-1.25</v>
      </c>
      <c r="G100" s="6">
        <f t="shared" si="4"/>
        <v>1.25</v>
      </c>
    </row>
    <row r="101" spans="4:7" x14ac:dyDescent="0.3">
      <c r="D101" s="2">
        <v>96</v>
      </c>
      <c r="E101" s="6">
        <f t="shared" si="5"/>
        <v>73.75</v>
      </c>
      <c r="F101" s="6">
        <f t="shared" si="3"/>
        <v>-1.25</v>
      </c>
      <c r="G101" s="6">
        <f t="shared" si="4"/>
        <v>1.25</v>
      </c>
    </row>
    <row r="102" spans="4:7" x14ac:dyDescent="0.3">
      <c r="D102" s="2">
        <v>97</v>
      </c>
      <c r="E102" s="6">
        <f t="shared" si="5"/>
        <v>74</v>
      </c>
      <c r="F102" s="6">
        <f t="shared" si="3"/>
        <v>-1.25</v>
      </c>
      <c r="G102" s="6">
        <f t="shared" si="4"/>
        <v>1.25</v>
      </c>
    </row>
    <row r="103" spans="4:7" x14ac:dyDescent="0.3">
      <c r="D103" s="2">
        <v>98</v>
      </c>
      <c r="E103" s="6">
        <f t="shared" si="5"/>
        <v>74.25</v>
      </c>
      <c r="F103" s="6">
        <f t="shared" si="3"/>
        <v>-1.25</v>
      </c>
      <c r="G103" s="6">
        <f t="shared" si="4"/>
        <v>1.25</v>
      </c>
    </row>
    <row r="104" spans="4:7" x14ac:dyDescent="0.3">
      <c r="D104" s="2">
        <v>99</v>
      </c>
      <c r="E104" s="6">
        <f t="shared" si="5"/>
        <v>74.5</v>
      </c>
      <c r="F104" s="6">
        <f t="shared" si="3"/>
        <v>-1.25</v>
      </c>
      <c r="G104" s="6">
        <f t="shared" si="4"/>
        <v>1.25</v>
      </c>
    </row>
    <row r="105" spans="4:7" x14ac:dyDescent="0.3">
      <c r="D105" s="2">
        <v>100</v>
      </c>
      <c r="E105" s="6">
        <f t="shared" si="5"/>
        <v>74.75</v>
      </c>
      <c r="F105" s="6">
        <f t="shared" si="3"/>
        <v>-1.25</v>
      </c>
      <c r="G105" s="6">
        <f t="shared" si="4"/>
        <v>1.25</v>
      </c>
    </row>
    <row r="106" spans="4:7" x14ac:dyDescent="0.3">
      <c r="D106" s="2">
        <v>101</v>
      </c>
      <c r="E106" s="6">
        <f t="shared" si="5"/>
        <v>75</v>
      </c>
      <c r="F106" s="6">
        <f t="shared" si="3"/>
        <v>-1.25</v>
      </c>
      <c r="G106" s="6">
        <f t="shared" si="4"/>
        <v>1.25</v>
      </c>
    </row>
    <row r="107" spans="4:7" x14ac:dyDescent="0.3">
      <c r="D107" s="2">
        <v>102</v>
      </c>
      <c r="E107" s="6">
        <f t="shared" si="5"/>
        <v>75.25</v>
      </c>
      <c r="F107" s="6">
        <f t="shared" si="3"/>
        <v>-1.25</v>
      </c>
      <c r="G107" s="6">
        <f t="shared" si="4"/>
        <v>1.25</v>
      </c>
    </row>
    <row r="108" spans="4:7" x14ac:dyDescent="0.3">
      <c r="D108" s="2">
        <v>103</v>
      </c>
      <c r="E108" s="6">
        <f t="shared" si="5"/>
        <v>75.5</v>
      </c>
      <c r="F108" s="6">
        <f t="shared" si="3"/>
        <v>-1.25</v>
      </c>
      <c r="G108" s="6">
        <f t="shared" si="4"/>
        <v>1.25</v>
      </c>
    </row>
    <row r="109" spans="4:7" x14ac:dyDescent="0.3">
      <c r="D109" s="2">
        <v>104</v>
      </c>
      <c r="E109" s="6">
        <f t="shared" si="5"/>
        <v>75.75</v>
      </c>
      <c r="F109" s="6">
        <f t="shared" si="3"/>
        <v>-1.25</v>
      </c>
      <c r="G109" s="6">
        <f t="shared" si="4"/>
        <v>1.25</v>
      </c>
    </row>
    <row r="110" spans="4:7" x14ac:dyDescent="0.3">
      <c r="D110" s="2">
        <v>105</v>
      </c>
      <c r="E110" s="6">
        <f t="shared" si="5"/>
        <v>76</v>
      </c>
      <c r="F110" s="6">
        <f t="shared" si="3"/>
        <v>-1.25</v>
      </c>
      <c r="G110" s="6">
        <f t="shared" si="4"/>
        <v>1.25</v>
      </c>
    </row>
    <row r="111" spans="4:7" x14ac:dyDescent="0.3">
      <c r="D111" s="2">
        <v>106</v>
      </c>
      <c r="E111" s="6">
        <f t="shared" si="5"/>
        <v>76.25</v>
      </c>
      <c r="F111" s="6">
        <f t="shared" si="3"/>
        <v>-1.25</v>
      </c>
      <c r="G111" s="6">
        <f t="shared" si="4"/>
        <v>1.25</v>
      </c>
    </row>
    <row r="112" spans="4:7" x14ac:dyDescent="0.3">
      <c r="D112" s="2">
        <v>107</v>
      </c>
      <c r="E112" s="6">
        <f t="shared" si="5"/>
        <v>76.5</v>
      </c>
      <c r="F112" s="6">
        <f t="shared" si="3"/>
        <v>-1.25</v>
      </c>
      <c r="G112" s="6">
        <f t="shared" si="4"/>
        <v>1.25</v>
      </c>
    </row>
    <row r="113" spans="4:7" x14ac:dyDescent="0.3">
      <c r="D113" s="2">
        <v>108</v>
      </c>
      <c r="E113" s="6">
        <f t="shared" si="5"/>
        <v>76.75</v>
      </c>
      <c r="F113" s="6">
        <f t="shared" si="3"/>
        <v>-1.25</v>
      </c>
      <c r="G113" s="6">
        <f t="shared" si="4"/>
        <v>1.25</v>
      </c>
    </row>
    <row r="114" spans="4:7" x14ac:dyDescent="0.3">
      <c r="D114" s="2">
        <v>109</v>
      </c>
      <c r="E114" s="6">
        <f t="shared" si="5"/>
        <v>77</v>
      </c>
      <c r="F114" s="6">
        <f t="shared" si="3"/>
        <v>-1.25</v>
      </c>
      <c r="G114" s="6">
        <f t="shared" si="4"/>
        <v>1.25</v>
      </c>
    </row>
    <row r="115" spans="4:7" x14ac:dyDescent="0.3">
      <c r="D115" s="2">
        <v>110</v>
      </c>
      <c r="E115" s="6">
        <f t="shared" si="5"/>
        <v>77.25</v>
      </c>
      <c r="F115" s="6">
        <f t="shared" si="3"/>
        <v>-1.25</v>
      </c>
      <c r="G115" s="6">
        <f t="shared" si="4"/>
        <v>1.25</v>
      </c>
    </row>
    <row r="116" spans="4:7" x14ac:dyDescent="0.3">
      <c r="D116" s="2">
        <v>111</v>
      </c>
      <c r="E116" s="6">
        <f t="shared" si="5"/>
        <v>77.5</v>
      </c>
      <c r="F116" s="6">
        <f t="shared" si="3"/>
        <v>-1.25</v>
      </c>
      <c r="G116" s="6">
        <f t="shared" si="4"/>
        <v>1.25</v>
      </c>
    </row>
    <row r="117" spans="4:7" x14ac:dyDescent="0.3">
      <c r="D117" s="2">
        <v>112</v>
      </c>
      <c r="E117" s="6">
        <f t="shared" si="5"/>
        <v>77.75</v>
      </c>
      <c r="F117" s="6">
        <f t="shared" si="3"/>
        <v>-1.25</v>
      </c>
      <c r="G117" s="6">
        <f t="shared" si="4"/>
        <v>1.25</v>
      </c>
    </row>
    <row r="118" spans="4:7" x14ac:dyDescent="0.3">
      <c r="D118" s="2">
        <v>113</v>
      </c>
      <c r="E118" s="6">
        <f t="shared" si="5"/>
        <v>78</v>
      </c>
      <c r="F118" s="6">
        <f t="shared" si="3"/>
        <v>-1.25</v>
      </c>
      <c r="G118" s="6">
        <f t="shared" si="4"/>
        <v>1.25</v>
      </c>
    </row>
    <row r="119" spans="4:7" x14ac:dyDescent="0.3">
      <c r="D119" s="2">
        <v>114</v>
      </c>
      <c r="E119" s="6">
        <f t="shared" si="5"/>
        <v>78.25</v>
      </c>
      <c r="F119" s="6">
        <f t="shared" si="3"/>
        <v>-1.25</v>
      </c>
      <c r="G119" s="6">
        <f t="shared" si="4"/>
        <v>1.25</v>
      </c>
    </row>
    <row r="120" spans="4:7" x14ac:dyDescent="0.3">
      <c r="D120" s="2">
        <v>115</v>
      </c>
      <c r="E120" s="6">
        <f t="shared" si="5"/>
        <v>78.5</v>
      </c>
      <c r="F120" s="6">
        <f t="shared" si="3"/>
        <v>-1.25</v>
      </c>
      <c r="G120" s="6">
        <f t="shared" si="4"/>
        <v>1.25</v>
      </c>
    </row>
    <row r="121" spans="4:7" x14ac:dyDescent="0.3">
      <c r="D121" s="2">
        <v>116</v>
      </c>
      <c r="E121" s="6">
        <f t="shared" si="5"/>
        <v>78.75</v>
      </c>
      <c r="F121" s="6">
        <f t="shared" si="3"/>
        <v>-1.25</v>
      </c>
      <c r="G121" s="6">
        <f t="shared" si="4"/>
        <v>1.25</v>
      </c>
    </row>
    <row r="122" spans="4:7" x14ac:dyDescent="0.3">
      <c r="D122" s="2">
        <v>117</v>
      </c>
      <c r="E122" s="6">
        <f t="shared" si="5"/>
        <v>79</v>
      </c>
      <c r="F122" s="6">
        <f t="shared" si="3"/>
        <v>-1.25</v>
      </c>
      <c r="G122" s="6">
        <f t="shared" si="4"/>
        <v>1.25</v>
      </c>
    </row>
    <row r="123" spans="4:7" x14ac:dyDescent="0.3">
      <c r="D123" s="2">
        <v>118</v>
      </c>
      <c r="E123" s="6">
        <f t="shared" si="5"/>
        <v>79.25</v>
      </c>
      <c r="F123" s="6">
        <f t="shared" si="3"/>
        <v>-1.25</v>
      </c>
      <c r="G123" s="6">
        <f t="shared" si="4"/>
        <v>1.25</v>
      </c>
    </row>
    <row r="124" spans="4:7" x14ac:dyDescent="0.3">
      <c r="D124" s="2">
        <v>119</v>
      </c>
      <c r="E124" s="6">
        <f t="shared" si="5"/>
        <v>79.5</v>
      </c>
      <c r="F124" s="6">
        <f t="shared" si="3"/>
        <v>-1.25</v>
      </c>
      <c r="G124" s="6">
        <f t="shared" si="4"/>
        <v>1.25</v>
      </c>
    </row>
    <row r="125" spans="4:7" x14ac:dyDescent="0.3">
      <c r="D125" s="2">
        <v>120</v>
      </c>
      <c r="E125" s="6">
        <f t="shared" si="5"/>
        <v>79.75</v>
      </c>
      <c r="F125" s="6">
        <f t="shared" si="3"/>
        <v>-1.25</v>
      </c>
      <c r="G125" s="6">
        <f t="shared" si="4"/>
        <v>1.25</v>
      </c>
    </row>
    <row r="126" spans="4:7" x14ac:dyDescent="0.3">
      <c r="D126" s="2">
        <v>121</v>
      </c>
      <c r="E126" s="6">
        <f t="shared" si="5"/>
        <v>80</v>
      </c>
      <c r="F126" s="6">
        <f t="shared" si="3"/>
        <v>-1.25</v>
      </c>
      <c r="G126" s="6">
        <f t="shared" si="4"/>
        <v>1.25</v>
      </c>
    </row>
  </sheetData>
  <sheetProtection algorithmName="SHA-512" hashValue="5QspAq6rvGhZk6csgWIpPljYEq4r3hGIxKW7MjlOdEdNEtoMEKN/39emfJX8w6R58w2iGSxHa19N2JnrKm5cvw==" saltValue="b1bLvEbIvGhlwDWV8daA+Q==" spinCount="100000" sheet="1" objects="1" scenarios="1"/>
  <mergeCells count="10">
    <mergeCell ref="A4:D4"/>
    <mergeCell ref="I4:L4"/>
    <mergeCell ref="K6:L6"/>
    <mergeCell ref="K7:L7"/>
    <mergeCell ref="K8:L8"/>
    <mergeCell ref="M3:N3"/>
    <mergeCell ref="M4:N4"/>
    <mergeCell ref="O3:Q3"/>
    <mergeCell ref="O4:Q4"/>
    <mergeCell ref="I3:L3"/>
  </mergeCells>
  <conditionalFormatting sqref="F6:G126">
    <cfRule type="cellIs" dxfId="109" priority="3" operator="lessThan">
      <formula>$M$9</formula>
    </cfRule>
    <cfRule type="cellIs" dxfId="108" priority="4" operator="greaterThan">
      <formula>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7A426-C4C4-436D-8593-4D1B005255B4}">
  <sheetPr codeName="Sheet4"/>
  <dimension ref="A1:L128"/>
  <sheetViews>
    <sheetView topLeftCell="H1" zoomScale="123" workbookViewId="0">
      <selection activeCell="C11" sqref="C11:F11"/>
    </sheetView>
  </sheetViews>
  <sheetFormatPr defaultRowHeight="14.4" x14ac:dyDescent="0.3"/>
  <cols>
    <col min="3" max="3" width="13.5546875" customWidth="1"/>
    <col min="4" max="4" width="18.77734375" bestFit="1" customWidth="1"/>
    <col min="5" max="5" width="19.6640625" bestFit="1" customWidth="1"/>
    <col min="9" max="9" width="11.6640625" customWidth="1"/>
    <col min="11" max="11" width="20.109375" bestFit="1" customWidth="1"/>
  </cols>
  <sheetData>
    <row r="1" spans="1:12" x14ac:dyDescent="0.3">
      <c r="E1" s="50" t="s">
        <v>26</v>
      </c>
      <c r="F1" s="50"/>
      <c r="G1" s="50"/>
      <c r="H1" s="50"/>
    </row>
    <row r="2" spans="1:12" x14ac:dyDescent="0.3">
      <c r="A2">
        <v>1</v>
      </c>
      <c r="B2" t="s">
        <v>25</v>
      </c>
      <c r="E2" s="2">
        <v>1</v>
      </c>
      <c r="F2" s="88" t="s">
        <v>27</v>
      </c>
      <c r="G2" s="88"/>
      <c r="H2" s="88"/>
    </row>
    <row r="3" spans="1:12" x14ac:dyDescent="0.3">
      <c r="A3">
        <v>2</v>
      </c>
      <c r="B3" t="s">
        <v>33</v>
      </c>
      <c r="E3" s="2">
        <v>2</v>
      </c>
      <c r="F3" s="88" t="s">
        <v>32</v>
      </c>
      <c r="G3" s="88"/>
      <c r="H3" s="88"/>
    </row>
    <row r="4" spans="1:12" x14ac:dyDescent="0.3">
      <c r="A4">
        <v>3</v>
      </c>
      <c r="B4" t="s">
        <v>34</v>
      </c>
      <c r="E4" s="2">
        <v>3</v>
      </c>
      <c r="F4" s="88" t="s">
        <v>28</v>
      </c>
      <c r="G4" s="88"/>
      <c r="H4" s="88"/>
    </row>
    <row r="5" spans="1:12" x14ac:dyDescent="0.3">
      <c r="E5" s="2">
        <v>4</v>
      </c>
      <c r="F5" s="88" t="s">
        <v>29</v>
      </c>
      <c r="G5" s="88"/>
      <c r="H5" s="88"/>
      <c r="I5" s="88"/>
    </row>
    <row r="6" spans="1:12" x14ac:dyDescent="0.3">
      <c r="E6" s="2">
        <v>5</v>
      </c>
      <c r="F6" s="88" t="s">
        <v>30</v>
      </c>
      <c r="G6" s="88"/>
      <c r="H6" s="88"/>
    </row>
    <row r="7" spans="1:12" x14ac:dyDescent="0.3">
      <c r="E7" s="2">
        <v>6</v>
      </c>
      <c r="F7" s="88" t="s">
        <v>31</v>
      </c>
      <c r="G7" s="88"/>
      <c r="H7" s="88"/>
    </row>
    <row r="9" spans="1:12" x14ac:dyDescent="0.3">
      <c r="C9" s="1" t="s">
        <v>1</v>
      </c>
      <c r="D9" s="1" t="s">
        <v>3</v>
      </c>
      <c r="E9" s="1" t="s">
        <v>36</v>
      </c>
    </row>
    <row r="10" spans="1:12" x14ac:dyDescent="0.3">
      <c r="C10" s="6">
        <v>4000</v>
      </c>
      <c r="D10" s="6">
        <v>80</v>
      </c>
      <c r="E10" s="2">
        <v>3850</v>
      </c>
      <c r="I10" s="87" t="s">
        <v>39</v>
      </c>
      <c r="J10" s="87"/>
      <c r="K10" s="87"/>
      <c r="L10" s="87"/>
    </row>
    <row r="11" spans="1:12" x14ac:dyDescent="0.3">
      <c r="C11" s="1" t="s">
        <v>4</v>
      </c>
      <c r="D11" s="17" t="s">
        <v>38</v>
      </c>
      <c r="E11" s="1" t="s">
        <v>7</v>
      </c>
      <c r="F11" s="1" t="s">
        <v>37</v>
      </c>
      <c r="I11" s="1" t="s">
        <v>4</v>
      </c>
      <c r="J11" s="1" t="s">
        <v>35</v>
      </c>
      <c r="K11" s="1" t="s">
        <v>7</v>
      </c>
      <c r="L11" s="1" t="s">
        <v>37</v>
      </c>
    </row>
    <row r="12" spans="1:12" x14ac:dyDescent="0.3">
      <c r="C12" s="18">
        <f t="shared" ref="C12:C25" si="0">C13-50</f>
        <v>2700</v>
      </c>
      <c r="D12" s="6">
        <f t="shared" ref="D12:D26" si="1">C12-$E$10</f>
        <v>-1150</v>
      </c>
      <c r="E12" s="6">
        <f t="shared" ref="E12:E26" si="2">(MAX(C12-$C$10,0)-$D$10)*-1</f>
        <v>80</v>
      </c>
      <c r="F12" s="16">
        <f t="shared" ref="F12:F26" si="3">D12+E12</f>
        <v>-1070</v>
      </c>
      <c r="I12" s="2">
        <f t="shared" ref="I12:I29" si="4">I13-10</f>
        <v>3240</v>
      </c>
      <c r="J12" s="6">
        <f t="shared" ref="J12:J29" si="5">I12-$E$10</f>
        <v>-610</v>
      </c>
      <c r="K12" s="6">
        <f t="shared" ref="K12:K29" si="6">(MAX(I12-$C$10,0)-$D$10)*-1</f>
        <v>80</v>
      </c>
      <c r="L12" s="16">
        <f t="shared" ref="L12:L29" si="7">J12+K12</f>
        <v>-530</v>
      </c>
    </row>
    <row r="13" spans="1:12" x14ac:dyDescent="0.3">
      <c r="C13" s="18">
        <f t="shared" si="0"/>
        <v>2750</v>
      </c>
      <c r="D13" s="6">
        <f t="shared" si="1"/>
        <v>-1100</v>
      </c>
      <c r="E13" s="6">
        <f t="shared" si="2"/>
        <v>80</v>
      </c>
      <c r="F13" s="16">
        <f t="shared" si="3"/>
        <v>-1020</v>
      </c>
      <c r="I13" s="2">
        <f t="shared" si="4"/>
        <v>3250</v>
      </c>
      <c r="J13" s="6">
        <f t="shared" si="5"/>
        <v>-600</v>
      </c>
      <c r="K13" s="6">
        <f t="shared" si="6"/>
        <v>80</v>
      </c>
      <c r="L13" s="16">
        <f t="shared" si="7"/>
        <v>-520</v>
      </c>
    </row>
    <row r="14" spans="1:12" x14ac:dyDescent="0.3">
      <c r="C14" s="18">
        <f t="shared" si="0"/>
        <v>2800</v>
      </c>
      <c r="D14" s="6">
        <f t="shared" si="1"/>
        <v>-1050</v>
      </c>
      <c r="E14" s="6">
        <f t="shared" si="2"/>
        <v>80</v>
      </c>
      <c r="F14" s="16">
        <f t="shared" si="3"/>
        <v>-970</v>
      </c>
      <c r="I14" s="2">
        <f t="shared" si="4"/>
        <v>3260</v>
      </c>
      <c r="J14" s="6">
        <f t="shared" si="5"/>
        <v>-590</v>
      </c>
      <c r="K14" s="6">
        <f t="shared" si="6"/>
        <v>80</v>
      </c>
      <c r="L14" s="16">
        <f t="shared" si="7"/>
        <v>-510</v>
      </c>
    </row>
    <row r="15" spans="1:12" x14ac:dyDescent="0.3">
      <c r="C15" s="18">
        <f t="shared" si="0"/>
        <v>2850</v>
      </c>
      <c r="D15" s="6">
        <f t="shared" si="1"/>
        <v>-1000</v>
      </c>
      <c r="E15" s="6">
        <f t="shared" si="2"/>
        <v>80</v>
      </c>
      <c r="F15" s="16">
        <f t="shared" si="3"/>
        <v>-920</v>
      </c>
      <c r="I15" s="2">
        <f t="shared" si="4"/>
        <v>3270</v>
      </c>
      <c r="J15" s="6">
        <f t="shared" si="5"/>
        <v>-580</v>
      </c>
      <c r="K15" s="6">
        <f t="shared" si="6"/>
        <v>80</v>
      </c>
      <c r="L15" s="16">
        <f t="shared" si="7"/>
        <v>-500</v>
      </c>
    </row>
    <row r="16" spans="1:12" x14ac:dyDescent="0.3">
      <c r="C16" s="18">
        <f t="shared" si="0"/>
        <v>2900</v>
      </c>
      <c r="D16" s="6">
        <f t="shared" si="1"/>
        <v>-950</v>
      </c>
      <c r="E16" s="6">
        <f t="shared" si="2"/>
        <v>80</v>
      </c>
      <c r="F16" s="16">
        <f t="shared" si="3"/>
        <v>-870</v>
      </c>
      <c r="I16" s="2">
        <f t="shared" si="4"/>
        <v>3280</v>
      </c>
      <c r="J16" s="6">
        <f t="shared" si="5"/>
        <v>-570</v>
      </c>
      <c r="K16" s="6">
        <f t="shared" si="6"/>
        <v>80</v>
      </c>
      <c r="L16" s="16">
        <f t="shared" si="7"/>
        <v>-490</v>
      </c>
    </row>
    <row r="17" spans="3:12" x14ac:dyDescent="0.3">
      <c r="C17" s="18">
        <f t="shared" si="0"/>
        <v>2950</v>
      </c>
      <c r="D17" s="6">
        <f t="shared" si="1"/>
        <v>-900</v>
      </c>
      <c r="E17" s="6">
        <f t="shared" si="2"/>
        <v>80</v>
      </c>
      <c r="F17" s="16">
        <f t="shared" si="3"/>
        <v>-820</v>
      </c>
      <c r="I17" s="2">
        <f t="shared" si="4"/>
        <v>3290</v>
      </c>
      <c r="J17" s="6">
        <f t="shared" si="5"/>
        <v>-560</v>
      </c>
      <c r="K17" s="6">
        <f t="shared" si="6"/>
        <v>80</v>
      </c>
      <c r="L17" s="16">
        <f t="shared" si="7"/>
        <v>-480</v>
      </c>
    </row>
    <row r="18" spans="3:12" x14ac:dyDescent="0.3">
      <c r="C18" s="18">
        <f t="shared" si="0"/>
        <v>3000</v>
      </c>
      <c r="D18" s="6">
        <f t="shared" si="1"/>
        <v>-850</v>
      </c>
      <c r="E18" s="6">
        <f t="shared" si="2"/>
        <v>80</v>
      </c>
      <c r="F18" s="16">
        <f t="shared" si="3"/>
        <v>-770</v>
      </c>
      <c r="I18" s="2">
        <f t="shared" si="4"/>
        <v>3300</v>
      </c>
      <c r="J18" s="6">
        <f t="shared" si="5"/>
        <v>-550</v>
      </c>
      <c r="K18" s="6">
        <f t="shared" si="6"/>
        <v>80</v>
      </c>
      <c r="L18" s="16">
        <f t="shared" si="7"/>
        <v>-470</v>
      </c>
    </row>
    <row r="19" spans="3:12" x14ac:dyDescent="0.3">
      <c r="C19" s="18">
        <f t="shared" si="0"/>
        <v>3050</v>
      </c>
      <c r="D19" s="6">
        <f t="shared" si="1"/>
        <v>-800</v>
      </c>
      <c r="E19" s="6">
        <f t="shared" si="2"/>
        <v>80</v>
      </c>
      <c r="F19" s="16">
        <f t="shared" si="3"/>
        <v>-720</v>
      </c>
      <c r="I19" s="2">
        <f t="shared" si="4"/>
        <v>3310</v>
      </c>
      <c r="J19" s="6">
        <f t="shared" si="5"/>
        <v>-540</v>
      </c>
      <c r="K19" s="6">
        <f t="shared" si="6"/>
        <v>80</v>
      </c>
      <c r="L19" s="16">
        <f t="shared" si="7"/>
        <v>-460</v>
      </c>
    </row>
    <row r="20" spans="3:12" x14ac:dyDescent="0.3">
      <c r="C20" s="18">
        <f t="shared" si="0"/>
        <v>3100</v>
      </c>
      <c r="D20" s="6">
        <f t="shared" si="1"/>
        <v>-750</v>
      </c>
      <c r="E20" s="6">
        <f t="shared" si="2"/>
        <v>80</v>
      </c>
      <c r="F20" s="16">
        <f t="shared" si="3"/>
        <v>-670</v>
      </c>
      <c r="I20" s="2">
        <f t="shared" si="4"/>
        <v>3320</v>
      </c>
      <c r="J20" s="6">
        <f t="shared" si="5"/>
        <v>-530</v>
      </c>
      <c r="K20" s="6">
        <f t="shared" si="6"/>
        <v>80</v>
      </c>
      <c r="L20" s="16">
        <f t="shared" si="7"/>
        <v>-450</v>
      </c>
    </row>
    <row r="21" spans="3:12" x14ac:dyDescent="0.3">
      <c r="C21" s="18">
        <f t="shared" si="0"/>
        <v>3150</v>
      </c>
      <c r="D21" s="6">
        <f t="shared" si="1"/>
        <v>-700</v>
      </c>
      <c r="E21" s="6">
        <f t="shared" si="2"/>
        <v>80</v>
      </c>
      <c r="F21" s="16">
        <f t="shared" si="3"/>
        <v>-620</v>
      </c>
      <c r="I21" s="2">
        <f t="shared" si="4"/>
        <v>3330</v>
      </c>
      <c r="J21" s="6">
        <f t="shared" si="5"/>
        <v>-520</v>
      </c>
      <c r="K21" s="6">
        <f t="shared" si="6"/>
        <v>80</v>
      </c>
      <c r="L21" s="16">
        <f t="shared" si="7"/>
        <v>-440</v>
      </c>
    </row>
    <row r="22" spans="3:12" x14ac:dyDescent="0.3">
      <c r="C22" s="18">
        <f t="shared" si="0"/>
        <v>3200</v>
      </c>
      <c r="D22" s="6">
        <f t="shared" si="1"/>
        <v>-650</v>
      </c>
      <c r="E22" s="6">
        <f t="shared" si="2"/>
        <v>80</v>
      </c>
      <c r="F22" s="16">
        <f t="shared" si="3"/>
        <v>-570</v>
      </c>
      <c r="I22" s="2">
        <f t="shared" si="4"/>
        <v>3340</v>
      </c>
      <c r="J22" s="6">
        <f t="shared" si="5"/>
        <v>-510</v>
      </c>
      <c r="K22" s="6">
        <f t="shared" si="6"/>
        <v>80</v>
      </c>
      <c r="L22" s="16">
        <f t="shared" si="7"/>
        <v>-430</v>
      </c>
    </row>
    <row r="23" spans="3:12" x14ac:dyDescent="0.3">
      <c r="C23" s="18">
        <f t="shared" si="0"/>
        <v>3250</v>
      </c>
      <c r="D23" s="6">
        <f t="shared" si="1"/>
        <v>-600</v>
      </c>
      <c r="E23" s="6">
        <f t="shared" si="2"/>
        <v>80</v>
      </c>
      <c r="F23" s="16">
        <f t="shared" si="3"/>
        <v>-520</v>
      </c>
      <c r="I23" s="2">
        <f t="shared" si="4"/>
        <v>3350</v>
      </c>
      <c r="J23" s="6">
        <f t="shared" si="5"/>
        <v>-500</v>
      </c>
      <c r="K23" s="6">
        <f t="shared" si="6"/>
        <v>80</v>
      </c>
      <c r="L23" s="16">
        <f t="shared" si="7"/>
        <v>-420</v>
      </c>
    </row>
    <row r="24" spans="3:12" x14ac:dyDescent="0.3">
      <c r="C24" s="18">
        <f t="shared" si="0"/>
        <v>3300</v>
      </c>
      <c r="D24" s="6">
        <f t="shared" si="1"/>
        <v>-550</v>
      </c>
      <c r="E24" s="6">
        <f t="shared" si="2"/>
        <v>80</v>
      </c>
      <c r="F24" s="16">
        <f t="shared" si="3"/>
        <v>-470</v>
      </c>
      <c r="I24" s="2">
        <f t="shared" si="4"/>
        <v>3360</v>
      </c>
      <c r="J24" s="6">
        <f t="shared" si="5"/>
        <v>-490</v>
      </c>
      <c r="K24" s="6">
        <f t="shared" si="6"/>
        <v>80</v>
      </c>
      <c r="L24" s="16">
        <f t="shared" si="7"/>
        <v>-410</v>
      </c>
    </row>
    <row r="25" spans="3:12" x14ac:dyDescent="0.3">
      <c r="C25" s="18">
        <f t="shared" si="0"/>
        <v>3350</v>
      </c>
      <c r="D25" s="6">
        <f t="shared" si="1"/>
        <v>-500</v>
      </c>
      <c r="E25" s="6">
        <f t="shared" si="2"/>
        <v>80</v>
      </c>
      <c r="F25" s="16">
        <f t="shared" si="3"/>
        <v>-420</v>
      </c>
      <c r="I25" s="2">
        <f t="shared" si="4"/>
        <v>3370</v>
      </c>
      <c r="J25" s="6">
        <f t="shared" si="5"/>
        <v>-480</v>
      </c>
      <c r="K25" s="6">
        <f t="shared" si="6"/>
        <v>80</v>
      </c>
      <c r="L25" s="16">
        <f t="shared" si="7"/>
        <v>-400</v>
      </c>
    </row>
    <row r="26" spans="3:12" x14ac:dyDescent="0.3">
      <c r="C26" s="18">
        <f>C27-50</f>
        <v>3400</v>
      </c>
      <c r="D26" s="6">
        <f t="shared" si="1"/>
        <v>-450</v>
      </c>
      <c r="E26" s="6">
        <f t="shared" si="2"/>
        <v>80</v>
      </c>
      <c r="F26" s="16">
        <f t="shared" si="3"/>
        <v>-370</v>
      </c>
      <c r="I26" s="2">
        <f t="shared" si="4"/>
        <v>3380</v>
      </c>
      <c r="J26" s="6">
        <f t="shared" si="5"/>
        <v>-470</v>
      </c>
      <c r="K26" s="6">
        <f t="shared" si="6"/>
        <v>80</v>
      </c>
      <c r="L26" s="16">
        <f t="shared" si="7"/>
        <v>-390</v>
      </c>
    </row>
    <row r="27" spans="3:12" x14ac:dyDescent="0.3">
      <c r="C27" s="19">
        <v>3450</v>
      </c>
      <c r="D27" s="6">
        <f t="shared" ref="D27:D30" si="8">C27-$E$10</f>
        <v>-400</v>
      </c>
      <c r="E27" s="6">
        <f t="shared" ref="E27:E30" si="9">(MAX(C27-$C$10,0)-$D$10)*-1</f>
        <v>80</v>
      </c>
      <c r="F27" s="16">
        <f t="shared" ref="F27:F30" si="10">D27+E27</f>
        <v>-320</v>
      </c>
      <c r="I27" s="2">
        <f t="shared" si="4"/>
        <v>3390</v>
      </c>
      <c r="J27" s="6">
        <f t="shared" si="5"/>
        <v>-460</v>
      </c>
      <c r="K27" s="6">
        <f t="shared" si="6"/>
        <v>80</v>
      </c>
      <c r="L27" s="16">
        <f t="shared" si="7"/>
        <v>-380</v>
      </c>
    </row>
    <row r="28" spans="3:12" x14ac:dyDescent="0.3">
      <c r="C28" s="19">
        <f>C27+50</f>
        <v>3500</v>
      </c>
      <c r="D28" s="6">
        <f t="shared" si="8"/>
        <v>-350</v>
      </c>
      <c r="E28" s="6">
        <f t="shared" si="9"/>
        <v>80</v>
      </c>
      <c r="F28" s="16">
        <f t="shared" si="10"/>
        <v>-270</v>
      </c>
      <c r="I28" s="2">
        <f t="shared" si="4"/>
        <v>3400</v>
      </c>
      <c r="J28" s="6">
        <f t="shared" si="5"/>
        <v>-450</v>
      </c>
      <c r="K28" s="6">
        <f t="shared" si="6"/>
        <v>80</v>
      </c>
      <c r="L28" s="16">
        <f t="shared" si="7"/>
        <v>-370</v>
      </c>
    </row>
    <row r="29" spans="3:12" x14ac:dyDescent="0.3">
      <c r="C29" s="19">
        <f t="shared" ref="C29:C31" si="11">C28+50</f>
        <v>3550</v>
      </c>
      <c r="D29" s="6">
        <f t="shared" si="8"/>
        <v>-300</v>
      </c>
      <c r="E29" s="6">
        <f t="shared" si="9"/>
        <v>80</v>
      </c>
      <c r="F29" s="16">
        <f t="shared" si="10"/>
        <v>-220</v>
      </c>
      <c r="I29" s="2">
        <f t="shared" si="4"/>
        <v>3410</v>
      </c>
      <c r="J29" s="6">
        <f t="shared" si="5"/>
        <v>-440</v>
      </c>
      <c r="K29" s="6">
        <f t="shared" si="6"/>
        <v>80</v>
      </c>
      <c r="L29" s="16">
        <f t="shared" si="7"/>
        <v>-360</v>
      </c>
    </row>
    <row r="30" spans="3:12" x14ac:dyDescent="0.3">
      <c r="C30" s="19">
        <f t="shared" si="11"/>
        <v>3600</v>
      </c>
      <c r="D30" s="6">
        <f t="shared" si="8"/>
        <v>-250</v>
      </c>
      <c r="E30" s="6">
        <f t="shared" si="9"/>
        <v>80</v>
      </c>
      <c r="F30" s="16">
        <f t="shared" si="10"/>
        <v>-170</v>
      </c>
      <c r="I30" s="2">
        <f t="shared" ref="I30:I69" si="12">I31-10</f>
        <v>3420</v>
      </c>
      <c r="J30" s="6">
        <f t="shared" ref="J30:J70" si="13">I30-$E$10</f>
        <v>-430</v>
      </c>
      <c r="K30" s="6">
        <f t="shared" ref="K30:K70" si="14">(MAX(I30-$C$10,0)-$D$10)*-1</f>
        <v>80</v>
      </c>
      <c r="L30" s="16">
        <f t="shared" ref="L30:L70" si="15">J30+K30</f>
        <v>-350</v>
      </c>
    </row>
    <row r="31" spans="3:12" x14ac:dyDescent="0.3">
      <c r="C31" s="19">
        <f t="shared" si="11"/>
        <v>3650</v>
      </c>
      <c r="D31" s="6">
        <f>C31-$E$10</f>
        <v>-200</v>
      </c>
      <c r="E31" s="6">
        <f>(MAX(C31-$C$10,0)-$D$10)*-1</f>
        <v>80</v>
      </c>
      <c r="F31" s="16">
        <f>D31+E31</f>
        <v>-120</v>
      </c>
      <c r="I31" s="2">
        <f t="shared" si="12"/>
        <v>3430</v>
      </c>
      <c r="J31" s="6">
        <f t="shared" si="13"/>
        <v>-420</v>
      </c>
      <c r="K31" s="6">
        <f t="shared" si="14"/>
        <v>80</v>
      </c>
      <c r="L31" s="16">
        <f t="shared" si="15"/>
        <v>-340</v>
      </c>
    </row>
    <row r="32" spans="3:12" x14ac:dyDescent="0.3">
      <c r="C32" s="19">
        <f>C31+50</f>
        <v>3700</v>
      </c>
      <c r="D32" s="6">
        <f t="shared" ref="D32:D54" si="16">C32-$E$10</f>
        <v>-150</v>
      </c>
      <c r="E32" s="6">
        <f t="shared" ref="E32:E42" si="17">(MAX(C32-$C$10,0)-$D$10)*-1</f>
        <v>80</v>
      </c>
      <c r="F32" s="16">
        <f t="shared" ref="F32:F42" si="18">D32+E32</f>
        <v>-70</v>
      </c>
      <c r="I32" s="2">
        <f t="shared" si="12"/>
        <v>3440</v>
      </c>
      <c r="J32" s="6">
        <f t="shared" si="13"/>
        <v>-410</v>
      </c>
      <c r="K32" s="6">
        <f t="shared" si="14"/>
        <v>80</v>
      </c>
      <c r="L32" s="16">
        <f t="shared" si="15"/>
        <v>-330</v>
      </c>
    </row>
    <row r="33" spans="3:12" x14ac:dyDescent="0.3">
      <c r="C33" s="19">
        <f>C32+50</f>
        <v>3750</v>
      </c>
      <c r="D33" s="6">
        <f t="shared" si="16"/>
        <v>-100</v>
      </c>
      <c r="E33" s="6">
        <f t="shared" si="17"/>
        <v>80</v>
      </c>
      <c r="F33" s="16">
        <f t="shared" si="18"/>
        <v>-20</v>
      </c>
      <c r="I33" s="2">
        <f t="shared" si="12"/>
        <v>3450</v>
      </c>
      <c r="J33" s="6">
        <f t="shared" si="13"/>
        <v>-400</v>
      </c>
      <c r="K33" s="6">
        <f t="shared" si="14"/>
        <v>80</v>
      </c>
      <c r="L33" s="16">
        <f t="shared" si="15"/>
        <v>-320</v>
      </c>
    </row>
    <row r="34" spans="3:12" x14ac:dyDescent="0.3">
      <c r="C34" s="19">
        <f>C33+50</f>
        <v>3800</v>
      </c>
      <c r="D34" s="6">
        <f t="shared" si="16"/>
        <v>-50</v>
      </c>
      <c r="E34" s="6">
        <f t="shared" si="17"/>
        <v>80</v>
      </c>
      <c r="F34" s="16">
        <f t="shared" si="18"/>
        <v>30</v>
      </c>
      <c r="I34" s="2">
        <f t="shared" si="12"/>
        <v>3460</v>
      </c>
      <c r="J34" s="6">
        <f t="shared" si="13"/>
        <v>-390</v>
      </c>
      <c r="K34" s="6">
        <f t="shared" si="14"/>
        <v>80</v>
      </c>
      <c r="L34" s="16">
        <f t="shared" si="15"/>
        <v>-310</v>
      </c>
    </row>
    <row r="35" spans="3:12" x14ac:dyDescent="0.3">
      <c r="C35" s="19">
        <f t="shared" ref="C35:C54" si="19">C34+50</f>
        <v>3850</v>
      </c>
      <c r="D35" s="6">
        <f t="shared" si="16"/>
        <v>0</v>
      </c>
      <c r="E35" s="6">
        <f t="shared" si="17"/>
        <v>80</v>
      </c>
      <c r="F35" s="16">
        <f t="shared" si="18"/>
        <v>80</v>
      </c>
      <c r="I35" s="2">
        <f t="shared" si="12"/>
        <v>3470</v>
      </c>
      <c r="J35" s="6">
        <f t="shared" si="13"/>
        <v>-380</v>
      </c>
      <c r="K35" s="6">
        <f t="shared" si="14"/>
        <v>80</v>
      </c>
      <c r="L35" s="16">
        <f t="shared" si="15"/>
        <v>-300</v>
      </c>
    </row>
    <row r="36" spans="3:12" x14ac:dyDescent="0.3">
      <c r="C36" s="19">
        <f t="shared" si="19"/>
        <v>3900</v>
      </c>
      <c r="D36" s="6">
        <f t="shared" si="16"/>
        <v>50</v>
      </c>
      <c r="E36" s="6">
        <f t="shared" si="17"/>
        <v>80</v>
      </c>
      <c r="F36" s="16">
        <f t="shared" si="18"/>
        <v>130</v>
      </c>
      <c r="I36" s="2">
        <f t="shared" si="12"/>
        <v>3480</v>
      </c>
      <c r="J36" s="6">
        <f t="shared" si="13"/>
        <v>-370</v>
      </c>
      <c r="K36" s="6">
        <f t="shared" si="14"/>
        <v>80</v>
      </c>
      <c r="L36" s="16">
        <f t="shared" si="15"/>
        <v>-290</v>
      </c>
    </row>
    <row r="37" spans="3:12" x14ac:dyDescent="0.3">
      <c r="C37" s="19">
        <f t="shared" si="19"/>
        <v>3950</v>
      </c>
      <c r="D37" s="6">
        <f t="shared" si="16"/>
        <v>100</v>
      </c>
      <c r="E37" s="6">
        <f t="shared" si="17"/>
        <v>80</v>
      </c>
      <c r="F37" s="16">
        <f t="shared" si="18"/>
        <v>180</v>
      </c>
      <c r="I37" s="2">
        <f t="shared" si="12"/>
        <v>3490</v>
      </c>
      <c r="J37" s="6">
        <f t="shared" si="13"/>
        <v>-360</v>
      </c>
      <c r="K37" s="6">
        <f t="shared" si="14"/>
        <v>80</v>
      </c>
      <c r="L37" s="16">
        <f t="shared" si="15"/>
        <v>-280</v>
      </c>
    </row>
    <row r="38" spans="3:12" x14ac:dyDescent="0.3">
      <c r="C38" s="19">
        <f t="shared" si="19"/>
        <v>4000</v>
      </c>
      <c r="D38" s="6">
        <f t="shared" si="16"/>
        <v>150</v>
      </c>
      <c r="E38" s="6">
        <f t="shared" si="17"/>
        <v>80</v>
      </c>
      <c r="F38" s="16">
        <f t="shared" si="18"/>
        <v>230</v>
      </c>
      <c r="I38" s="2">
        <f t="shared" si="12"/>
        <v>3500</v>
      </c>
      <c r="J38" s="6">
        <f t="shared" si="13"/>
        <v>-350</v>
      </c>
      <c r="K38" s="6">
        <f t="shared" si="14"/>
        <v>80</v>
      </c>
      <c r="L38" s="16">
        <f t="shared" si="15"/>
        <v>-270</v>
      </c>
    </row>
    <row r="39" spans="3:12" x14ac:dyDescent="0.3">
      <c r="C39" s="19">
        <f t="shared" si="19"/>
        <v>4050</v>
      </c>
      <c r="D39" s="6">
        <f t="shared" si="16"/>
        <v>200</v>
      </c>
      <c r="E39" s="6">
        <f t="shared" si="17"/>
        <v>30</v>
      </c>
      <c r="F39" s="16">
        <f t="shared" si="18"/>
        <v>230</v>
      </c>
      <c r="I39" s="2">
        <f t="shared" si="12"/>
        <v>3510</v>
      </c>
      <c r="J39" s="6">
        <f t="shared" si="13"/>
        <v>-340</v>
      </c>
      <c r="K39" s="6">
        <f t="shared" si="14"/>
        <v>80</v>
      </c>
      <c r="L39" s="16">
        <f t="shared" si="15"/>
        <v>-260</v>
      </c>
    </row>
    <row r="40" spans="3:12" x14ac:dyDescent="0.3">
      <c r="C40" s="19">
        <f t="shared" si="19"/>
        <v>4100</v>
      </c>
      <c r="D40" s="6">
        <f t="shared" si="16"/>
        <v>250</v>
      </c>
      <c r="E40" s="6">
        <f t="shared" si="17"/>
        <v>-20</v>
      </c>
      <c r="F40" s="16">
        <f t="shared" si="18"/>
        <v>230</v>
      </c>
      <c r="I40" s="2">
        <f t="shared" si="12"/>
        <v>3520</v>
      </c>
      <c r="J40" s="6">
        <f t="shared" si="13"/>
        <v>-330</v>
      </c>
      <c r="K40" s="6">
        <f t="shared" si="14"/>
        <v>80</v>
      </c>
      <c r="L40" s="16">
        <f t="shared" si="15"/>
        <v>-250</v>
      </c>
    </row>
    <row r="41" spans="3:12" x14ac:dyDescent="0.3">
      <c r="C41" s="19">
        <f t="shared" si="19"/>
        <v>4150</v>
      </c>
      <c r="D41" s="6">
        <f t="shared" si="16"/>
        <v>300</v>
      </c>
      <c r="E41" s="6">
        <f t="shared" si="17"/>
        <v>-70</v>
      </c>
      <c r="F41" s="16">
        <f t="shared" si="18"/>
        <v>230</v>
      </c>
      <c r="I41" s="2">
        <f t="shared" si="12"/>
        <v>3530</v>
      </c>
      <c r="J41" s="6">
        <f t="shared" si="13"/>
        <v>-320</v>
      </c>
      <c r="K41" s="6">
        <f t="shared" si="14"/>
        <v>80</v>
      </c>
      <c r="L41" s="16">
        <f t="shared" si="15"/>
        <v>-240</v>
      </c>
    </row>
    <row r="42" spans="3:12" x14ac:dyDescent="0.3">
      <c r="C42" s="19">
        <f t="shared" si="19"/>
        <v>4200</v>
      </c>
      <c r="D42" s="6">
        <f t="shared" si="16"/>
        <v>350</v>
      </c>
      <c r="E42" s="6">
        <f t="shared" si="17"/>
        <v>-120</v>
      </c>
      <c r="F42" s="16">
        <f t="shared" si="18"/>
        <v>230</v>
      </c>
      <c r="I42" s="2">
        <f t="shared" si="12"/>
        <v>3540</v>
      </c>
      <c r="J42" s="6">
        <f t="shared" si="13"/>
        <v>-310</v>
      </c>
      <c r="K42" s="6">
        <f t="shared" si="14"/>
        <v>80</v>
      </c>
      <c r="L42" s="16">
        <f t="shared" si="15"/>
        <v>-230</v>
      </c>
    </row>
    <row r="43" spans="3:12" x14ac:dyDescent="0.3">
      <c r="C43" s="19">
        <f t="shared" si="19"/>
        <v>4250</v>
      </c>
      <c r="D43" s="6">
        <f t="shared" si="16"/>
        <v>400</v>
      </c>
      <c r="E43" s="6">
        <f t="shared" ref="E43:E54" si="20">(MAX(C43-$C$10,0)-$D$10)*-1</f>
        <v>-170</v>
      </c>
      <c r="F43" s="16">
        <f t="shared" ref="F43:F54" si="21">D43+E43</f>
        <v>230</v>
      </c>
      <c r="I43" s="2">
        <f t="shared" si="12"/>
        <v>3550</v>
      </c>
      <c r="J43" s="6">
        <f t="shared" si="13"/>
        <v>-300</v>
      </c>
      <c r="K43" s="6">
        <f t="shared" si="14"/>
        <v>80</v>
      </c>
      <c r="L43" s="16">
        <f t="shared" si="15"/>
        <v>-220</v>
      </c>
    </row>
    <row r="44" spans="3:12" x14ac:dyDescent="0.3">
      <c r="C44" s="19">
        <f t="shared" si="19"/>
        <v>4300</v>
      </c>
      <c r="D44" s="6">
        <f t="shared" si="16"/>
        <v>450</v>
      </c>
      <c r="E44" s="6">
        <f t="shared" si="20"/>
        <v>-220</v>
      </c>
      <c r="F44" s="16">
        <f t="shared" si="21"/>
        <v>230</v>
      </c>
      <c r="I44" s="2">
        <f t="shared" si="12"/>
        <v>3560</v>
      </c>
      <c r="J44" s="6">
        <f t="shared" si="13"/>
        <v>-290</v>
      </c>
      <c r="K44" s="6">
        <f t="shared" si="14"/>
        <v>80</v>
      </c>
      <c r="L44" s="16">
        <f t="shared" si="15"/>
        <v>-210</v>
      </c>
    </row>
    <row r="45" spans="3:12" x14ac:dyDescent="0.3">
      <c r="C45" s="19">
        <f t="shared" si="19"/>
        <v>4350</v>
      </c>
      <c r="D45" s="6">
        <f t="shared" si="16"/>
        <v>500</v>
      </c>
      <c r="E45" s="6">
        <f t="shared" si="20"/>
        <v>-270</v>
      </c>
      <c r="F45" s="16">
        <f t="shared" si="21"/>
        <v>230</v>
      </c>
      <c r="I45" s="2">
        <f t="shared" si="12"/>
        <v>3570</v>
      </c>
      <c r="J45" s="6">
        <f t="shared" si="13"/>
        <v>-280</v>
      </c>
      <c r="K45" s="6">
        <f t="shared" si="14"/>
        <v>80</v>
      </c>
      <c r="L45" s="16">
        <f t="shared" si="15"/>
        <v>-200</v>
      </c>
    </row>
    <row r="46" spans="3:12" x14ac:dyDescent="0.3">
      <c r="C46" s="19">
        <f t="shared" si="19"/>
        <v>4400</v>
      </c>
      <c r="D46" s="6">
        <f t="shared" si="16"/>
        <v>550</v>
      </c>
      <c r="E46" s="6">
        <f t="shared" si="20"/>
        <v>-320</v>
      </c>
      <c r="F46" s="16">
        <f t="shared" si="21"/>
        <v>230</v>
      </c>
      <c r="I46" s="2">
        <f t="shared" si="12"/>
        <v>3580</v>
      </c>
      <c r="J46" s="6">
        <f t="shared" si="13"/>
        <v>-270</v>
      </c>
      <c r="K46" s="6">
        <f t="shared" si="14"/>
        <v>80</v>
      </c>
      <c r="L46" s="16">
        <f t="shared" si="15"/>
        <v>-190</v>
      </c>
    </row>
    <row r="47" spans="3:12" x14ac:dyDescent="0.3">
      <c r="C47" s="19">
        <f t="shared" si="19"/>
        <v>4450</v>
      </c>
      <c r="D47" s="6">
        <f t="shared" si="16"/>
        <v>600</v>
      </c>
      <c r="E47" s="6">
        <f t="shared" si="20"/>
        <v>-370</v>
      </c>
      <c r="F47" s="16">
        <f t="shared" si="21"/>
        <v>230</v>
      </c>
      <c r="I47" s="2">
        <f t="shared" si="12"/>
        <v>3590</v>
      </c>
      <c r="J47" s="6">
        <f t="shared" si="13"/>
        <v>-260</v>
      </c>
      <c r="K47" s="6">
        <f t="shared" si="14"/>
        <v>80</v>
      </c>
      <c r="L47" s="16">
        <f t="shared" si="15"/>
        <v>-180</v>
      </c>
    </row>
    <row r="48" spans="3:12" x14ac:dyDescent="0.3">
      <c r="C48" s="19">
        <f t="shared" si="19"/>
        <v>4500</v>
      </c>
      <c r="D48" s="6">
        <f t="shared" si="16"/>
        <v>650</v>
      </c>
      <c r="E48" s="6">
        <f t="shared" si="20"/>
        <v>-420</v>
      </c>
      <c r="F48" s="16">
        <f t="shared" si="21"/>
        <v>230</v>
      </c>
      <c r="I48" s="2">
        <f t="shared" si="12"/>
        <v>3600</v>
      </c>
      <c r="J48" s="6">
        <f t="shared" si="13"/>
        <v>-250</v>
      </c>
      <c r="K48" s="6">
        <f t="shared" si="14"/>
        <v>80</v>
      </c>
      <c r="L48" s="16">
        <f t="shared" si="15"/>
        <v>-170</v>
      </c>
    </row>
    <row r="49" spans="3:12" x14ac:dyDescent="0.3">
      <c r="C49" s="19">
        <f t="shared" si="19"/>
        <v>4550</v>
      </c>
      <c r="D49" s="6">
        <f t="shared" si="16"/>
        <v>700</v>
      </c>
      <c r="E49" s="6">
        <f t="shared" si="20"/>
        <v>-470</v>
      </c>
      <c r="F49" s="16">
        <f t="shared" si="21"/>
        <v>230</v>
      </c>
      <c r="I49" s="2">
        <f t="shared" si="12"/>
        <v>3610</v>
      </c>
      <c r="J49" s="6">
        <f t="shared" si="13"/>
        <v>-240</v>
      </c>
      <c r="K49" s="6">
        <f t="shared" si="14"/>
        <v>80</v>
      </c>
      <c r="L49" s="16">
        <f t="shared" si="15"/>
        <v>-160</v>
      </c>
    </row>
    <row r="50" spans="3:12" x14ac:dyDescent="0.3">
      <c r="C50" s="19">
        <f t="shared" si="19"/>
        <v>4600</v>
      </c>
      <c r="D50" s="6">
        <f t="shared" si="16"/>
        <v>750</v>
      </c>
      <c r="E50" s="6">
        <f t="shared" si="20"/>
        <v>-520</v>
      </c>
      <c r="F50" s="16">
        <f t="shared" si="21"/>
        <v>230</v>
      </c>
      <c r="I50" s="2">
        <f t="shared" si="12"/>
        <v>3620</v>
      </c>
      <c r="J50" s="6">
        <f t="shared" si="13"/>
        <v>-230</v>
      </c>
      <c r="K50" s="6">
        <f t="shared" si="14"/>
        <v>80</v>
      </c>
      <c r="L50" s="16">
        <f t="shared" si="15"/>
        <v>-150</v>
      </c>
    </row>
    <row r="51" spans="3:12" x14ac:dyDescent="0.3">
      <c r="C51" s="19">
        <f t="shared" si="19"/>
        <v>4650</v>
      </c>
      <c r="D51" s="6">
        <f t="shared" si="16"/>
        <v>800</v>
      </c>
      <c r="E51" s="6">
        <f t="shared" si="20"/>
        <v>-570</v>
      </c>
      <c r="F51" s="16">
        <f t="shared" si="21"/>
        <v>230</v>
      </c>
      <c r="I51" s="2">
        <f t="shared" si="12"/>
        <v>3630</v>
      </c>
      <c r="J51" s="6">
        <f t="shared" si="13"/>
        <v>-220</v>
      </c>
      <c r="K51" s="6">
        <f t="shared" si="14"/>
        <v>80</v>
      </c>
      <c r="L51" s="16">
        <f t="shared" si="15"/>
        <v>-140</v>
      </c>
    </row>
    <row r="52" spans="3:12" x14ac:dyDescent="0.3">
      <c r="C52" s="19">
        <f t="shared" si="19"/>
        <v>4700</v>
      </c>
      <c r="D52" s="6">
        <f t="shared" si="16"/>
        <v>850</v>
      </c>
      <c r="E52" s="6">
        <f t="shared" si="20"/>
        <v>-620</v>
      </c>
      <c r="F52" s="16">
        <f t="shared" si="21"/>
        <v>230</v>
      </c>
      <c r="I52" s="2">
        <f t="shared" si="12"/>
        <v>3640</v>
      </c>
      <c r="J52" s="6">
        <f t="shared" si="13"/>
        <v>-210</v>
      </c>
      <c r="K52" s="6">
        <f t="shared" si="14"/>
        <v>80</v>
      </c>
      <c r="L52" s="16">
        <f t="shared" si="15"/>
        <v>-130</v>
      </c>
    </row>
    <row r="53" spans="3:12" x14ac:dyDescent="0.3">
      <c r="C53" s="19">
        <f t="shared" si="19"/>
        <v>4750</v>
      </c>
      <c r="D53" s="6">
        <f t="shared" si="16"/>
        <v>900</v>
      </c>
      <c r="E53" s="6">
        <f t="shared" si="20"/>
        <v>-670</v>
      </c>
      <c r="F53" s="16">
        <f t="shared" si="21"/>
        <v>230</v>
      </c>
      <c r="I53" s="2">
        <f t="shared" si="12"/>
        <v>3650</v>
      </c>
      <c r="J53" s="6">
        <f t="shared" si="13"/>
        <v>-200</v>
      </c>
      <c r="K53" s="6">
        <f t="shared" si="14"/>
        <v>80</v>
      </c>
      <c r="L53" s="16">
        <f t="shared" si="15"/>
        <v>-120</v>
      </c>
    </row>
    <row r="54" spans="3:12" x14ac:dyDescent="0.3">
      <c r="C54" s="19">
        <f t="shared" si="19"/>
        <v>4800</v>
      </c>
      <c r="D54" s="6">
        <f t="shared" si="16"/>
        <v>950</v>
      </c>
      <c r="E54" s="6">
        <f t="shared" si="20"/>
        <v>-720</v>
      </c>
      <c r="F54" s="16">
        <f t="shared" si="21"/>
        <v>230</v>
      </c>
      <c r="I54" s="2">
        <f t="shared" si="12"/>
        <v>3660</v>
      </c>
      <c r="J54" s="6">
        <f t="shared" si="13"/>
        <v>-190</v>
      </c>
      <c r="K54" s="6">
        <f t="shared" si="14"/>
        <v>80</v>
      </c>
      <c r="L54" s="16">
        <f t="shared" si="15"/>
        <v>-110</v>
      </c>
    </row>
    <row r="55" spans="3:12" x14ac:dyDescent="0.3">
      <c r="I55" s="2">
        <f t="shared" si="12"/>
        <v>3670</v>
      </c>
      <c r="J55" s="6">
        <f t="shared" si="13"/>
        <v>-180</v>
      </c>
      <c r="K55" s="6">
        <f t="shared" si="14"/>
        <v>80</v>
      </c>
      <c r="L55" s="16">
        <f t="shared" si="15"/>
        <v>-100</v>
      </c>
    </row>
    <row r="56" spans="3:12" x14ac:dyDescent="0.3">
      <c r="I56" s="2">
        <f t="shared" si="12"/>
        <v>3680</v>
      </c>
      <c r="J56" s="6">
        <f t="shared" si="13"/>
        <v>-170</v>
      </c>
      <c r="K56" s="6">
        <f t="shared" si="14"/>
        <v>80</v>
      </c>
      <c r="L56" s="16">
        <f t="shared" si="15"/>
        <v>-90</v>
      </c>
    </row>
    <row r="57" spans="3:12" x14ac:dyDescent="0.3">
      <c r="I57" s="2">
        <f t="shared" si="12"/>
        <v>3690</v>
      </c>
      <c r="J57" s="6">
        <f t="shared" si="13"/>
        <v>-160</v>
      </c>
      <c r="K57" s="6">
        <f t="shared" si="14"/>
        <v>80</v>
      </c>
      <c r="L57" s="16">
        <f t="shared" si="15"/>
        <v>-80</v>
      </c>
    </row>
    <row r="58" spans="3:12" x14ac:dyDescent="0.3">
      <c r="I58" s="2">
        <f t="shared" si="12"/>
        <v>3700</v>
      </c>
      <c r="J58" s="6">
        <f t="shared" si="13"/>
        <v>-150</v>
      </c>
      <c r="K58" s="6">
        <f t="shared" si="14"/>
        <v>80</v>
      </c>
      <c r="L58" s="16">
        <f t="shared" si="15"/>
        <v>-70</v>
      </c>
    </row>
    <row r="59" spans="3:12" x14ac:dyDescent="0.3">
      <c r="I59" s="2">
        <f t="shared" si="12"/>
        <v>3710</v>
      </c>
      <c r="J59" s="6">
        <f t="shared" si="13"/>
        <v>-140</v>
      </c>
      <c r="K59" s="6">
        <f t="shared" si="14"/>
        <v>80</v>
      </c>
      <c r="L59" s="16">
        <f t="shared" si="15"/>
        <v>-60</v>
      </c>
    </row>
    <row r="60" spans="3:12" x14ac:dyDescent="0.3">
      <c r="I60" s="2">
        <f t="shared" si="12"/>
        <v>3720</v>
      </c>
      <c r="J60" s="6">
        <f t="shared" si="13"/>
        <v>-130</v>
      </c>
      <c r="K60" s="6">
        <f t="shared" si="14"/>
        <v>80</v>
      </c>
      <c r="L60" s="16">
        <f t="shared" si="15"/>
        <v>-50</v>
      </c>
    </row>
    <row r="61" spans="3:12" x14ac:dyDescent="0.3">
      <c r="I61" s="2">
        <f t="shared" si="12"/>
        <v>3730</v>
      </c>
      <c r="J61" s="6">
        <f t="shared" si="13"/>
        <v>-120</v>
      </c>
      <c r="K61" s="6">
        <f t="shared" si="14"/>
        <v>80</v>
      </c>
      <c r="L61" s="16">
        <f t="shared" si="15"/>
        <v>-40</v>
      </c>
    </row>
    <row r="62" spans="3:12" x14ac:dyDescent="0.3">
      <c r="I62" s="2">
        <f t="shared" si="12"/>
        <v>3740</v>
      </c>
      <c r="J62" s="6">
        <f t="shared" si="13"/>
        <v>-110</v>
      </c>
      <c r="K62" s="6">
        <f t="shared" si="14"/>
        <v>80</v>
      </c>
      <c r="L62" s="16">
        <f t="shared" si="15"/>
        <v>-30</v>
      </c>
    </row>
    <row r="63" spans="3:12" x14ac:dyDescent="0.3">
      <c r="I63" s="2">
        <f t="shared" si="12"/>
        <v>3750</v>
      </c>
      <c r="J63" s="6">
        <f t="shared" si="13"/>
        <v>-100</v>
      </c>
      <c r="K63" s="6">
        <f t="shared" si="14"/>
        <v>80</v>
      </c>
      <c r="L63" s="16">
        <f t="shared" si="15"/>
        <v>-20</v>
      </c>
    </row>
    <row r="64" spans="3:12" x14ac:dyDescent="0.3">
      <c r="I64" s="2">
        <f t="shared" si="12"/>
        <v>3760</v>
      </c>
      <c r="J64" s="6">
        <f t="shared" si="13"/>
        <v>-90</v>
      </c>
      <c r="K64" s="6">
        <f t="shared" si="14"/>
        <v>80</v>
      </c>
      <c r="L64" s="16">
        <f t="shared" si="15"/>
        <v>-10</v>
      </c>
    </row>
    <row r="65" spans="9:12" x14ac:dyDescent="0.3">
      <c r="I65" s="4">
        <f t="shared" si="12"/>
        <v>3770</v>
      </c>
      <c r="J65" s="15">
        <f t="shared" si="13"/>
        <v>-80</v>
      </c>
      <c r="K65" s="15">
        <f t="shared" si="14"/>
        <v>80</v>
      </c>
      <c r="L65" s="20">
        <f t="shared" si="15"/>
        <v>0</v>
      </c>
    </row>
    <row r="66" spans="9:12" x14ac:dyDescent="0.3">
      <c r="I66" s="2">
        <f t="shared" si="12"/>
        <v>3780</v>
      </c>
      <c r="J66" s="6">
        <f t="shared" si="13"/>
        <v>-70</v>
      </c>
      <c r="K66" s="6">
        <f t="shared" si="14"/>
        <v>80</v>
      </c>
      <c r="L66" s="16">
        <f t="shared" si="15"/>
        <v>10</v>
      </c>
    </row>
    <row r="67" spans="9:12" x14ac:dyDescent="0.3">
      <c r="I67" s="2">
        <f t="shared" si="12"/>
        <v>3790</v>
      </c>
      <c r="J67" s="6">
        <f t="shared" si="13"/>
        <v>-60</v>
      </c>
      <c r="K67" s="6">
        <f t="shared" si="14"/>
        <v>80</v>
      </c>
      <c r="L67" s="16">
        <f t="shared" si="15"/>
        <v>20</v>
      </c>
    </row>
    <row r="68" spans="9:12" x14ac:dyDescent="0.3">
      <c r="I68" s="2">
        <f t="shared" si="12"/>
        <v>3800</v>
      </c>
      <c r="J68" s="6">
        <f t="shared" si="13"/>
        <v>-50</v>
      </c>
      <c r="K68" s="6">
        <f t="shared" si="14"/>
        <v>80</v>
      </c>
      <c r="L68" s="16">
        <f t="shared" si="15"/>
        <v>30</v>
      </c>
    </row>
    <row r="69" spans="9:12" x14ac:dyDescent="0.3">
      <c r="I69" s="2">
        <f t="shared" si="12"/>
        <v>3810</v>
      </c>
      <c r="J69" s="6">
        <f t="shared" si="13"/>
        <v>-40</v>
      </c>
      <c r="K69" s="6">
        <f t="shared" si="14"/>
        <v>80</v>
      </c>
      <c r="L69" s="16">
        <f t="shared" si="15"/>
        <v>40</v>
      </c>
    </row>
    <row r="70" spans="9:12" x14ac:dyDescent="0.3">
      <c r="I70" s="2">
        <f>I71-10</f>
        <v>3820</v>
      </c>
      <c r="J70" s="6">
        <f t="shared" si="13"/>
        <v>-30</v>
      </c>
      <c r="K70" s="6">
        <f t="shared" si="14"/>
        <v>80</v>
      </c>
      <c r="L70" s="16">
        <f t="shared" si="15"/>
        <v>50</v>
      </c>
    </row>
    <row r="71" spans="9:12" x14ac:dyDescent="0.3">
      <c r="I71" s="2">
        <v>3830</v>
      </c>
      <c r="J71" s="6">
        <f>I71-$E$10</f>
        <v>-20</v>
      </c>
      <c r="K71" s="6">
        <f t="shared" ref="K71:K74" si="22">(MAX(I71-$C$10,0)-$D$10)*-1</f>
        <v>80</v>
      </c>
      <c r="L71" s="16">
        <f t="shared" ref="L71:L74" si="23">J71+K71</f>
        <v>60</v>
      </c>
    </row>
    <row r="72" spans="9:12" x14ac:dyDescent="0.3">
      <c r="I72" s="2">
        <f>I71+10</f>
        <v>3840</v>
      </c>
      <c r="J72" s="6">
        <f t="shared" ref="J72:J74" si="24">I72-$E$10</f>
        <v>-10</v>
      </c>
      <c r="K72" s="6">
        <f t="shared" si="22"/>
        <v>80</v>
      </c>
      <c r="L72" s="16">
        <f t="shared" si="23"/>
        <v>70</v>
      </c>
    </row>
    <row r="73" spans="9:12" x14ac:dyDescent="0.3">
      <c r="I73" s="2">
        <f t="shared" ref="I73:I128" si="25">I72+10</f>
        <v>3850</v>
      </c>
      <c r="J73" s="6">
        <f t="shared" si="24"/>
        <v>0</v>
      </c>
      <c r="K73" s="6">
        <f t="shared" si="22"/>
        <v>80</v>
      </c>
      <c r="L73" s="16">
        <f t="shared" si="23"/>
        <v>80</v>
      </c>
    </row>
    <row r="74" spans="9:12" x14ac:dyDescent="0.3">
      <c r="I74" s="2">
        <f t="shared" si="25"/>
        <v>3860</v>
      </c>
      <c r="J74" s="6">
        <f t="shared" si="24"/>
        <v>10</v>
      </c>
      <c r="K74" s="6">
        <f t="shared" si="22"/>
        <v>80</v>
      </c>
      <c r="L74" s="16">
        <f t="shared" si="23"/>
        <v>90</v>
      </c>
    </row>
    <row r="75" spans="9:12" x14ac:dyDescent="0.3">
      <c r="I75" s="2">
        <f t="shared" si="25"/>
        <v>3870</v>
      </c>
      <c r="J75" s="6">
        <f>I75-$E$10</f>
        <v>20</v>
      </c>
      <c r="K75" s="6">
        <f>(MAX(I75-$C$10,0)-$D$10)*-1</f>
        <v>80</v>
      </c>
      <c r="L75" s="16">
        <f>J75+K75</f>
        <v>100</v>
      </c>
    </row>
    <row r="76" spans="9:12" x14ac:dyDescent="0.3">
      <c r="I76" s="2">
        <f t="shared" si="25"/>
        <v>3880</v>
      </c>
      <c r="J76" s="6">
        <f t="shared" ref="J76:J128" si="26">I76-$E$10</f>
        <v>30</v>
      </c>
      <c r="K76" s="6">
        <f t="shared" ref="K76:K86" si="27">(MAX(I76-$C$10,0)-$D$10)*-1</f>
        <v>80</v>
      </c>
      <c r="L76" s="16">
        <f t="shared" ref="L76:L86" si="28">J76+K76</f>
        <v>110</v>
      </c>
    </row>
    <row r="77" spans="9:12" x14ac:dyDescent="0.3">
      <c r="I77" s="2">
        <f t="shared" si="25"/>
        <v>3890</v>
      </c>
      <c r="J77" s="6">
        <f t="shared" si="26"/>
        <v>40</v>
      </c>
      <c r="K77" s="6">
        <f t="shared" si="27"/>
        <v>80</v>
      </c>
      <c r="L77" s="16">
        <f t="shared" si="28"/>
        <v>120</v>
      </c>
    </row>
    <row r="78" spans="9:12" x14ac:dyDescent="0.3">
      <c r="I78" s="2">
        <f t="shared" si="25"/>
        <v>3900</v>
      </c>
      <c r="J78" s="6">
        <f t="shared" si="26"/>
        <v>50</v>
      </c>
      <c r="K78" s="6">
        <f t="shared" si="27"/>
        <v>80</v>
      </c>
      <c r="L78" s="16">
        <f t="shared" si="28"/>
        <v>130</v>
      </c>
    </row>
    <row r="79" spans="9:12" x14ac:dyDescent="0.3">
      <c r="I79" s="2">
        <f t="shared" si="25"/>
        <v>3910</v>
      </c>
      <c r="J79" s="6">
        <f t="shared" si="26"/>
        <v>60</v>
      </c>
      <c r="K79" s="6">
        <f t="shared" si="27"/>
        <v>80</v>
      </c>
      <c r="L79" s="16">
        <f t="shared" si="28"/>
        <v>140</v>
      </c>
    </row>
    <row r="80" spans="9:12" x14ac:dyDescent="0.3">
      <c r="I80" s="2">
        <f t="shared" si="25"/>
        <v>3920</v>
      </c>
      <c r="J80" s="6">
        <f t="shared" si="26"/>
        <v>70</v>
      </c>
      <c r="K80" s="6">
        <f t="shared" si="27"/>
        <v>80</v>
      </c>
      <c r="L80" s="16">
        <f t="shared" si="28"/>
        <v>150</v>
      </c>
    </row>
    <row r="81" spans="9:12" x14ac:dyDescent="0.3">
      <c r="I81" s="2">
        <f t="shared" si="25"/>
        <v>3930</v>
      </c>
      <c r="J81" s="6">
        <f t="shared" si="26"/>
        <v>80</v>
      </c>
      <c r="K81" s="6">
        <f t="shared" si="27"/>
        <v>80</v>
      </c>
      <c r="L81" s="16">
        <f t="shared" si="28"/>
        <v>160</v>
      </c>
    </row>
    <row r="82" spans="9:12" x14ac:dyDescent="0.3">
      <c r="I82" s="2">
        <f t="shared" si="25"/>
        <v>3940</v>
      </c>
      <c r="J82" s="6">
        <f t="shared" si="26"/>
        <v>90</v>
      </c>
      <c r="K82" s="6">
        <f t="shared" si="27"/>
        <v>80</v>
      </c>
      <c r="L82" s="16">
        <f t="shared" si="28"/>
        <v>170</v>
      </c>
    </row>
    <row r="83" spans="9:12" x14ac:dyDescent="0.3">
      <c r="I83" s="2">
        <f t="shared" si="25"/>
        <v>3950</v>
      </c>
      <c r="J83" s="6">
        <f t="shared" si="26"/>
        <v>100</v>
      </c>
      <c r="K83" s="6">
        <f t="shared" si="27"/>
        <v>80</v>
      </c>
      <c r="L83" s="16">
        <f t="shared" si="28"/>
        <v>180</v>
      </c>
    </row>
    <row r="84" spans="9:12" x14ac:dyDescent="0.3">
      <c r="I84" s="2">
        <f t="shared" si="25"/>
        <v>3960</v>
      </c>
      <c r="J84" s="6">
        <f t="shared" si="26"/>
        <v>110</v>
      </c>
      <c r="K84" s="6">
        <f t="shared" si="27"/>
        <v>80</v>
      </c>
      <c r="L84" s="16">
        <f t="shared" si="28"/>
        <v>190</v>
      </c>
    </row>
    <row r="85" spans="9:12" x14ac:dyDescent="0.3">
      <c r="I85" s="2">
        <f t="shared" si="25"/>
        <v>3970</v>
      </c>
      <c r="J85" s="6">
        <f t="shared" si="26"/>
        <v>120</v>
      </c>
      <c r="K85" s="6">
        <f t="shared" si="27"/>
        <v>80</v>
      </c>
      <c r="L85" s="16">
        <f t="shared" si="28"/>
        <v>200</v>
      </c>
    </row>
    <row r="86" spans="9:12" x14ac:dyDescent="0.3">
      <c r="I86" s="2">
        <f t="shared" si="25"/>
        <v>3980</v>
      </c>
      <c r="J86" s="6">
        <f t="shared" si="26"/>
        <v>130</v>
      </c>
      <c r="K86" s="6">
        <f t="shared" si="27"/>
        <v>80</v>
      </c>
      <c r="L86" s="16">
        <f t="shared" si="28"/>
        <v>210</v>
      </c>
    </row>
    <row r="87" spans="9:12" x14ac:dyDescent="0.3">
      <c r="I87" s="2">
        <f t="shared" si="25"/>
        <v>3990</v>
      </c>
      <c r="J87" s="6">
        <f t="shared" si="26"/>
        <v>140</v>
      </c>
      <c r="K87" s="6">
        <f t="shared" ref="K87:K128" si="29">(MAX(I87-$C$10,0)-$D$10)*-1</f>
        <v>80</v>
      </c>
      <c r="L87" s="16">
        <f t="shared" ref="L87:L128" si="30">J87+K87</f>
        <v>220</v>
      </c>
    </row>
    <row r="88" spans="9:12" x14ac:dyDescent="0.3">
      <c r="I88" s="2">
        <f t="shared" si="25"/>
        <v>4000</v>
      </c>
      <c r="J88" s="6">
        <f t="shared" si="26"/>
        <v>150</v>
      </c>
      <c r="K88" s="6">
        <f t="shared" si="29"/>
        <v>80</v>
      </c>
      <c r="L88" s="16">
        <f t="shared" si="30"/>
        <v>230</v>
      </c>
    </row>
    <row r="89" spans="9:12" x14ac:dyDescent="0.3">
      <c r="I89" s="2">
        <f t="shared" si="25"/>
        <v>4010</v>
      </c>
      <c r="J89" s="6">
        <f t="shared" si="26"/>
        <v>160</v>
      </c>
      <c r="K89" s="6">
        <f t="shared" si="29"/>
        <v>70</v>
      </c>
      <c r="L89" s="16">
        <f t="shared" si="30"/>
        <v>230</v>
      </c>
    </row>
    <row r="90" spans="9:12" x14ac:dyDescent="0.3">
      <c r="I90" s="2">
        <f t="shared" si="25"/>
        <v>4020</v>
      </c>
      <c r="J90" s="6">
        <f t="shared" si="26"/>
        <v>170</v>
      </c>
      <c r="K90" s="6">
        <f t="shared" si="29"/>
        <v>60</v>
      </c>
      <c r="L90" s="16">
        <f t="shared" si="30"/>
        <v>230</v>
      </c>
    </row>
    <row r="91" spans="9:12" x14ac:dyDescent="0.3">
      <c r="I91" s="2">
        <f t="shared" si="25"/>
        <v>4030</v>
      </c>
      <c r="J91" s="6">
        <f t="shared" si="26"/>
        <v>180</v>
      </c>
      <c r="K91" s="6">
        <f t="shared" si="29"/>
        <v>50</v>
      </c>
      <c r="L91" s="16">
        <f t="shared" si="30"/>
        <v>230</v>
      </c>
    </row>
    <row r="92" spans="9:12" x14ac:dyDescent="0.3">
      <c r="I92" s="2">
        <f t="shared" si="25"/>
        <v>4040</v>
      </c>
      <c r="J92" s="6">
        <f t="shared" si="26"/>
        <v>190</v>
      </c>
      <c r="K92" s="6">
        <f t="shared" si="29"/>
        <v>40</v>
      </c>
      <c r="L92" s="16">
        <f t="shared" si="30"/>
        <v>230</v>
      </c>
    </row>
    <row r="93" spans="9:12" x14ac:dyDescent="0.3">
      <c r="I93" s="2">
        <f t="shared" si="25"/>
        <v>4050</v>
      </c>
      <c r="J93" s="6">
        <f t="shared" si="26"/>
        <v>200</v>
      </c>
      <c r="K93" s="6">
        <f t="shared" si="29"/>
        <v>30</v>
      </c>
      <c r="L93" s="16">
        <f t="shared" si="30"/>
        <v>230</v>
      </c>
    </row>
    <row r="94" spans="9:12" x14ac:dyDescent="0.3">
      <c r="I94" s="2">
        <f t="shared" si="25"/>
        <v>4060</v>
      </c>
      <c r="J94" s="6">
        <f t="shared" si="26"/>
        <v>210</v>
      </c>
      <c r="K94" s="6">
        <f t="shared" si="29"/>
        <v>20</v>
      </c>
      <c r="L94" s="16">
        <f t="shared" si="30"/>
        <v>230</v>
      </c>
    </row>
    <row r="95" spans="9:12" x14ac:dyDescent="0.3">
      <c r="I95" s="2">
        <f t="shared" si="25"/>
        <v>4070</v>
      </c>
      <c r="J95" s="6">
        <f t="shared" si="26"/>
        <v>220</v>
      </c>
      <c r="K95" s="6">
        <f t="shared" si="29"/>
        <v>10</v>
      </c>
      <c r="L95" s="16">
        <f t="shared" si="30"/>
        <v>230</v>
      </c>
    </row>
    <row r="96" spans="9:12" x14ac:dyDescent="0.3">
      <c r="I96" s="2">
        <f t="shared" si="25"/>
        <v>4080</v>
      </c>
      <c r="J96" s="6">
        <f t="shared" si="26"/>
        <v>230</v>
      </c>
      <c r="K96" s="6">
        <f t="shared" si="29"/>
        <v>0</v>
      </c>
      <c r="L96" s="16">
        <f t="shared" si="30"/>
        <v>230</v>
      </c>
    </row>
    <row r="97" spans="9:12" x14ac:dyDescent="0.3">
      <c r="I97" s="2">
        <f t="shared" si="25"/>
        <v>4090</v>
      </c>
      <c r="J97" s="6">
        <f t="shared" si="26"/>
        <v>240</v>
      </c>
      <c r="K97" s="6">
        <f t="shared" si="29"/>
        <v>-10</v>
      </c>
      <c r="L97" s="16">
        <f t="shared" si="30"/>
        <v>230</v>
      </c>
    </row>
    <row r="98" spans="9:12" x14ac:dyDescent="0.3">
      <c r="I98" s="2">
        <f t="shared" si="25"/>
        <v>4100</v>
      </c>
      <c r="J98" s="6">
        <f t="shared" si="26"/>
        <v>250</v>
      </c>
      <c r="K98" s="6">
        <f t="shared" si="29"/>
        <v>-20</v>
      </c>
      <c r="L98" s="16">
        <f t="shared" si="30"/>
        <v>230</v>
      </c>
    </row>
    <row r="99" spans="9:12" x14ac:dyDescent="0.3">
      <c r="I99" s="2">
        <f t="shared" si="25"/>
        <v>4110</v>
      </c>
      <c r="J99" s="6">
        <f t="shared" si="26"/>
        <v>260</v>
      </c>
      <c r="K99" s="6">
        <f t="shared" si="29"/>
        <v>-30</v>
      </c>
      <c r="L99" s="16">
        <f t="shared" si="30"/>
        <v>230</v>
      </c>
    </row>
    <row r="100" spans="9:12" x14ac:dyDescent="0.3">
      <c r="I100" s="2">
        <f t="shared" si="25"/>
        <v>4120</v>
      </c>
      <c r="J100" s="6">
        <f t="shared" si="26"/>
        <v>270</v>
      </c>
      <c r="K100" s="6">
        <f t="shared" si="29"/>
        <v>-40</v>
      </c>
      <c r="L100" s="16">
        <f t="shared" si="30"/>
        <v>230</v>
      </c>
    </row>
    <row r="101" spans="9:12" x14ac:dyDescent="0.3">
      <c r="I101" s="2">
        <f t="shared" si="25"/>
        <v>4130</v>
      </c>
      <c r="J101" s="6">
        <f t="shared" si="26"/>
        <v>280</v>
      </c>
      <c r="K101" s="6">
        <f t="shared" si="29"/>
        <v>-50</v>
      </c>
      <c r="L101" s="16">
        <f t="shared" si="30"/>
        <v>230</v>
      </c>
    </row>
    <row r="102" spans="9:12" x14ac:dyDescent="0.3">
      <c r="I102" s="2">
        <f t="shared" si="25"/>
        <v>4140</v>
      </c>
      <c r="J102" s="6">
        <f t="shared" si="26"/>
        <v>290</v>
      </c>
      <c r="K102" s="6">
        <f t="shared" si="29"/>
        <v>-60</v>
      </c>
      <c r="L102" s="16">
        <f t="shared" si="30"/>
        <v>230</v>
      </c>
    </row>
    <row r="103" spans="9:12" x14ac:dyDescent="0.3">
      <c r="I103" s="2">
        <f t="shared" si="25"/>
        <v>4150</v>
      </c>
      <c r="J103" s="6">
        <f t="shared" si="26"/>
        <v>300</v>
      </c>
      <c r="K103" s="6">
        <f t="shared" si="29"/>
        <v>-70</v>
      </c>
      <c r="L103" s="16">
        <f t="shared" si="30"/>
        <v>230</v>
      </c>
    </row>
    <row r="104" spans="9:12" x14ac:dyDescent="0.3">
      <c r="I104" s="2">
        <f t="shared" si="25"/>
        <v>4160</v>
      </c>
      <c r="J104" s="6">
        <f t="shared" si="26"/>
        <v>310</v>
      </c>
      <c r="K104" s="6">
        <f t="shared" si="29"/>
        <v>-80</v>
      </c>
      <c r="L104" s="16">
        <f t="shared" si="30"/>
        <v>230</v>
      </c>
    </row>
    <row r="105" spans="9:12" x14ac:dyDescent="0.3">
      <c r="I105" s="2">
        <f t="shared" si="25"/>
        <v>4170</v>
      </c>
      <c r="J105" s="6">
        <f t="shared" si="26"/>
        <v>320</v>
      </c>
      <c r="K105" s="6">
        <f t="shared" si="29"/>
        <v>-90</v>
      </c>
      <c r="L105" s="16">
        <f t="shared" si="30"/>
        <v>230</v>
      </c>
    </row>
    <row r="106" spans="9:12" x14ac:dyDescent="0.3">
      <c r="I106" s="2">
        <f t="shared" si="25"/>
        <v>4180</v>
      </c>
      <c r="J106" s="6">
        <f t="shared" si="26"/>
        <v>330</v>
      </c>
      <c r="K106" s="6">
        <f t="shared" si="29"/>
        <v>-100</v>
      </c>
      <c r="L106" s="16">
        <f t="shared" si="30"/>
        <v>230</v>
      </c>
    </row>
    <row r="107" spans="9:12" x14ac:dyDescent="0.3">
      <c r="I107" s="2">
        <f t="shared" si="25"/>
        <v>4190</v>
      </c>
      <c r="J107" s="6">
        <f t="shared" si="26"/>
        <v>340</v>
      </c>
      <c r="K107" s="6">
        <f t="shared" si="29"/>
        <v>-110</v>
      </c>
      <c r="L107" s="16">
        <f t="shared" si="30"/>
        <v>230</v>
      </c>
    </row>
    <row r="108" spans="9:12" x14ac:dyDescent="0.3">
      <c r="I108" s="2">
        <f t="shared" si="25"/>
        <v>4200</v>
      </c>
      <c r="J108" s="6">
        <f t="shared" si="26"/>
        <v>350</v>
      </c>
      <c r="K108" s="6">
        <f t="shared" si="29"/>
        <v>-120</v>
      </c>
      <c r="L108" s="16">
        <f t="shared" si="30"/>
        <v>230</v>
      </c>
    </row>
    <row r="109" spans="9:12" x14ac:dyDescent="0.3">
      <c r="I109" s="2">
        <f t="shared" si="25"/>
        <v>4210</v>
      </c>
      <c r="J109" s="6">
        <f t="shared" si="26"/>
        <v>360</v>
      </c>
      <c r="K109" s="6">
        <f t="shared" si="29"/>
        <v>-130</v>
      </c>
      <c r="L109" s="16">
        <f t="shared" si="30"/>
        <v>230</v>
      </c>
    </row>
    <row r="110" spans="9:12" x14ac:dyDescent="0.3">
      <c r="I110" s="2">
        <f t="shared" si="25"/>
        <v>4220</v>
      </c>
      <c r="J110" s="6">
        <f t="shared" si="26"/>
        <v>370</v>
      </c>
      <c r="K110" s="6">
        <f t="shared" si="29"/>
        <v>-140</v>
      </c>
      <c r="L110" s="16">
        <f t="shared" si="30"/>
        <v>230</v>
      </c>
    </row>
    <row r="111" spans="9:12" x14ac:dyDescent="0.3">
      <c r="I111" s="2">
        <f t="shared" si="25"/>
        <v>4230</v>
      </c>
      <c r="J111" s="6">
        <f t="shared" si="26"/>
        <v>380</v>
      </c>
      <c r="K111" s="6">
        <f t="shared" si="29"/>
        <v>-150</v>
      </c>
      <c r="L111" s="16">
        <f t="shared" si="30"/>
        <v>230</v>
      </c>
    </row>
    <row r="112" spans="9:12" x14ac:dyDescent="0.3">
      <c r="I112" s="2">
        <f t="shared" si="25"/>
        <v>4240</v>
      </c>
      <c r="J112" s="6">
        <f t="shared" si="26"/>
        <v>390</v>
      </c>
      <c r="K112" s="6">
        <f t="shared" si="29"/>
        <v>-160</v>
      </c>
      <c r="L112" s="16">
        <f t="shared" si="30"/>
        <v>230</v>
      </c>
    </row>
    <row r="113" spans="9:12" x14ac:dyDescent="0.3">
      <c r="I113" s="2">
        <f t="shared" si="25"/>
        <v>4250</v>
      </c>
      <c r="J113" s="6">
        <f t="shared" si="26"/>
        <v>400</v>
      </c>
      <c r="K113" s="6">
        <f t="shared" si="29"/>
        <v>-170</v>
      </c>
      <c r="L113" s="16">
        <f t="shared" si="30"/>
        <v>230</v>
      </c>
    </row>
    <row r="114" spans="9:12" x14ac:dyDescent="0.3">
      <c r="I114" s="2">
        <f t="shared" si="25"/>
        <v>4260</v>
      </c>
      <c r="J114" s="6">
        <f t="shared" si="26"/>
        <v>410</v>
      </c>
      <c r="K114" s="6">
        <f t="shared" si="29"/>
        <v>-180</v>
      </c>
      <c r="L114" s="16">
        <f t="shared" si="30"/>
        <v>230</v>
      </c>
    </row>
    <row r="115" spans="9:12" x14ac:dyDescent="0.3">
      <c r="I115" s="2">
        <f t="shared" si="25"/>
        <v>4270</v>
      </c>
      <c r="J115" s="6">
        <f t="shared" si="26"/>
        <v>420</v>
      </c>
      <c r="K115" s="6">
        <f t="shared" si="29"/>
        <v>-190</v>
      </c>
      <c r="L115" s="16">
        <f t="shared" si="30"/>
        <v>230</v>
      </c>
    </row>
    <row r="116" spans="9:12" x14ac:dyDescent="0.3">
      <c r="I116" s="2">
        <f t="shared" si="25"/>
        <v>4280</v>
      </c>
      <c r="J116" s="6">
        <f t="shared" si="26"/>
        <v>430</v>
      </c>
      <c r="K116" s="6">
        <f t="shared" si="29"/>
        <v>-200</v>
      </c>
      <c r="L116" s="16">
        <f t="shared" si="30"/>
        <v>230</v>
      </c>
    </row>
    <row r="117" spans="9:12" x14ac:dyDescent="0.3">
      <c r="I117" s="2">
        <f t="shared" si="25"/>
        <v>4290</v>
      </c>
      <c r="J117" s="6">
        <f t="shared" si="26"/>
        <v>440</v>
      </c>
      <c r="K117" s="6">
        <f t="shared" si="29"/>
        <v>-210</v>
      </c>
      <c r="L117" s="16">
        <f t="shared" si="30"/>
        <v>230</v>
      </c>
    </row>
    <row r="118" spans="9:12" x14ac:dyDescent="0.3">
      <c r="I118" s="2">
        <f t="shared" si="25"/>
        <v>4300</v>
      </c>
      <c r="J118" s="6">
        <f t="shared" si="26"/>
        <v>450</v>
      </c>
      <c r="K118" s="6">
        <f t="shared" si="29"/>
        <v>-220</v>
      </c>
      <c r="L118" s="16">
        <f t="shared" si="30"/>
        <v>230</v>
      </c>
    </row>
    <row r="119" spans="9:12" x14ac:dyDescent="0.3">
      <c r="I119" s="2">
        <f t="shared" si="25"/>
        <v>4310</v>
      </c>
      <c r="J119" s="6">
        <f t="shared" si="26"/>
        <v>460</v>
      </c>
      <c r="K119" s="6">
        <f t="shared" si="29"/>
        <v>-230</v>
      </c>
      <c r="L119" s="16">
        <f t="shared" si="30"/>
        <v>230</v>
      </c>
    </row>
    <row r="120" spans="9:12" x14ac:dyDescent="0.3">
      <c r="I120" s="2">
        <f t="shared" si="25"/>
        <v>4320</v>
      </c>
      <c r="J120" s="6">
        <f t="shared" si="26"/>
        <v>470</v>
      </c>
      <c r="K120" s="6">
        <f t="shared" si="29"/>
        <v>-240</v>
      </c>
      <c r="L120" s="16">
        <f t="shared" si="30"/>
        <v>230</v>
      </c>
    </row>
    <row r="121" spans="9:12" x14ac:dyDescent="0.3">
      <c r="I121" s="2">
        <f t="shared" si="25"/>
        <v>4330</v>
      </c>
      <c r="J121" s="6">
        <f t="shared" si="26"/>
        <v>480</v>
      </c>
      <c r="K121" s="6">
        <f t="shared" si="29"/>
        <v>-250</v>
      </c>
      <c r="L121" s="16">
        <f t="shared" si="30"/>
        <v>230</v>
      </c>
    </row>
    <row r="122" spans="9:12" x14ac:dyDescent="0.3">
      <c r="I122" s="2">
        <f t="shared" si="25"/>
        <v>4340</v>
      </c>
      <c r="J122" s="6">
        <f t="shared" si="26"/>
        <v>490</v>
      </c>
      <c r="K122" s="6">
        <f t="shared" si="29"/>
        <v>-260</v>
      </c>
      <c r="L122" s="16">
        <f t="shared" si="30"/>
        <v>230</v>
      </c>
    </row>
    <row r="123" spans="9:12" x14ac:dyDescent="0.3">
      <c r="I123" s="2">
        <f t="shared" si="25"/>
        <v>4350</v>
      </c>
      <c r="J123" s="6">
        <f t="shared" si="26"/>
        <v>500</v>
      </c>
      <c r="K123" s="6">
        <f t="shared" si="29"/>
        <v>-270</v>
      </c>
      <c r="L123" s="16">
        <f t="shared" si="30"/>
        <v>230</v>
      </c>
    </row>
    <row r="124" spans="9:12" x14ac:dyDescent="0.3">
      <c r="I124" s="2">
        <f t="shared" si="25"/>
        <v>4360</v>
      </c>
      <c r="J124" s="6">
        <f t="shared" si="26"/>
        <v>510</v>
      </c>
      <c r="K124" s="6">
        <f t="shared" si="29"/>
        <v>-280</v>
      </c>
      <c r="L124" s="16">
        <f t="shared" si="30"/>
        <v>230</v>
      </c>
    </row>
    <row r="125" spans="9:12" x14ac:dyDescent="0.3">
      <c r="I125" s="2">
        <f t="shared" si="25"/>
        <v>4370</v>
      </c>
      <c r="J125" s="6">
        <f t="shared" si="26"/>
        <v>520</v>
      </c>
      <c r="K125" s="6">
        <f t="shared" si="29"/>
        <v>-290</v>
      </c>
      <c r="L125" s="16">
        <f t="shared" si="30"/>
        <v>230</v>
      </c>
    </row>
    <row r="126" spans="9:12" x14ac:dyDescent="0.3">
      <c r="I126" s="2">
        <f t="shared" si="25"/>
        <v>4380</v>
      </c>
      <c r="J126" s="6">
        <f t="shared" si="26"/>
        <v>530</v>
      </c>
      <c r="K126" s="6">
        <f t="shared" si="29"/>
        <v>-300</v>
      </c>
      <c r="L126" s="16">
        <f t="shared" si="30"/>
        <v>230</v>
      </c>
    </row>
    <row r="127" spans="9:12" x14ac:dyDescent="0.3">
      <c r="I127" s="2">
        <f t="shared" si="25"/>
        <v>4390</v>
      </c>
      <c r="J127" s="6">
        <f t="shared" si="26"/>
        <v>540</v>
      </c>
      <c r="K127" s="6">
        <f t="shared" si="29"/>
        <v>-310</v>
      </c>
      <c r="L127" s="16">
        <f t="shared" si="30"/>
        <v>230</v>
      </c>
    </row>
    <row r="128" spans="9:12" x14ac:dyDescent="0.3">
      <c r="I128" s="2">
        <f t="shared" si="25"/>
        <v>4400</v>
      </c>
      <c r="J128" s="6">
        <f t="shared" si="26"/>
        <v>550</v>
      </c>
      <c r="K128" s="6">
        <f t="shared" si="29"/>
        <v>-320</v>
      </c>
      <c r="L128" s="16">
        <f t="shared" si="30"/>
        <v>230</v>
      </c>
    </row>
  </sheetData>
  <sheetProtection algorithmName="SHA-512" hashValue="itAGD2dQ+/u2VmxBKeaUMCT1+aHaXnOPnQWVvraI1izUmGE/PYx//moMAQbpkdk0cQSw8moMAUglAhJup0OsTg==" saltValue="PuJtBkXrbO3cyB1uYfBjBA==" spinCount="100000" sheet="1" objects="1" scenarios="1"/>
  <mergeCells count="8">
    <mergeCell ref="I10:L10"/>
    <mergeCell ref="F6:H6"/>
    <mergeCell ref="F7:H7"/>
    <mergeCell ref="E1:H1"/>
    <mergeCell ref="F2:H2"/>
    <mergeCell ref="F3:H3"/>
    <mergeCell ref="F4:H4"/>
    <mergeCell ref="F5:I5"/>
  </mergeCells>
  <conditionalFormatting sqref="D12:E54">
    <cfRule type="cellIs" dxfId="107" priority="11" operator="lessThan">
      <formula>$M$9</formula>
    </cfRule>
    <cfRule type="cellIs" dxfId="106" priority="12" operator="greaterThan">
      <formula>0</formula>
    </cfRule>
  </conditionalFormatting>
  <conditionalFormatting sqref="F12:F54">
    <cfRule type="cellIs" dxfId="105" priority="5" operator="lessThan">
      <formula>0</formula>
    </cfRule>
    <cfRule type="cellIs" dxfId="104" priority="6" operator="greaterThan">
      <formula>0</formula>
    </cfRule>
  </conditionalFormatting>
  <conditionalFormatting sqref="J12:K128">
    <cfRule type="cellIs" dxfId="103" priority="3" operator="lessThan">
      <formula>$M$9</formula>
    </cfRule>
    <cfRule type="cellIs" dxfId="102" priority="4" operator="greaterThan">
      <formula>0</formula>
    </cfRule>
  </conditionalFormatting>
  <conditionalFormatting sqref="L12:L128">
    <cfRule type="cellIs" dxfId="101" priority="1" operator="lessThan">
      <formula>0</formula>
    </cfRule>
    <cfRule type="cellIs" dxfId="100" priority="2" operator="greaterThan">
      <formula>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C89FB-E3FE-4C40-BD28-3E9C60026D58}">
  <sheetPr codeName="Sheet5"/>
  <dimension ref="B1:P207"/>
  <sheetViews>
    <sheetView topLeftCell="F1" zoomScale="107" workbookViewId="0">
      <selection activeCell="Q10" sqref="Q10"/>
    </sheetView>
  </sheetViews>
  <sheetFormatPr defaultRowHeight="14.4" x14ac:dyDescent="0.3"/>
  <cols>
    <col min="7" max="7" width="11.5546875" bestFit="1" customWidth="1"/>
    <col min="8" max="8" width="11.77734375" bestFit="1" customWidth="1"/>
    <col min="9" max="9" width="12.6640625" bestFit="1" customWidth="1"/>
  </cols>
  <sheetData>
    <row r="1" spans="2:16" ht="15" thickBot="1" x14ac:dyDescent="0.35"/>
    <row r="2" spans="2:16" x14ac:dyDescent="0.3">
      <c r="B2" s="96" t="s">
        <v>40</v>
      </c>
      <c r="C2" s="97"/>
      <c r="D2" s="97"/>
      <c r="E2" s="97"/>
      <c r="F2" s="98"/>
      <c r="G2" s="1" t="s">
        <v>41</v>
      </c>
      <c r="H2" s="1" t="s">
        <v>42</v>
      </c>
      <c r="M2" s="51" t="s">
        <v>45</v>
      </c>
      <c r="N2" s="52"/>
      <c r="O2" s="52"/>
      <c r="P2" s="53"/>
    </row>
    <row r="3" spans="2:16" x14ac:dyDescent="0.3">
      <c r="B3" s="99"/>
      <c r="C3" s="100"/>
      <c r="D3" s="100"/>
      <c r="E3" s="100"/>
      <c r="F3" s="101"/>
      <c r="G3" s="19">
        <v>4000</v>
      </c>
      <c r="H3" s="19">
        <v>143.80000000000001</v>
      </c>
      <c r="M3" s="105" t="s">
        <v>46</v>
      </c>
      <c r="N3" s="106"/>
      <c r="O3" s="106"/>
      <c r="P3" s="107"/>
    </row>
    <row r="4" spans="2:16" x14ac:dyDescent="0.3">
      <c r="B4" s="99"/>
      <c r="C4" s="100"/>
      <c r="D4" s="100"/>
      <c r="E4" s="100"/>
      <c r="F4" s="101"/>
      <c r="G4" s="1" t="s">
        <v>4</v>
      </c>
      <c r="H4" s="17" t="s">
        <v>43</v>
      </c>
      <c r="I4" s="1" t="s">
        <v>44</v>
      </c>
      <c r="J4" s="1" t="s">
        <v>37</v>
      </c>
      <c r="M4" s="105"/>
      <c r="N4" s="106"/>
      <c r="O4" s="106"/>
      <c r="P4" s="107"/>
    </row>
    <row r="5" spans="2:16" x14ac:dyDescent="0.3">
      <c r="B5" s="99"/>
      <c r="C5" s="100"/>
      <c r="D5" s="100"/>
      <c r="E5" s="100"/>
      <c r="F5" s="101"/>
      <c r="G5" s="19">
        <f t="shared" ref="G5:G53" si="0">G6-10</f>
        <v>3000</v>
      </c>
      <c r="H5" s="6">
        <f t="shared" ref="H5:H68" si="1">MAX($G$3-G5,0)-$H$3</f>
        <v>856.2</v>
      </c>
      <c r="I5" s="6">
        <f t="shared" ref="I5:I68" si="2">G5-$G$3</f>
        <v>-1000</v>
      </c>
      <c r="J5" s="6">
        <f t="shared" ref="J5:J54" si="3">H5+I5</f>
        <v>-143.79999999999995</v>
      </c>
      <c r="M5" s="105"/>
      <c r="N5" s="106"/>
      <c r="O5" s="106"/>
      <c r="P5" s="107"/>
    </row>
    <row r="6" spans="2:16" x14ac:dyDescent="0.3">
      <c r="B6" s="99"/>
      <c r="C6" s="100"/>
      <c r="D6" s="100"/>
      <c r="E6" s="100"/>
      <c r="F6" s="101"/>
      <c r="G6" s="19">
        <f t="shared" si="0"/>
        <v>3010</v>
      </c>
      <c r="H6" s="6">
        <f t="shared" si="1"/>
        <v>846.2</v>
      </c>
      <c r="I6" s="6">
        <f t="shared" si="2"/>
        <v>-990</v>
      </c>
      <c r="J6" s="6">
        <f t="shared" si="3"/>
        <v>-143.79999999999995</v>
      </c>
      <c r="M6" s="105"/>
      <c r="N6" s="106"/>
      <c r="O6" s="106"/>
      <c r="P6" s="107"/>
    </row>
    <row r="7" spans="2:16" ht="15" thickBot="1" x14ac:dyDescent="0.35">
      <c r="B7" s="99"/>
      <c r="C7" s="100"/>
      <c r="D7" s="100"/>
      <c r="E7" s="100"/>
      <c r="F7" s="101"/>
      <c r="G7" s="19">
        <f t="shared" si="0"/>
        <v>3020</v>
      </c>
      <c r="H7" s="6">
        <f t="shared" si="1"/>
        <v>836.2</v>
      </c>
      <c r="I7" s="6">
        <f t="shared" si="2"/>
        <v>-980</v>
      </c>
      <c r="J7" s="6">
        <f t="shared" si="3"/>
        <v>-143.79999999999995</v>
      </c>
      <c r="M7" s="108"/>
      <c r="N7" s="109"/>
      <c r="O7" s="109"/>
      <c r="P7" s="110"/>
    </row>
    <row r="8" spans="2:16" ht="15" thickBot="1" x14ac:dyDescent="0.35">
      <c r="B8" s="102"/>
      <c r="C8" s="103"/>
      <c r="D8" s="103"/>
      <c r="E8" s="103"/>
      <c r="F8" s="104"/>
      <c r="G8" s="19">
        <f t="shared" si="0"/>
        <v>3030</v>
      </c>
      <c r="H8" s="6">
        <f t="shared" si="1"/>
        <v>826.2</v>
      </c>
      <c r="I8" s="6">
        <f t="shared" si="2"/>
        <v>-970</v>
      </c>
      <c r="J8" s="6">
        <f t="shared" si="3"/>
        <v>-143.79999999999995</v>
      </c>
    </row>
    <row r="9" spans="2:16" x14ac:dyDescent="0.3">
      <c r="G9" s="19">
        <f t="shared" si="0"/>
        <v>3040</v>
      </c>
      <c r="H9" s="6">
        <f t="shared" si="1"/>
        <v>816.2</v>
      </c>
      <c r="I9" s="6">
        <f t="shared" si="2"/>
        <v>-960</v>
      </c>
      <c r="J9" s="6">
        <f t="shared" si="3"/>
        <v>-143.79999999999995</v>
      </c>
      <c r="M9" s="90" t="s">
        <v>48</v>
      </c>
      <c r="N9" s="91"/>
      <c r="O9" s="91"/>
      <c r="P9" s="92"/>
    </row>
    <row r="10" spans="2:16" ht="15" thickBot="1" x14ac:dyDescent="0.35">
      <c r="G10" s="19">
        <f t="shared" si="0"/>
        <v>3050</v>
      </c>
      <c r="H10" s="6">
        <f t="shared" si="1"/>
        <v>806.2</v>
      </c>
      <c r="I10" s="6">
        <f t="shared" si="2"/>
        <v>-950</v>
      </c>
      <c r="J10" s="6">
        <f t="shared" si="3"/>
        <v>-143.79999999999995</v>
      </c>
      <c r="M10" s="93"/>
      <c r="N10" s="94"/>
      <c r="O10" s="94"/>
      <c r="P10" s="95"/>
    </row>
    <row r="11" spans="2:16" ht="15" thickBot="1" x14ac:dyDescent="0.35">
      <c r="G11" s="19">
        <f t="shared" si="0"/>
        <v>3060</v>
      </c>
      <c r="H11" s="6">
        <f t="shared" si="1"/>
        <v>796.2</v>
      </c>
      <c r="I11" s="6">
        <f t="shared" si="2"/>
        <v>-940</v>
      </c>
      <c r="J11" s="6">
        <f t="shared" si="3"/>
        <v>-143.79999999999995</v>
      </c>
    </row>
    <row r="12" spans="2:16" x14ac:dyDescent="0.3">
      <c r="G12" s="19">
        <f t="shared" si="0"/>
        <v>3070</v>
      </c>
      <c r="H12" s="6">
        <f t="shared" si="1"/>
        <v>786.2</v>
      </c>
      <c r="I12" s="6">
        <f t="shared" si="2"/>
        <v>-930</v>
      </c>
      <c r="J12" s="6">
        <f t="shared" si="3"/>
        <v>-143.79999999999995</v>
      </c>
      <c r="M12" s="90" t="s">
        <v>49</v>
      </c>
      <c r="N12" s="91"/>
      <c r="O12" s="91"/>
      <c r="P12" s="92"/>
    </row>
    <row r="13" spans="2:16" ht="15" thickBot="1" x14ac:dyDescent="0.35">
      <c r="G13" s="19">
        <f t="shared" si="0"/>
        <v>3080</v>
      </c>
      <c r="H13" s="6">
        <f t="shared" si="1"/>
        <v>776.2</v>
      </c>
      <c r="I13" s="6">
        <f t="shared" si="2"/>
        <v>-920</v>
      </c>
      <c r="J13" s="6">
        <f t="shared" si="3"/>
        <v>-143.79999999999995</v>
      </c>
      <c r="M13" s="93"/>
      <c r="N13" s="94"/>
      <c r="O13" s="94"/>
      <c r="P13" s="95"/>
    </row>
    <row r="14" spans="2:16" x14ac:dyDescent="0.3">
      <c r="G14" s="19">
        <f t="shared" si="0"/>
        <v>3090</v>
      </c>
      <c r="H14" s="6">
        <f t="shared" si="1"/>
        <v>766.2</v>
      </c>
      <c r="I14" s="6">
        <f t="shared" si="2"/>
        <v>-910</v>
      </c>
      <c r="J14" s="6">
        <f t="shared" si="3"/>
        <v>-143.79999999999995</v>
      </c>
    </row>
    <row r="15" spans="2:16" x14ac:dyDescent="0.3">
      <c r="G15" s="19">
        <f t="shared" si="0"/>
        <v>3100</v>
      </c>
      <c r="H15" s="6">
        <f t="shared" si="1"/>
        <v>756.2</v>
      </c>
      <c r="I15" s="6">
        <f t="shared" si="2"/>
        <v>-900</v>
      </c>
      <c r="J15" s="6">
        <f t="shared" si="3"/>
        <v>-143.79999999999995</v>
      </c>
    </row>
    <row r="16" spans="2:16" x14ac:dyDescent="0.3">
      <c r="G16" s="19">
        <f t="shared" si="0"/>
        <v>3110</v>
      </c>
      <c r="H16" s="6">
        <f t="shared" si="1"/>
        <v>746.2</v>
      </c>
      <c r="I16" s="6">
        <f t="shared" si="2"/>
        <v>-890</v>
      </c>
      <c r="J16" s="6">
        <f t="shared" si="3"/>
        <v>-143.79999999999995</v>
      </c>
    </row>
    <row r="17" spans="7:10" x14ac:dyDescent="0.3">
      <c r="G17" s="19">
        <f t="shared" si="0"/>
        <v>3120</v>
      </c>
      <c r="H17" s="6">
        <f t="shared" si="1"/>
        <v>736.2</v>
      </c>
      <c r="I17" s="6">
        <f t="shared" si="2"/>
        <v>-880</v>
      </c>
      <c r="J17" s="6">
        <f t="shared" si="3"/>
        <v>-143.79999999999995</v>
      </c>
    </row>
    <row r="18" spans="7:10" x14ac:dyDescent="0.3">
      <c r="G18" s="19">
        <f t="shared" si="0"/>
        <v>3130</v>
      </c>
      <c r="H18" s="6">
        <f t="shared" si="1"/>
        <v>726.2</v>
      </c>
      <c r="I18" s="6">
        <f t="shared" si="2"/>
        <v>-870</v>
      </c>
      <c r="J18" s="6">
        <f t="shared" si="3"/>
        <v>-143.79999999999995</v>
      </c>
    </row>
    <row r="19" spans="7:10" x14ac:dyDescent="0.3">
      <c r="G19" s="19">
        <f t="shared" si="0"/>
        <v>3140</v>
      </c>
      <c r="H19" s="6">
        <f t="shared" si="1"/>
        <v>716.2</v>
      </c>
      <c r="I19" s="6">
        <f t="shared" si="2"/>
        <v>-860</v>
      </c>
      <c r="J19" s="6">
        <f t="shared" si="3"/>
        <v>-143.79999999999995</v>
      </c>
    </row>
    <row r="20" spans="7:10" ht="14.4" customHeight="1" x14ac:dyDescent="0.3">
      <c r="G20" s="19">
        <f t="shared" si="0"/>
        <v>3150</v>
      </c>
      <c r="H20" s="6">
        <f t="shared" si="1"/>
        <v>706.2</v>
      </c>
      <c r="I20" s="6">
        <f t="shared" si="2"/>
        <v>-850</v>
      </c>
      <c r="J20" s="6">
        <f t="shared" si="3"/>
        <v>-143.79999999999995</v>
      </c>
    </row>
    <row r="21" spans="7:10" x14ac:dyDescent="0.3">
      <c r="G21" s="19">
        <f t="shared" si="0"/>
        <v>3160</v>
      </c>
      <c r="H21" s="6">
        <f t="shared" si="1"/>
        <v>696.2</v>
      </c>
      <c r="I21" s="6">
        <f t="shared" si="2"/>
        <v>-840</v>
      </c>
      <c r="J21" s="6">
        <f t="shared" si="3"/>
        <v>-143.79999999999995</v>
      </c>
    </row>
    <row r="22" spans="7:10" x14ac:dyDescent="0.3">
      <c r="G22" s="19">
        <f t="shared" si="0"/>
        <v>3170</v>
      </c>
      <c r="H22" s="6">
        <f t="shared" si="1"/>
        <v>686.2</v>
      </c>
      <c r="I22" s="6">
        <f t="shared" si="2"/>
        <v>-830</v>
      </c>
      <c r="J22" s="6">
        <f t="shared" si="3"/>
        <v>-143.79999999999995</v>
      </c>
    </row>
    <row r="23" spans="7:10" x14ac:dyDescent="0.3">
      <c r="G23" s="19">
        <f t="shared" si="0"/>
        <v>3180</v>
      </c>
      <c r="H23" s="6">
        <f t="shared" si="1"/>
        <v>676.2</v>
      </c>
      <c r="I23" s="6">
        <f t="shared" si="2"/>
        <v>-820</v>
      </c>
      <c r="J23" s="6">
        <f t="shared" si="3"/>
        <v>-143.79999999999995</v>
      </c>
    </row>
    <row r="24" spans="7:10" x14ac:dyDescent="0.3">
      <c r="G24" s="19">
        <f t="shared" si="0"/>
        <v>3190</v>
      </c>
      <c r="H24" s="6">
        <f t="shared" si="1"/>
        <v>666.2</v>
      </c>
      <c r="I24" s="6">
        <f t="shared" si="2"/>
        <v>-810</v>
      </c>
      <c r="J24" s="6">
        <f t="shared" si="3"/>
        <v>-143.79999999999995</v>
      </c>
    </row>
    <row r="25" spans="7:10" x14ac:dyDescent="0.3">
      <c r="G25" s="19">
        <f t="shared" si="0"/>
        <v>3200</v>
      </c>
      <c r="H25" s="6">
        <f t="shared" si="1"/>
        <v>656.2</v>
      </c>
      <c r="I25" s="6">
        <f t="shared" si="2"/>
        <v>-800</v>
      </c>
      <c r="J25" s="6">
        <f t="shared" si="3"/>
        <v>-143.79999999999995</v>
      </c>
    </row>
    <row r="26" spans="7:10" x14ac:dyDescent="0.3">
      <c r="G26" s="19">
        <f t="shared" si="0"/>
        <v>3210</v>
      </c>
      <c r="H26" s="6">
        <f t="shared" si="1"/>
        <v>646.20000000000005</v>
      </c>
      <c r="I26" s="6">
        <f t="shared" si="2"/>
        <v>-790</v>
      </c>
      <c r="J26" s="6">
        <f t="shared" si="3"/>
        <v>-143.79999999999995</v>
      </c>
    </row>
    <row r="27" spans="7:10" x14ac:dyDescent="0.3">
      <c r="G27" s="19">
        <f t="shared" si="0"/>
        <v>3220</v>
      </c>
      <c r="H27" s="6">
        <f t="shared" si="1"/>
        <v>636.20000000000005</v>
      </c>
      <c r="I27" s="6">
        <f t="shared" si="2"/>
        <v>-780</v>
      </c>
      <c r="J27" s="6">
        <f t="shared" si="3"/>
        <v>-143.79999999999995</v>
      </c>
    </row>
    <row r="28" spans="7:10" x14ac:dyDescent="0.3">
      <c r="G28" s="19">
        <f t="shared" si="0"/>
        <v>3230</v>
      </c>
      <c r="H28" s="6">
        <f t="shared" si="1"/>
        <v>626.20000000000005</v>
      </c>
      <c r="I28" s="6">
        <f t="shared" si="2"/>
        <v>-770</v>
      </c>
      <c r="J28" s="6">
        <f t="shared" si="3"/>
        <v>-143.79999999999995</v>
      </c>
    </row>
    <row r="29" spans="7:10" x14ac:dyDescent="0.3">
      <c r="G29" s="19">
        <f t="shared" si="0"/>
        <v>3240</v>
      </c>
      <c r="H29" s="6">
        <f t="shared" si="1"/>
        <v>616.20000000000005</v>
      </c>
      <c r="I29" s="6">
        <f t="shared" si="2"/>
        <v>-760</v>
      </c>
      <c r="J29" s="6">
        <f t="shared" si="3"/>
        <v>-143.79999999999995</v>
      </c>
    </row>
    <row r="30" spans="7:10" x14ac:dyDescent="0.3">
      <c r="G30" s="19">
        <f t="shared" si="0"/>
        <v>3250</v>
      </c>
      <c r="H30" s="6">
        <f t="shared" si="1"/>
        <v>606.20000000000005</v>
      </c>
      <c r="I30" s="6">
        <f t="shared" si="2"/>
        <v>-750</v>
      </c>
      <c r="J30" s="6">
        <f t="shared" si="3"/>
        <v>-143.79999999999995</v>
      </c>
    </row>
    <row r="31" spans="7:10" x14ac:dyDescent="0.3">
      <c r="G31" s="19">
        <f t="shared" si="0"/>
        <v>3260</v>
      </c>
      <c r="H31" s="6">
        <f t="shared" si="1"/>
        <v>596.20000000000005</v>
      </c>
      <c r="I31" s="6">
        <f t="shared" si="2"/>
        <v>-740</v>
      </c>
      <c r="J31" s="6">
        <f t="shared" si="3"/>
        <v>-143.79999999999995</v>
      </c>
    </row>
    <row r="32" spans="7:10" x14ac:dyDescent="0.3">
      <c r="G32" s="19">
        <f t="shared" si="0"/>
        <v>3270</v>
      </c>
      <c r="H32" s="6">
        <f t="shared" si="1"/>
        <v>586.20000000000005</v>
      </c>
      <c r="I32" s="6">
        <f t="shared" si="2"/>
        <v>-730</v>
      </c>
      <c r="J32" s="6">
        <f t="shared" si="3"/>
        <v>-143.79999999999995</v>
      </c>
    </row>
    <row r="33" spans="7:10" x14ac:dyDescent="0.3">
      <c r="G33" s="19">
        <f t="shared" si="0"/>
        <v>3280</v>
      </c>
      <c r="H33" s="6">
        <f t="shared" si="1"/>
        <v>576.20000000000005</v>
      </c>
      <c r="I33" s="6">
        <f t="shared" si="2"/>
        <v>-720</v>
      </c>
      <c r="J33" s="6">
        <f t="shared" si="3"/>
        <v>-143.79999999999995</v>
      </c>
    </row>
    <row r="34" spans="7:10" x14ac:dyDescent="0.3">
      <c r="G34" s="19">
        <f t="shared" si="0"/>
        <v>3290</v>
      </c>
      <c r="H34" s="6">
        <f t="shared" si="1"/>
        <v>566.20000000000005</v>
      </c>
      <c r="I34" s="6">
        <f t="shared" si="2"/>
        <v>-710</v>
      </c>
      <c r="J34" s="6">
        <f t="shared" si="3"/>
        <v>-143.79999999999995</v>
      </c>
    </row>
    <row r="35" spans="7:10" x14ac:dyDescent="0.3">
      <c r="G35" s="19">
        <f t="shared" si="0"/>
        <v>3300</v>
      </c>
      <c r="H35" s="6">
        <f t="shared" si="1"/>
        <v>556.20000000000005</v>
      </c>
      <c r="I35" s="6">
        <f t="shared" si="2"/>
        <v>-700</v>
      </c>
      <c r="J35" s="6">
        <f t="shared" si="3"/>
        <v>-143.79999999999995</v>
      </c>
    </row>
    <row r="36" spans="7:10" x14ac:dyDescent="0.3">
      <c r="G36" s="19">
        <f t="shared" si="0"/>
        <v>3310</v>
      </c>
      <c r="H36" s="6">
        <f t="shared" si="1"/>
        <v>546.20000000000005</v>
      </c>
      <c r="I36" s="6">
        <f t="shared" si="2"/>
        <v>-690</v>
      </c>
      <c r="J36" s="6">
        <f t="shared" si="3"/>
        <v>-143.79999999999995</v>
      </c>
    </row>
    <row r="37" spans="7:10" x14ac:dyDescent="0.3">
      <c r="G37" s="19">
        <f t="shared" si="0"/>
        <v>3320</v>
      </c>
      <c r="H37" s="6">
        <f t="shared" si="1"/>
        <v>536.20000000000005</v>
      </c>
      <c r="I37" s="6">
        <f t="shared" si="2"/>
        <v>-680</v>
      </c>
      <c r="J37" s="6">
        <f t="shared" si="3"/>
        <v>-143.79999999999995</v>
      </c>
    </row>
    <row r="38" spans="7:10" x14ac:dyDescent="0.3">
      <c r="G38" s="19">
        <f t="shared" si="0"/>
        <v>3330</v>
      </c>
      <c r="H38" s="6">
        <f t="shared" si="1"/>
        <v>526.20000000000005</v>
      </c>
      <c r="I38" s="6">
        <f t="shared" si="2"/>
        <v>-670</v>
      </c>
      <c r="J38" s="6">
        <f t="shared" si="3"/>
        <v>-143.79999999999995</v>
      </c>
    </row>
    <row r="39" spans="7:10" x14ac:dyDescent="0.3">
      <c r="G39" s="19">
        <f t="shared" si="0"/>
        <v>3340</v>
      </c>
      <c r="H39" s="6">
        <f t="shared" si="1"/>
        <v>516.20000000000005</v>
      </c>
      <c r="I39" s="6">
        <f t="shared" si="2"/>
        <v>-660</v>
      </c>
      <c r="J39" s="6">
        <f t="shared" si="3"/>
        <v>-143.79999999999995</v>
      </c>
    </row>
    <row r="40" spans="7:10" x14ac:dyDescent="0.3">
      <c r="G40" s="19">
        <f t="shared" si="0"/>
        <v>3350</v>
      </c>
      <c r="H40" s="6">
        <f t="shared" si="1"/>
        <v>506.2</v>
      </c>
      <c r="I40" s="6">
        <f t="shared" si="2"/>
        <v>-650</v>
      </c>
      <c r="J40" s="6">
        <f t="shared" si="3"/>
        <v>-143.80000000000001</v>
      </c>
    </row>
    <row r="41" spans="7:10" x14ac:dyDescent="0.3">
      <c r="G41" s="19">
        <f t="shared" si="0"/>
        <v>3360</v>
      </c>
      <c r="H41" s="6">
        <f t="shared" si="1"/>
        <v>496.2</v>
      </c>
      <c r="I41" s="6">
        <f t="shared" si="2"/>
        <v>-640</v>
      </c>
      <c r="J41" s="6">
        <f t="shared" si="3"/>
        <v>-143.80000000000001</v>
      </c>
    </row>
    <row r="42" spans="7:10" x14ac:dyDescent="0.3">
      <c r="G42" s="19">
        <f t="shared" si="0"/>
        <v>3370</v>
      </c>
      <c r="H42" s="6">
        <f t="shared" si="1"/>
        <v>486.2</v>
      </c>
      <c r="I42" s="6">
        <f t="shared" si="2"/>
        <v>-630</v>
      </c>
      <c r="J42" s="6">
        <f t="shared" si="3"/>
        <v>-143.80000000000001</v>
      </c>
    </row>
    <row r="43" spans="7:10" x14ac:dyDescent="0.3">
      <c r="G43" s="19">
        <f t="shared" si="0"/>
        <v>3380</v>
      </c>
      <c r="H43" s="6">
        <f t="shared" si="1"/>
        <v>476.2</v>
      </c>
      <c r="I43" s="6">
        <f t="shared" si="2"/>
        <v>-620</v>
      </c>
      <c r="J43" s="6">
        <f t="shared" si="3"/>
        <v>-143.80000000000001</v>
      </c>
    </row>
    <row r="44" spans="7:10" x14ac:dyDescent="0.3">
      <c r="G44" s="19">
        <f t="shared" si="0"/>
        <v>3390</v>
      </c>
      <c r="H44" s="6">
        <f t="shared" si="1"/>
        <v>466.2</v>
      </c>
      <c r="I44" s="6">
        <f t="shared" si="2"/>
        <v>-610</v>
      </c>
      <c r="J44" s="6">
        <f t="shared" si="3"/>
        <v>-143.80000000000001</v>
      </c>
    </row>
    <row r="45" spans="7:10" x14ac:dyDescent="0.3">
      <c r="G45" s="19">
        <f t="shared" si="0"/>
        <v>3400</v>
      </c>
      <c r="H45" s="6">
        <f t="shared" si="1"/>
        <v>456.2</v>
      </c>
      <c r="I45" s="6">
        <f t="shared" si="2"/>
        <v>-600</v>
      </c>
      <c r="J45" s="6">
        <f t="shared" si="3"/>
        <v>-143.80000000000001</v>
      </c>
    </row>
    <row r="46" spans="7:10" x14ac:dyDescent="0.3">
      <c r="G46" s="19">
        <f t="shared" si="0"/>
        <v>3410</v>
      </c>
      <c r="H46" s="6">
        <f t="shared" si="1"/>
        <v>446.2</v>
      </c>
      <c r="I46" s="6">
        <f t="shared" si="2"/>
        <v>-590</v>
      </c>
      <c r="J46" s="6">
        <f t="shared" si="3"/>
        <v>-143.80000000000001</v>
      </c>
    </row>
    <row r="47" spans="7:10" x14ac:dyDescent="0.3">
      <c r="G47" s="19">
        <f t="shared" si="0"/>
        <v>3420</v>
      </c>
      <c r="H47" s="6">
        <f t="shared" si="1"/>
        <v>436.2</v>
      </c>
      <c r="I47" s="6">
        <f t="shared" si="2"/>
        <v>-580</v>
      </c>
      <c r="J47" s="6">
        <f t="shared" si="3"/>
        <v>-143.80000000000001</v>
      </c>
    </row>
    <row r="48" spans="7:10" x14ac:dyDescent="0.3">
      <c r="G48" s="19">
        <f t="shared" si="0"/>
        <v>3430</v>
      </c>
      <c r="H48" s="6">
        <f t="shared" si="1"/>
        <v>426.2</v>
      </c>
      <c r="I48" s="6">
        <f t="shared" si="2"/>
        <v>-570</v>
      </c>
      <c r="J48" s="6">
        <f t="shared" si="3"/>
        <v>-143.80000000000001</v>
      </c>
    </row>
    <row r="49" spans="7:10" x14ac:dyDescent="0.3">
      <c r="G49" s="19">
        <f t="shared" si="0"/>
        <v>3440</v>
      </c>
      <c r="H49" s="6">
        <f t="shared" si="1"/>
        <v>416.2</v>
      </c>
      <c r="I49" s="6">
        <f t="shared" si="2"/>
        <v>-560</v>
      </c>
      <c r="J49" s="6">
        <f t="shared" si="3"/>
        <v>-143.80000000000001</v>
      </c>
    </row>
    <row r="50" spans="7:10" x14ac:dyDescent="0.3">
      <c r="G50" s="19">
        <f t="shared" si="0"/>
        <v>3450</v>
      </c>
      <c r="H50" s="6">
        <f t="shared" si="1"/>
        <v>406.2</v>
      </c>
      <c r="I50" s="6">
        <f t="shared" si="2"/>
        <v>-550</v>
      </c>
      <c r="J50" s="6">
        <f t="shared" si="3"/>
        <v>-143.80000000000001</v>
      </c>
    </row>
    <row r="51" spans="7:10" x14ac:dyDescent="0.3">
      <c r="G51" s="19">
        <f t="shared" si="0"/>
        <v>3460</v>
      </c>
      <c r="H51" s="6">
        <f t="shared" si="1"/>
        <v>396.2</v>
      </c>
      <c r="I51" s="6">
        <f t="shared" si="2"/>
        <v>-540</v>
      </c>
      <c r="J51" s="6">
        <f t="shared" si="3"/>
        <v>-143.80000000000001</v>
      </c>
    </row>
    <row r="52" spans="7:10" x14ac:dyDescent="0.3">
      <c r="G52" s="19">
        <f t="shared" si="0"/>
        <v>3470</v>
      </c>
      <c r="H52" s="6">
        <f t="shared" si="1"/>
        <v>386.2</v>
      </c>
      <c r="I52" s="6">
        <f t="shared" si="2"/>
        <v>-530</v>
      </c>
      <c r="J52" s="6">
        <f t="shared" si="3"/>
        <v>-143.80000000000001</v>
      </c>
    </row>
    <row r="53" spans="7:10" x14ac:dyDescent="0.3">
      <c r="G53" s="19">
        <f t="shared" si="0"/>
        <v>3480</v>
      </c>
      <c r="H53" s="6">
        <f t="shared" si="1"/>
        <v>376.2</v>
      </c>
      <c r="I53" s="6">
        <f t="shared" si="2"/>
        <v>-520</v>
      </c>
      <c r="J53" s="6">
        <f t="shared" si="3"/>
        <v>-143.80000000000001</v>
      </c>
    </row>
    <row r="54" spans="7:10" x14ac:dyDescent="0.3">
      <c r="G54" s="19">
        <f>G55-10</f>
        <v>3490</v>
      </c>
      <c r="H54" s="6">
        <f t="shared" si="1"/>
        <v>366.2</v>
      </c>
      <c r="I54" s="6">
        <f t="shared" si="2"/>
        <v>-510</v>
      </c>
      <c r="J54" s="6">
        <f t="shared" si="3"/>
        <v>-143.80000000000001</v>
      </c>
    </row>
    <row r="55" spans="7:10" x14ac:dyDescent="0.3">
      <c r="G55" s="19">
        <v>3500</v>
      </c>
      <c r="H55" s="6">
        <f t="shared" si="1"/>
        <v>356.2</v>
      </c>
      <c r="I55" s="6">
        <f t="shared" si="2"/>
        <v>-500</v>
      </c>
      <c r="J55" s="6">
        <f>H55+I55</f>
        <v>-143.80000000000001</v>
      </c>
    </row>
    <row r="56" spans="7:10" x14ac:dyDescent="0.3">
      <c r="G56" s="19">
        <f>G55+10</f>
        <v>3510</v>
      </c>
      <c r="H56" s="6">
        <f t="shared" si="1"/>
        <v>346.2</v>
      </c>
      <c r="I56" s="6">
        <f t="shared" si="2"/>
        <v>-490</v>
      </c>
      <c r="J56" s="6">
        <f t="shared" ref="J56:J120" si="4">H56+I56</f>
        <v>-143.80000000000001</v>
      </c>
    </row>
    <row r="57" spans="7:10" x14ac:dyDescent="0.3">
      <c r="G57" s="19">
        <f t="shared" ref="G57:G119" si="5">G56+10</f>
        <v>3520</v>
      </c>
      <c r="H57" s="6">
        <f t="shared" si="1"/>
        <v>336.2</v>
      </c>
      <c r="I57" s="6">
        <f t="shared" si="2"/>
        <v>-480</v>
      </c>
      <c r="J57" s="6">
        <f t="shared" si="4"/>
        <v>-143.80000000000001</v>
      </c>
    </row>
    <row r="58" spans="7:10" x14ac:dyDescent="0.3">
      <c r="G58" s="19">
        <f t="shared" si="5"/>
        <v>3530</v>
      </c>
      <c r="H58" s="6">
        <f t="shared" si="1"/>
        <v>326.2</v>
      </c>
      <c r="I58" s="6">
        <f t="shared" si="2"/>
        <v>-470</v>
      </c>
      <c r="J58" s="6">
        <f t="shared" si="4"/>
        <v>-143.80000000000001</v>
      </c>
    </row>
    <row r="59" spans="7:10" x14ac:dyDescent="0.3">
      <c r="G59" s="19">
        <f t="shared" si="5"/>
        <v>3540</v>
      </c>
      <c r="H59" s="6">
        <f t="shared" si="1"/>
        <v>316.2</v>
      </c>
      <c r="I59" s="6">
        <f t="shared" si="2"/>
        <v>-460</v>
      </c>
      <c r="J59" s="6">
        <f t="shared" si="4"/>
        <v>-143.80000000000001</v>
      </c>
    </row>
    <row r="60" spans="7:10" x14ac:dyDescent="0.3">
      <c r="G60" s="19">
        <f t="shared" si="5"/>
        <v>3550</v>
      </c>
      <c r="H60" s="6">
        <f t="shared" si="1"/>
        <v>306.2</v>
      </c>
      <c r="I60" s="6">
        <f t="shared" si="2"/>
        <v>-450</v>
      </c>
      <c r="J60" s="6">
        <f t="shared" si="4"/>
        <v>-143.80000000000001</v>
      </c>
    </row>
    <row r="61" spans="7:10" x14ac:dyDescent="0.3">
      <c r="G61" s="19">
        <f t="shared" si="5"/>
        <v>3560</v>
      </c>
      <c r="H61" s="6">
        <f t="shared" si="1"/>
        <v>296.2</v>
      </c>
      <c r="I61" s="6">
        <f t="shared" si="2"/>
        <v>-440</v>
      </c>
      <c r="J61" s="6">
        <f t="shared" si="4"/>
        <v>-143.80000000000001</v>
      </c>
    </row>
    <row r="62" spans="7:10" x14ac:dyDescent="0.3">
      <c r="G62" s="19">
        <f t="shared" si="5"/>
        <v>3570</v>
      </c>
      <c r="H62" s="6">
        <f t="shared" si="1"/>
        <v>286.2</v>
      </c>
      <c r="I62" s="6">
        <f t="shared" si="2"/>
        <v>-430</v>
      </c>
      <c r="J62" s="6">
        <f t="shared" si="4"/>
        <v>-143.80000000000001</v>
      </c>
    </row>
    <row r="63" spans="7:10" x14ac:dyDescent="0.3">
      <c r="G63" s="19">
        <f t="shared" si="5"/>
        <v>3580</v>
      </c>
      <c r="H63" s="6">
        <f t="shared" si="1"/>
        <v>276.2</v>
      </c>
      <c r="I63" s="6">
        <f t="shared" si="2"/>
        <v>-420</v>
      </c>
      <c r="J63" s="6">
        <f t="shared" si="4"/>
        <v>-143.80000000000001</v>
      </c>
    </row>
    <row r="64" spans="7:10" x14ac:dyDescent="0.3">
      <c r="G64" s="19">
        <f t="shared" si="5"/>
        <v>3590</v>
      </c>
      <c r="H64" s="6">
        <f t="shared" si="1"/>
        <v>266.2</v>
      </c>
      <c r="I64" s="6">
        <f t="shared" si="2"/>
        <v>-410</v>
      </c>
      <c r="J64" s="6">
        <f t="shared" si="4"/>
        <v>-143.80000000000001</v>
      </c>
    </row>
    <row r="65" spans="7:10" x14ac:dyDescent="0.3">
      <c r="G65" s="19">
        <f t="shared" si="5"/>
        <v>3600</v>
      </c>
      <c r="H65" s="6">
        <f t="shared" si="1"/>
        <v>256.2</v>
      </c>
      <c r="I65" s="6">
        <f t="shared" si="2"/>
        <v>-400</v>
      </c>
      <c r="J65" s="6">
        <f t="shared" si="4"/>
        <v>-143.80000000000001</v>
      </c>
    </row>
    <row r="66" spans="7:10" x14ac:dyDescent="0.3">
      <c r="G66" s="19">
        <f t="shared" si="5"/>
        <v>3610</v>
      </c>
      <c r="H66" s="6">
        <f t="shared" si="1"/>
        <v>246.2</v>
      </c>
      <c r="I66" s="6">
        <f t="shared" si="2"/>
        <v>-390</v>
      </c>
      <c r="J66" s="6">
        <f t="shared" si="4"/>
        <v>-143.80000000000001</v>
      </c>
    </row>
    <row r="67" spans="7:10" x14ac:dyDescent="0.3">
      <c r="G67" s="19">
        <f t="shared" si="5"/>
        <v>3620</v>
      </c>
      <c r="H67" s="6">
        <f t="shared" si="1"/>
        <v>236.2</v>
      </c>
      <c r="I67" s="6">
        <f t="shared" si="2"/>
        <v>-380</v>
      </c>
      <c r="J67" s="6">
        <f t="shared" si="4"/>
        <v>-143.80000000000001</v>
      </c>
    </row>
    <row r="68" spans="7:10" x14ac:dyDescent="0.3">
      <c r="G68" s="19">
        <f t="shared" si="5"/>
        <v>3630</v>
      </c>
      <c r="H68" s="6">
        <f t="shared" si="1"/>
        <v>226.2</v>
      </c>
      <c r="I68" s="6">
        <f t="shared" si="2"/>
        <v>-370</v>
      </c>
      <c r="J68" s="6">
        <f t="shared" si="4"/>
        <v>-143.80000000000001</v>
      </c>
    </row>
    <row r="69" spans="7:10" x14ac:dyDescent="0.3">
      <c r="G69" s="19">
        <f t="shared" si="5"/>
        <v>3640</v>
      </c>
      <c r="H69" s="6">
        <f t="shared" ref="H69:H132" si="6">MAX($G$3-G69,0)-$H$3</f>
        <v>216.2</v>
      </c>
      <c r="I69" s="6">
        <f t="shared" ref="I69:I132" si="7">G69-$G$3</f>
        <v>-360</v>
      </c>
      <c r="J69" s="6">
        <f t="shared" si="4"/>
        <v>-143.80000000000001</v>
      </c>
    </row>
    <row r="70" spans="7:10" x14ac:dyDescent="0.3">
      <c r="G70" s="19">
        <f t="shared" si="5"/>
        <v>3650</v>
      </c>
      <c r="H70" s="6">
        <f t="shared" si="6"/>
        <v>206.2</v>
      </c>
      <c r="I70" s="6">
        <f t="shared" si="7"/>
        <v>-350</v>
      </c>
      <c r="J70" s="6">
        <f t="shared" si="4"/>
        <v>-143.80000000000001</v>
      </c>
    </row>
    <row r="71" spans="7:10" x14ac:dyDescent="0.3">
      <c r="G71" s="19">
        <f t="shared" si="5"/>
        <v>3660</v>
      </c>
      <c r="H71" s="6">
        <f t="shared" si="6"/>
        <v>196.2</v>
      </c>
      <c r="I71" s="6">
        <f t="shared" si="7"/>
        <v>-340</v>
      </c>
      <c r="J71" s="6">
        <f t="shared" si="4"/>
        <v>-143.80000000000001</v>
      </c>
    </row>
    <row r="72" spans="7:10" x14ac:dyDescent="0.3">
      <c r="G72" s="19">
        <f t="shared" si="5"/>
        <v>3670</v>
      </c>
      <c r="H72" s="6">
        <f t="shared" si="6"/>
        <v>186.2</v>
      </c>
      <c r="I72" s="6">
        <f t="shared" si="7"/>
        <v>-330</v>
      </c>
      <c r="J72" s="6">
        <f t="shared" si="4"/>
        <v>-143.80000000000001</v>
      </c>
    </row>
    <row r="73" spans="7:10" x14ac:dyDescent="0.3">
      <c r="G73" s="19">
        <f t="shared" si="5"/>
        <v>3680</v>
      </c>
      <c r="H73" s="6">
        <f t="shared" si="6"/>
        <v>176.2</v>
      </c>
      <c r="I73" s="6">
        <f t="shared" si="7"/>
        <v>-320</v>
      </c>
      <c r="J73" s="6">
        <f t="shared" si="4"/>
        <v>-143.80000000000001</v>
      </c>
    </row>
    <row r="74" spans="7:10" x14ac:dyDescent="0.3">
      <c r="G74" s="19">
        <f t="shared" si="5"/>
        <v>3690</v>
      </c>
      <c r="H74" s="6">
        <f t="shared" si="6"/>
        <v>166.2</v>
      </c>
      <c r="I74" s="6">
        <f t="shared" si="7"/>
        <v>-310</v>
      </c>
      <c r="J74" s="6">
        <f t="shared" si="4"/>
        <v>-143.80000000000001</v>
      </c>
    </row>
    <row r="75" spans="7:10" x14ac:dyDescent="0.3">
      <c r="G75" s="19">
        <f t="shared" si="5"/>
        <v>3700</v>
      </c>
      <c r="H75" s="6">
        <f t="shared" si="6"/>
        <v>156.19999999999999</v>
      </c>
      <c r="I75" s="6">
        <f t="shared" si="7"/>
        <v>-300</v>
      </c>
      <c r="J75" s="6">
        <f t="shared" si="4"/>
        <v>-143.80000000000001</v>
      </c>
    </row>
    <row r="76" spans="7:10" x14ac:dyDescent="0.3">
      <c r="G76" s="19">
        <f t="shared" si="5"/>
        <v>3710</v>
      </c>
      <c r="H76" s="6">
        <f t="shared" si="6"/>
        <v>146.19999999999999</v>
      </c>
      <c r="I76" s="6">
        <f t="shared" si="7"/>
        <v>-290</v>
      </c>
      <c r="J76" s="6">
        <f t="shared" si="4"/>
        <v>-143.80000000000001</v>
      </c>
    </row>
    <row r="77" spans="7:10" x14ac:dyDescent="0.3">
      <c r="G77" s="19">
        <f t="shared" si="5"/>
        <v>3720</v>
      </c>
      <c r="H77" s="6">
        <f t="shared" si="6"/>
        <v>136.19999999999999</v>
      </c>
      <c r="I77" s="6">
        <f t="shared" si="7"/>
        <v>-280</v>
      </c>
      <c r="J77" s="6">
        <f t="shared" si="4"/>
        <v>-143.80000000000001</v>
      </c>
    </row>
    <row r="78" spans="7:10" x14ac:dyDescent="0.3">
      <c r="G78" s="19">
        <f t="shared" si="5"/>
        <v>3730</v>
      </c>
      <c r="H78" s="6">
        <f t="shared" si="6"/>
        <v>126.19999999999999</v>
      </c>
      <c r="I78" s="6">
        <f t="shared" si="7"/>
        <v>-270</v>
      </c>
      <c r="J78" s="6">
        <f t="shared" si="4"/>
        <v>-143.80000000000001</v>
      </c>
    </row>
    <row r="79" spans="7:10" x14ac:dyDescent="0.3">
      <c r="G79" s="19">
        <f t="shared" si="5"/>
        <v>3740</v>
      </c>
      <c r="H79" s="6">
        <f t="shared" si="6"/>
        <v>116.19999999999999</v>
      </c>
      <c r="I79" s="6">
        <f t="shared" si="7"/>
        <v>-260</v>
      </c>
      <c r="J79" s="6">
        <f t="shared" si="4"/>
        <v>-143.80000000000001</v>
      </c>
    </row>
    <row r="80" spans="7:10" x14ac:dyDescent="0.3">
      <c r="G80" s="19">
        <f t="shared" si="5"/>
        <v>3750</v>
      </c>
      <c r="H80" s="6">
        <f t="shared" si="6"/>
        <v>106.19999999999999</v>
      </c>
      <c r="I80" s="6">
        <f t="shared" si="7"/>
        <v>-250</v>
      </c>
      <c r="J80" s="6">
        <f t="shared" si="4"/>
        <v>-143.80000000000001</v>
      </c>
    </row>
    <row r="81" spans="7:10" x14ac:dyDescent="0.3">
      <c r="G81" s="19">
        <f t="shared" si="5"/>
        <v>3760</v>
      </c>
      <c r="H81" s="6">
        <f t="shared" si="6"/>
        <v>96.199999999999989</v>
      </c>
      <c r="I81" s="6">
        <f t="shared" si="7"/>
        <v>-240</v>
      </c>
      <c r="J81" s="6">
        <f t="shared" si="4"/>
        <v>-143.80000000000001</v>
      </c>
    </row>
    <row r="82" spans="7:10" x14ac:dyDescent="0.3">
      <c r="G82" s="19">
        <f t="shared" si="5"/>
        <v>3770</v>
      </c>
      <c r="H82" s="6">
        <f t="shared" si="6"/>
        <v>86.199999999999989</v>
      </c>
      <c r="I82" s="6">
        <f t="shared" si="7"/>
        <v>-230</v>
      </c>
      <c r="J82" s="6">
        <f t="shared" si="4"/>
        <v>-143.80000000000001</v>
      </c>
    </row>
    <row r="83" spans="7:10" x14ac:dyDescent="0.3">
      <c r="G83" s="19">
        <f t="shared" si="5"/>
        <v>3780</v>
      </c>
      <c r="H83" s="6">
        <f t="shared" si="6"/>
        <v>76.199999999999989</v>
      </c>
      <c r="I83" s="6">
        <f t="shared" si="7"/>
        <v>-220</v>
      </c>
      <c r="J83" s="6">
        <f t="shared" si="4"/>
        <v>-143.80000000000001</v>
      </c>
    </row>
    <row r="84" spans="7:10" x14ac:dyDescent="0.3">
      <c r="G84" s="19">
        <f t="shared" si="5"/>
        <v>3790</v>
      </c>
      <c r="H84" s="6">
        <f t="shared" si="6"/>
        <v>66.199999999999989</v>
      </c>
      <c r="I84" s="6">
        <f t="shared" si="7"/>
        <v>-210</v>
      </c>
      <c r="J84" s="6">
        <f t="shared" si="4"/>
        <v>-143.80000000000001</v>
      </c>
    </row>
    <row r="85" spans="7:10" x14ac:dyDescent="0.3">
      <c r="G85" s="19">
        <f t="shared" si="5"/>
        <v>3800</v>
      </c>
      <c r="H85" s="6">
        <f t="shared" si="6"/>
        <v>56.199999999999989</v>
      </c>
      <c r="I85" s="6">
        <f t="shared" si="7"/>
        <v>-200</v>
      </c>
      <c r="J85" s="6">
        <f t="shared" si="4"/>
        <v>-143.80000000000001</v>
      </c>
    </row>
    <row r="86" spans="7:10" x14ac:dyDescent="0.3">
      <c r="G86" s="19">
        <f t="shared" si="5"/>
        <v>3810</v>
      </c>
      <c r="H86" s="6">
        <f t="shared" si="6"/>
        <v>46.199999999999989</v>
      </c>
      <c r="I86" s="6">
        <f t="shared" si="7"/>
        <v>-190</v>
      </c>
      <c r="J86" s="6">
        <f t="shared" si="4"/>
        <v>-143.80000000000001</v>
      </c>
    </row>
    <row r="87" spans="7:10" x14ac:dyDescent="0.3">
      <c r="G87" s="19">
        <f t="shared" si="5"/>
        <v>3820</v>
      </c>
      <c r="H87" s="6">
        <f t="shared" si="6"/>
        <v>36.199999999999989</v>
      </c>
      <c r="I87" s="6">
        <f t="shared" si="7"/>
        <v>-180</v>
      </c>
      <c r="J87" s="6">
        <f t="shared" si="4"/>
        <v>-143.80000000000001</v>
      </c>
    </row>
    <row r="88" spans="7:10" x14ac:dyDescent="0.3">
      <c r="G88" s="19">
        <f t="shared" si="5"/>
        <v>3830</v>
      </c>
      <c r="H88" s="6">
        <f t="shared" si="6"/>
        <v>26.199999999999989</v>
      </c>
      <c r="I88" s="6">
        <f t="shared" si="7"/>
        <v>-170</v>
      </c>
      <c r="J88" s="6">
        <f t="shared" si="4"/>
        <v>-143.80000000000001</v>
      </c>
    </row>
    <row r="89" spans="7:10" x14ac:dyDescent="0.3">
      <c r="G89" s="19">
        <f t="shared" si="5"/>
        <v>3840</v>
      </c>
      <c r="H89" s="6">
        <f t="shared" si="6"/>
        <v>16.199999999999989</v>
      </c>
      <c r="I89" s="6">
        <f t="shared" si="7"/>
        <v>-160</v>
      </c>
      <c r="J89" s="6">
        <f t="shared" si="4"/>
        <v>-143.80000000000001</v>
      </c>
    </row>
    <row r="90" spans="7:10" x14ac:dyDescent="0.3">
      <c r="G90" s="19">
        <f t="shared" si="5"/>
        <v>3850</v>
      </c>
      <c r="H90" s="6">
        <f t="shared" si="6"/>
        <v>6.1999999999999886</v>
      </c>
      <c r="I90" s="6">
        <f t="shared" si="7"/>
        <v>-150</v>
      </c>
      <c r="J90" s="6">
        <f t="shared" si="4"/>
        <v>-143.80000000000001</v>
      </c>
    </row>
    <row r="91" spans="7:10" x14ac:dyDescent="0.3">
      <c r="G91" s="19">
        <f t="shared" si="5"/>
        <v>3860</v>
      </c>
      <c r="H91" s="6">
        <f t="shared" si="6"/>
        <v>-3.8000000000000114</v>
      </c>
      <c r="I91" s="6">
        <f t="shared" si="7"/>
        <v>-140</v>
      </c>
      <c r="J91" s="6">
        <f t="shared" si="4"/>
        <v>-143.80000000000001</v>
      </c>
    </row>
    <row r="92" spans="7:10" x14ac:dyDescent="0.3">
      <c r="G92" s="19">
        <f t="shared" si="5"/>
        <v>3870</v>
      </c>
      <c r="H92" s="6">
        <f t="shared" si="6"/>
        <v>-13.800000000000011</v>
      </c>
      <c r="I92" s="6">
        <f t="shared" si="7"/>
        <v>-130</v>
      </c>
      <c r="J92" s="6">
        <f t="shared" si="4"/>
        <v>-143.80000000000001</v>
      </c>
    </row>
    <row r="93" spans="7:10" x14ac:dyDescent="0.3">
      <c r="G93" s="19">
        <f t="shared" si="5"/>
        <v>3880</v>
      </c>
      <c r="H93" s="6">
        <f t="shared" si="6"/>
        <v>-23.800000000000011</v>
      </c>
      <c r="I93" s="6">
        <f t="shared" si="7"/>
        <v>-120</v>
      </c>
      <c r="J93" s="6">
        <f t="shared" si="4"/>
        <v>-143.80000000000001</v>
      </c>
    </row>
    <row r="94" spans="7:10" x14ac:dyDescent="0.3">
      <c r="G94" s="19">
        <f t="shared" si="5"/>
        <v>3890</v>
      </c>
      <c r="H94" s="6">
        <f t="shared" si="6"/>
        <v>-33.800000000000011</v>
      </c>
      <c r="I94" s="6">
        <f t="shared" si="7"/>
        <v>-110</v>
      </c>
      <c r="J94" s="6">
        <f t="shared" si="4"/>
        <v>-143.80000000000001</v>
      </c>
    </row>
    <row r="95" spans="7:10" x14ac:dyDescent="0.3">
      <c r="G95" s="19">
        <f t="shared" si="5"/>
        <v>3900</v>
      </c>
      <c r="H95" s="6">
        <f t="shared" si="6"/>
        <v>-43.800000000000011</v>
      </c>
      <c r="I95" s="6">
        <f t="shared" si="7"/>
        <v>-100</v>
      </c>
      <c r="J95" s="6">
        <f t="shared" si="4"/>
        <v>-143.80000000000001</v>
      </c>
    </row>
    <row r="96" spans="7:10" x14ac:dyDescent="0.3">
      <c r="G96" s="19">
        <f t="shared" si="5"/>
        <v>3910</v>
      </c>
      <c r="H96" s="6">
        <f t="shared" si="6"/>
        <v>-53.800000000000011</v>
      </c>
      <c r="I96" s="6">
        <f t="shared" si="7"/>
        <v>-90</v>
      </c>
      <c r="J96" s="6">
        <f t="shared" si="4"/>
        <v>-143.80000000000001</v>
      </c>
    </row>
    <row r="97" spans="7:10" x14ac:dyDescent="0.3">
      <c r="G97" s="19">
        <f t="shared" si="5"/>
        <v>3920</v>
      </c>
      <c r="H97" s="6">
        <f t="shared" si="6"/>
        <v>-63.800000000000011</v>
      </c>
      <c r="I97" s="6">
        <f t="shared" si="7"/>
        <v>-80</v>
      </c>
      <c r="J97" s="6">
        <f t="shared" si="4"/>
        <v>-143.80000000000001</v>
      </c>
    </row>
    <row r="98" spans="7:10" x14ac:dyDescent="0.3">
      <c r="G98" s="19">
        <f t="shared" si="5"/>
        <v>3930</v>
      </c>
      <c r="H98" s="6">
        <f t="shared" si="6"/>
        <v>-73.800000000000011</v>
      </c>
      <c r="I98" s="6">
        <f t="shared" si="7"/>
        <v>-70</v>
      </c>
      <c r="J98" s="6">
        <f t="shared" si="4"/>
        <v>-143.80000000000001</v>
      </c>
    </row>
    <row r="99" spans="7:10" x14ac:dyDescent="0.3">
      <c r="G99" s="19">
        <f t="shared" si="5"/>
        <v>3940</v>
      </c>
      <c r="H99" s="6">
        <f t="shared" si="6"/>
        <v>-83.800000000000011</v>
      </c>
      <c r="I99" s="6">
        <f t="shared" si="7"/>
        <v>-60</v>
      </c>
      <c r="J99" s="6">
        <f t="shared" si="4"/>
        <v>-143.80000000000001</v>
      </c>
    </row>
    <row r="100" spans="7:10" x14ac:dyDescent="0.3">
      <c r="G100" s="19">
        <f t="shared" si="5"/>
        <v>3950</v>
      </c>
      <c r="H100" s="6">
        <f t="shared" si="6"/>
        <v>-93.800000000000011</v>
      </c>
      <c r="I100" s="6">
        <f t="shared" si="7"/>
        <v>-50</v>
      </c>
      <c r="J100" s="6">
        <f t="shared" si="4"/>
        <v>-143.80000000000001</v>
      </c>
    </row>
    <row r="101" spans="7:10" x14ac:dyDescent="0.3">
      <c r="G101" s="19">
        <f t="shared" si="5"/>
        <v>3960</v>
      </c>
      <c r="H101" s="6">
        <f t="shared" si="6"/>
        <v>-103.80000000000001</v>
      </c>
      <c r="I101" s="6">
        <f t="shared" si="7"/>
        <v>-40</v>
      </c>
      <c r="J101" s="6">
        <f t="shared" si="4"/>
        <v>-143.80000000000001</v>
      </c>
    </row>
    <row r="102" spans="7:10" x14ac:dyDescent="0.3">
      <c r="G102" s="19">
        <f t="shared" si="5"/>
        <v>3970</v>
      </c>
      <c r="H102" s="6">
        <f t="shared" si="6"/>
        <v>-113.80000000000001</v>
      </c>
      <c r="I102" s="6">
        <f t="shared" si="7"/>
        <v>-30</v>
      </c>
      <c r="J102" s="6">
        <f t="shared" si="4"/>
        <v>-143.80000000000001</v>
      </c>
    </row>
    <row r="103" spans="7:10" x14ac:dyDescent="0.3">
      <c r="G103" s="19">
        <f t="shared" si="5"/>
        <v>3980</v>
      </c>
      <c r="H103" s="6">
        <f t="shared" si="6"/>
        <v>-123.80000000000001</v>
      </c>
      <c r="I103" s="6">
        <f t="shared" si="7"/>
        <v>-20</v>
      </c>
      <c r="J103" s="6">
        <f t="shared" si="4"/>
        <v>-143.80000000000001</v>
      </c>
    </row>
    <row r="104" spans="7:10" x14ac:dyDescent="0.3">
      <c r="G104" s="19">
        <f t="shared" si="5"/>
        <v>3990</v>
      </c>
      <c r="H104" s="6">
        <f t="shared" si="6"/>
        <v>-133.80000000000001</v>
      </c>
      <c r="I104" s="6">
        <f t="shared" si="7"/>
        <v>-10</v>
      </c>
      <c r="J104" s="6">
        <f t="shared" si="4"/>
        <v>-143.80000000000001</v>
      </c>
    </row>
    <row r="105" spans="7:10" x14ac:dyDescent="0.3">
      <c r="G105" s="19">
        <f t="shared" si="5"/>
        <v>4000</v>
      </c>
      <c r="H105" s="6">
        <f t="shared" si="6"/>
        <v>-143.80000000000001</v>
      </c>
      <c r="I105" s="6">
        <f t="shared" si="7"/>
        <v>0</v>
      </c>
      <c r="J105" s="6">
        <f t="shared" si="4"/>
        <v>-143.80000000000001</v>
      </c>
    </row>
    <row r="106" spans="7:10" x14ac:dyDescent="0.3">
      <c r="G106" s="19">
        <f t="shared" si="5"/>
        <v>4010</v>
      </c>
      <c r="H106" s="6">
        <f t="shared" si="6"/>
        <v>-143.80000000000001</v>
      </c>
      <c r="I106" s="6">
        <f t="shared" si="7"/>
        <v>10</v>
      </c>
      <c r="J106" s="6">
        <f t="shared" si="4"/>
        <v>-133.80000000000001</v>
      </c>
    </row>
    <row r="107" spans="7:10" x14ac:dyDescent="0.3">
      <c r="G107" s="19">
        <f t="shared" si="5"/>
        <v>4020</v>
      </c>
      <c r="H107" s="6">
        <f t="shared" si="6"/>
        <v>-143.80000000000001</v>
      </c>
      <c r="I107" s="6">
        <f t="shared" si="7"/>
        <v>20</v>
      </c>
      <c r="J107" s="6">
        <f t="shared" si="4"/>
        <v>-123.80000000000001</v>
      </c>
    </row>
    <row r="108" spans="7:10" x14ac:dyDescent="0.3">
      <c r="G108" s="19">
        <f t="shared" si="5"/>
        <v>4030</v>
      </c>
      <c r="H108" s="6">
        <f t="shared" si="6"/>
        <v>-143.80000000000001</v>
      </c>
      <c r="I108" s="6">
        <f t="shared" si="7"/>
        <v>30</v>
      </c>
      <c r="J108" s="6">
        <f t="shared" si="4"/>
        <v>-113.80000000000001</v>
      </c>
    </row>
    <row r="109" spans="7:10" x14ac:dyDescent="0.3">
      <c r="G109" s="19">
        <f t="shared" si="5"/>
        <v>4040</v>
      </c>
      <c r="H109" s="6">
        <f t="shared" si="6"/>
        <v>-143.80000000000001</v>
      </c>
      <c r="I109" s="6">
        <f t="shared" si="7"/>
        <v>40</v>
      </c>
      <c r="J109" s="6">
        <f t="shared" si="4"/>
        <v>-103.80000000000001</v>
      </c>
    </row>
    <row r="110" spans="7:10" x14ac:dyDescent="0.3">
      <c r="G110" s="19">
        <f t="shared" si="5"/>
        <v>4050</v>
      </c>
      <c r="H110" s="6">
        <f t="shared" si="6"/>
        <v>-143.80000000000001</v>
      </c>
      <c r="I110" s="6">
        <f t="shared" si="7"/>
        <v>50</v>
      </c>
      <c r="J110" s="6">
        <f t="shared" si="4"/>
        <v>-93.800000000000011</v>
      </c>
    </row>
    <row r="111" spans="7:10" x14ac:dyDescent="0.3">
      <c r="G111" s="19">
        <f t="shared" si="5"/>
        <v>4060</v>
      </c>
      <c r="H111" s="6">
        <f t="shared" si="6"/>
        <v>-143.80000000000001</v>
      </c>
      <c r="I111" s="6">
        <f t="shared" si="7"/>
        <v>60</v>
      </c>
      <c r="J111" s="6">
        <f t="shared" si="4"/>
        <v>-83.800000000000011</v>
      </c>
    </row>
    <row r="112" spans="7:10" x14ac:dyDescent="0.3">
      <c r="G112" s="19">
        <f t="shared" si="5"/>
        <v>4070</v>
      </c>
      <c r="H112" s="6">
        <f t="shared" si="6"/>
        <v>-143.80000000000001</v>
      </c>
      <c r="I112" s="6">
        <f t="shared" si="7"/>
        <v>70</v>
      </c>
      <c r="J112" s="6">
        <f t="shared" si="4"/>
        <v>-73.800000000000011</v>
      </c>
    </row>
    <row r="113" spans="7:14" x14ac:dyDescent="0.3">
      <c r="G113" s="19">
        <f t="shared" si="5"/>
        <v>4080</v>
      </c>
      <c r="H113" s="6">
        <f t="shared" si="6"/>
        <v>-143.80000000000001</v>
      </c>
      <c r="I113" s="6">
        <f t="shared" si="7"/>
        <v>80</v>
      </c>
      <c r="J113" s="6">
        <f t="shared" si="4"/>
        <v>-63.800000000000011</v>
      </c>
    </row>
    <row r="114" spans="7:14" x14ac:dyDescent="0.3">
      <c r="G114" s="19">
        <f t="shared" si="5"/>
        <v>4090</v>
      </c>
      <c r="H114" s="6">
        <f t="shared" si="6"/>
        <v>-143.80000000000001</v>
      </c>
      <c r="I114" s="6">
        <f t="shared" si="7"/>
        <v>90</v>
      </c>
      <c r="J114" s="6">
        <f t="shared" si="4"/>
        <v>-53.800000000000011</v>
      </c>
    </row>
    <row r="115" spans="7:14" x14ac:dyDescent="0.3">
      <c r="G115" s="19">
        <f t="shared" si="5"/>
        <v>4100</v>
      </c>
      <c r="H115" s="6">
        <f t="shared" si="6"/>
        <v>-143.80000000000001</v>
      </c>
      <c r="I115" s="6">
        <f t="shared" si="7"/>
        <v>100</v>
      </c>
      <c r="J115" s="6">
        <f t="shared" si="4"/>
        <v>-43.800000000000011</v>
      </c>
    </row>
    <row r="116" spans="7:14" x14ac:dyDescent="0.3">
      <c r="G116" s="19">
        <f t="shared" si="5"/>
        <v>4110</v>
      </c>
      <c r="H116" s="6">
        <f t="shared" si="6"/>
        <v>-143.80000000000001</v>
      </c>
      <c r="I116" s="6">
        <f t="shared" si="7"/>
        <v>110</v>
      </c>
      <c r="J116" s="6">
        <f t="shared" si="4"/>
        <v>-33.800000000000011</v>
      </c>
    </row>
    <row r="117" spans="7:14" x14ac:dyDescent="0.3">
      <c r="G117" s="19">
        <f t="shared" si="5"/>
        <v>4120</v>
      </c>
      <c r="H117" s="6">
        <f t="shared" si="6"/>
        <v>-143.80000000000001</v>
      </c>
      <c r="I117" s="6">
        <f t="shared" si="7"/>
        <v>120</v>
      </c>
      <c r="J117" s="6">
        <f t="shared" si="4"/>
        <v>-23.800000000000011</v>
      </c>
    </row>
    <row r="118" spans="7:14" x14ac:dyDescent="0.3">
      <c r="G118" s="19">
        <f t="shared" si="5"/>
        <v>4130</v>
      </c>
      <c r="H118" s="6">
        <f t="shared" si="6"/>
        <v>-143.80000000000001</v>
      </c>
      <c r="I118" s="6">
        <f t="shared" si="7"/>
        <v>130</v>
      </c>
      <c r="J118" s="6">
        <f t="shared" si="4"/>
        <v>-13.800000000000011</v>
      </c>
    </row>
    <row r="119" spans="7:14" x14ac:dyDescent="0.3">
      <c r="G119" s="19">
        <f t="shared" si="5"/>
        <v>4140</v>
      </c>
      <c r="H119" s="6">
        <f t="shared" si="6"/>
        <v>-143.80000000000001</v>
      </c>
      <c r="I119" s="6">
        <f t="shared" si="7"/>
        <v>140</v>
      </c>
      <c r="J119" s="6">
        <f t="shared" si="4"/>
        <v>-3.8000000000000114</v>
      </c>
    </row>
    <row r="120" spans="7:14" x14ac:dyDescent="0.3">
      <c r="G120" s="19">
        <f>G119+3.8</f>
        <v>4143.8</v>
      </c>
      <c r="H120" s="22">
        <f t="shared" si="6"/>
        <v>-143.80000000000001</v>
      </c>
      <c r="I120" s="22">
        <f t="shared" si="7"/>
        <v>143.80000000000018</v>
      </c>
      <c r="J120" s="15">
        <f t="shared" si="4"/>
        <v>0</v>
      </c>
      <c r="K120" s="89" t="s">
        <v>47</v>
      </c>
      <c r="L120" s="89"/>
      <c r="M120" s="89"/>
      <c r="N120" s="89"/>
    </row>
    <row r="121" spans="7:14" x14ac:dyDescent="0.3">
      <c r="G121" s="19">
        <f>G119+10</f>
        <v>4150</v>
      </c>
      <c r="H121" s="6">
        <f t="shared" si="6"/>
        <v>-143.80000000000001</v>
      </c>
      <c r="I121" s="6">
        <f t="shared" si="7"/>
        <v>150</v>
      </c>
      <c r="J121" s="6">
        <f t="shared" ref="J121:J156" si="8">H121+I121</f>
        <v>6.1999999999999886</v>
      </c>
    </row>
    <row r="122" spans="7:14" x14ac:dyDescent="0.3">
      <c r="G122" s="19">
        <f t="shared" ref="G122:G156" si="9">G121+10</f>
        <v>4160</v>
      </c>
      <c r="H122" s="6">
        <f t="shared" si="6"/>
        <v>-143.80000000000001</v>
      </c>
      <c r="I122" s="6">
        <f t="shared" si="7"/>
        <v>160</v>
      </c>
      <c r="J122" s="6">
        <f t="shared" si="8"/>
        <v>16.199999999999989</v>
      </c>
    </row>
    <row r="123" spans="7:14" x14ac:dyDescent="0.3">
      <c r="G123" s="19">
        <f t="shared" si="9"/>
        <v>4170</v>
      </c>
      <c r="H123" s="6">
        <f t="shared" si="6"/>
        <v>-143.80000000000001</v>
      </c>
      <c r="I123" s="6">
        <f t="shared" si="7"/>
        <v>170</v>
      </c>
      <c r="J123" s="6">
        <f t="shared" si="8"/>
        <v>26.199999999999989</v>
      </c>
    </row>
    <row r="124" spans="7:14" x14ac:dyDescent="0.3">
      <c r="G124" s="19">
        <f t="shared" si="9"/>
        <v>4180</v>
      </c>
      <c r="H124" s="6">
        <f t="shared" si="6"/>
        <v>-143.80000000000001</v>
      </c>
      <c r="I124" s="6">
        <f t="shared" si="7"/>
        <v>180</v>
      </c>
      <c r="J124" s="6">
        <f t="shared" si="8"/>
        <v>36.199999999999989</v>
      </c>
    </row>
    <row r="125" spans="7:14" x14ac:dyDescent="0.3">
      <c r="G125" s="19">
        <f t="shared" si="9"/>
        <v>4190</v>
      </c>
      <c r="H125" s="6">
        <f t="shared" si="6"/>
        <v>-143.80000000000001</v>
      </c>
      <c r="I125" s="6">
        <f t="shared" si="7"/>
        <v>190</v>
      </c>
      <c r="J125" s="6">
        <f t="shared" si="8"/>
        <v>46.199999999999989</v>
      </c>
    </row>
    <row r="126" spans="7:14" x14ac:dyDescent="0.3">
      <c r="G126" s="19">
        <f t="shared" si="9"/>
        <v>4200</v>
      </c>
      <c r="H126" s="6">
        <f t="shared" si="6"/>
        <v>-143.80000000000001</v>
      </c>
      <c r="I126" s="6">
        <f t="shared" si="7"/>
        <v>200</v>
      </c>
      <c r="J126" s="6">
        <f t="shared" si="8"/>
        <v>56.199999999999989</v>
      </c>
    </row>
    <row r="127" spans="7:14" x14ac:dyDescent="0.3">
      <c r="G127" s="19">
        <f t="shared" si="9"/>
        <v>4210</v>
      </c>
      <c r="H127" s="6">
        <f t="shared" si="6"/>
        <v>-143.80000000000001</v>
      </c>
      <c r="I127" s="6">
        <f t="shared" si="7"/>
        <v>210</v>
      </c>
      <c r="J127" s="6">
        <f t="shared" si="8"/>
        <v>66.199999999999989</v>
      </c>
    </row>
    <row r="128" spans="7:14" x14ac:dyDescent="0.3">
      <c r="G128" s="19">
        <f t="shared" si="9"/>
        <v>4220</v>
      </c>
      <c r="H128" s="6">
        <f t="shared" si="6"/>
        <v>-143.80000000000001</v>
      </c>
      <c r="I128" s="6">
        <f t="shared" si="7"/>
        <v>220</v>
      </c>
      <c r="J128" s="6">
        <f t="shared" si="8"/>
        <v>76.199999999999989</v>
      </c>
    </row>
    <row r="129" spans="7:10" x14ac:dyDescent="0.3">
      <c r="G129" s="19">
        <f t="shared" si="9"/>
        <v>4230</v>
      </c>
      <c r="H129" s="6">
        <f t="shared" si="6"/>
        <v>-143.80000000000001</v>
      </c>
      <c r="I129" s="6">
        <f t="shared" si="7"/>
        <v>230</v>
      </c>
      <c r="J129" s="6">
        <f t="shared" si="8"/>
        <v>86.199999999999989</v>
      </c>
    </row>
    <row r="130" spans="7:10" x14ac:dyDescent="0.3">
      <c r="G130" s="19">
        <f t="shared" si="9"/>
        <v>4240</v>
      </c>
      <c r="H130" s="6">
        <f t="shared" si="6"/>
        <v>-143.80000000000001</v>
      </c>
      <c r="I130" s="6">
        <f t="shared" si="7"/>
        <v>240</v>
      </c>
      <c r="J130" s="6">
        <f t="shared" si="8"/>
        <v>96.199999999999989</v>
      </c>
    </row>
    <row r="131" spans="7:10" x14ac:dyDescent="0.3">
      <c r="G131" s="19">
        <f t="shared" si="9"/>
        <v>4250</v>
      </c>
      <c r="H131" s="6">
        <f t="shared" si="6"/>
        <v>-143.80000000000001</v>
      </c>
      <c r="I131" s="6">
        <f t="shared" si="7"/>
        <v>250</v>
      </c>
      <c r="J131" s="6">
        <f t="shared" si="8"/>
        <v>106.19999999999999</v>
      </c>
    </row>
    <row r="132" spans="7:10" x14ac:dyDescent="0.3">
      <c r="G132" s="19">
        <f t="shared" si="9"/>
        <v>4260</v>
      </c>
      <c r="H132" s="6">
        <f t="shared" si="6"/>
        <v>-143.80000000000001</v>
      </c>
      <c r="I132" s="6">
        <f t="shared" si="7"/>
        <v>260</v>
      </c>
      <c r="J132" s="6">
        <f t="shared" si="8"/>
        <v>116.19999999999999</v>
      </c>
    </row>
    <row r="133" spans="7:10" x14ac:dyDescent="0.3">
      <c r="G133" s="19">
        <f t="shared" si="9"/>
        <v>4270</v>
      </c>
      <c r="H133" s="6">
        <f t="shared" ref="H133:H196" si="10">MAX($G$3-G133,0)-$H$3</f>
        <v>-143.80000000000001</v>
      </c>
      <c r="I133" s="6">
        <f t="shared" ref="I133:I196" si="11">G133-$G$3</f>
        <v>270</v>
      </c>
      <c r="J133" s="6">
        <f t="shared" si="8"/>
        <v>126.19999999999999</v>
      </c>
    </row>
    <row r="134" spans="7:10" x14ac:dyDescent="0.3">
      <c r="G134" s="19">
        <f t="shared" si="9"/>
        <v>4280</v>
      </c>
      <c r="H134" s="6">
        <f t="shared" si="10"/>
        <v>-143.80000000000001</v>
      </c>
      <c r="I134" s="6">
        <f t="shared" si="11"/>
        <v>280</v>
      </c>
      <c r="J134" s="6">
        <f t="shared" si="8"/>
        <v>136.19999999999999</v>
      </c>
    </row>
    <row r="135" spans="7:10" x14ac:dyDescent="0.3">
      <c r="G135" s="19">
        <f t="shared" si="9"/>
        <v>4290</v>
      </c>
      <c r="H135" s="6">
        <f t="shared" si="10"/>
        <v>-143.80000000000001</v>
      </c>
      <c r="I135" s="6">
        <f t="shared" si="11"/>
        <v>290</v>
      </c>
      <c r="J135" s="6">
        <f t="shared" si="8"/>
        <v>146.19999999999999</v>
      </c>
    </row>
    <row r="136" spans="7:10" x14ac:dyDescent="0.3">
      <c r="G136" s="19">
        <f t="shared" si="9"/>
        <v>4300</v>
      </c>
      <c r="H136" s="6">
        <f t="shared" si="10"/>
        <v>-143.80000000000001</v>
      </c>
      <c r="I136" s="6">
        <f t="shared" si="11"/>
        <v>300</v>
      </c>
      <c r="J136" s="6">
        <f t="shared" si="8"/>
        <v>156.19999999999999</v>
      </c>
    </row>
    <row r="137" spans="7:10" x14ac:dyDescent="0.3">
      <c r="G137" s="19">
        <f t="shared" si="9"/>
        <v>4310</v>
      </c>
      <c r="H137" s="6">
        <f t="shared" si="10"/>
        <v>-143.80000000000001</v>
      </c>
      <c r="I137" s="6">
        <f t="shared" si="11"/>
        <v>310</v>
      </c>
      <c r="J137" s="6">
        <f t="shared" si="8"/>
        <v>166.2</v>
      </c>
    </row>
    <row r="138" spans="7:10" x14ac:dyDescent="0.3">
      <c r="G138" s="19">
        <f t="shared" si="9"/>
        <v>4320</v>
      </c>
      <c r="H138" s="6">
        <f t="shared" si="10"/>
        <v>-143.80000000000001</v>
      </c>
      <c r="I138" s="6">
        <f t="shared" si="11"/>
        <v>320</v>
      </c>
      <c r="J138" s="6">
        <f t="shared" si="8"/>
        <v>176.2</v>
      </c>
    </row>
    <row r="139" spans="7:10" x14ac:dyDescent="0.3">
      <c r="G139" s="19">
        <f t="shared" si="9"/>
        <v>4330</v>
      </c>
      <c r="H139" s="6">
        <f t="shared" si="10"/>
        <v>-143.80000000000001</v>
      </c>
      <c r="I139" s="6">
        <f t="shared" si="11"/>
        <v>330</v>
      </c>
      <c r="J139" s="6">
        <f t="shared" si="8"/>
        <v>186.2</v>
      </c>
    </row>
    <row r="140" spans="7:10" x14ac:dyDescent="0.3">
      <c r="G140" s="19">
        <f t="shared" si="9"/>
        <v>4340</v>
      </c>
      <c r="H140" s="6">
        <f t="shared" si="10"/>
        <v>-143.80000000000001</v>
      </c>
      <c r="I140" s="6">
        <f t="shared" si="11"/>
        <v>340</v>
      </c>
      <c r="J140" s="6">
        <f t="shared" si="8"/>
        <v>196.2</v>
      </c>
    </row>
    <row r="141" spans="7:10" x14ac:dyDescent="0.3">
      <c r="G141" s="19">
        <f t="shared" si="9"/>
        <v>4350</v>
      </c>
      <c r="H141" s="6">
        <f t="shared" si="10"/>
        <v>-143.80000000000001</v>
      </c>
      <c r="I141" s="6">
        <f t="shared" si="11"/>
        <v>350</v>
      </c>
      <c r="J141" s="6">
        <f t="shared" si="8"/>
        <v>206.2</v>
      </c>
    </row>
    <row r="142" spans="7:10" x14ac:dyDescent="0.3">
      <c r="G142" s="19">
        <f t="shared" si="9"/>
        <v>4360</v>
      </c>
      <c r="H142" s="6">
        <f t="shared" si="10"/>
        <v>-143.80000000000001</v>
      </c>
      <c r="I142" s="6">
        <f t="shared" si="11"/>
        <v>360</v>
      </c>
      <c r="J142" s="6">
        <f t="shared" si="8"/>
        <v>216.2</v>
      </c>
    </row>
    <row r="143" spans="7:10" x14ac:dyDescent="0.3">
      <c r="G143" s="19">
        <f t="shared" si="9"/>
        <v>4370</v>
      </c>
      <c r="H143" s="6">
        <f t="shared" si="10"/>
        <v>-143.80000000000001</v>
      </c>
      <c r="I143" s="6">
        <f t="shared" si="11"/>
        <v>370</v>
      </c>
      <c r="J143" s="6">
        <f t="shared" si="8"/>
        <v>226.2</v>
      </c>
    </row>
    <row r="144" spans="7:10" x14ac:dyDescent="0.3">
      <c r="G144" s="19">
        <f t="shared" si="9"/>
        <v>4380</v>
      </c>
      <c r="H144" s="6">
        <f t="shared" si="10"/>
        <v>-143.80000000000001</v>
      </c>
      <c r="I144" s="6">
        <f t="shared" si="11"/>
        <v>380</v>
      </c>
      <c r="J144" s="6">
        <f t="shared" si="8"/>
        <v>236.2</v>
      </c>
    </row>
    <row r="145" spans="7:10" x14ac:dyDescent="0.3">
      <c r="G145" s="19">
        <f t="shared" si="9"/>
        <v>4390</v>
      </c>
      <c r="H145" s="6">
        <f t="shared" si="10"/>
        <v>-143.80000000000001</v>
      </c>
      <c r="I145" s="6">
        <f t="shared" si="11"/>
        <v>390</v>
      </c>
      <c r="J145" s="6">
        <f t="shared" si="8"/>
        <v>246.2</v>
      </c>
    </row>
    <row r="146" spans="7:10" x14ac:dyDescent="0.3">
      <c r="G146" s="19">
        <f t="shared" si="9"/>
        <v>4400</v>
      </c>
      <c r="H146" s="6">
        <f t="shared" si="10"/>
        <v>-143.80000000000001</v>
      </c>
      <c r="I146" s="6">
        <f t="shared" si="11"/>
        <v>400</v>
      </c>
      <c r="J146" s="6">
        <f t="shared" si="8"/>
        <v>256.2</v>
      </c>
    </row>
    <row r="147" spans="7:10" x14ac:dyDescent="0.3">
      <c r="G147" s="19">
        <f t="shared" si="9"/>
        <v>4410</v>
      </c>
      <c r="H147" s="6">
        <f t="shared" si="10"/>
        <v>-143.80000000000001</v>
      </c>
      <c r="I147" s="6">
        <f t="shared" si="11"/>
        <v>410</v>
      </c>
      <c r="J147" s="6">
        <f t="shared" si="8"/>
        <v>266.2</v>
      </c>
    </row>
    <row r="148" spans="7:10" x14ac:dyDescent="0.3">
      <c r="G148" s="19">
        <f t="shared" si="9"/>
        <v>4420</v>
      </c>
      <c r="H148" s="6">
        <f t="shared" si="10"/>
        <v>-143.80000000000001</v>
      </c>
      <c r="I148" s="6">
        <f t="shared" si="11"/>
        <v>420</v>
      </c>
      <c r="J148" s="6">
        <f t="shared" si="8"/>
        <v>276.2</v>
      </c>
    </row>
    <row r="149" spans="7:10" x14ac:dyDescent="0.3">
      <c r="G149" s="19">
        <f t="shared" si="9"/>
        <v>4430</v>
      </c>
      <c r="H149" s="6">
        <f t="shared" si="10"/>
        <v>-143.80000000000001</v>
      </c>
      <c r="I149" s="6">
        <f t="shared" si="11"/>
        <v>430</v>
      </c>
      <c r="J149" s="6">
        <f t="shared" si="8"/>
        <v>286.2</v>
      </c>
    </row>
    <row r="150" spans="7:10" x14ac:dyDescent="0.3">
      <c r="G150" s="19">
        <f t="shared" si="9"/>
        <v>4440</v>
      </c>
      <c r="H150" s="6">
        <f t="shared" si="10"/>
        <v>-143.80000000000001</v>
      </c>
      <c r="I150" s="6">
        <f t="shared" si="11"/>
        <v>440</v>
      </c>
      <c r="J150" s="6">
        <f t="shared" si="8"/>
        <v>296.2</v>
      </c>
    </row>
    <row r="151" spans="7:10" x14ac:dyDescent="0.3">
      <c r="G151" s="19">
        <f t="shared" si="9"/>
        <v>4450</v>
      </c>
      <c r="H151" s="6">
        <f t="shared" si="10"/>
        <v>-143.80000000000001</v>
      </c>
      <c r="I151" s="6">
        <f t="shared" si="11"/>
        <v>450</v>
      </c>
      <c r="J151" s="6">
        <f t="shared" si="8"/>
        <v>306.2</v>
      </c>
    </row>
    <row r="152" spans="7:10" x14ac:dyDescent="0.3">
      <c r="G152" s="19">
        <f t="shared" si="9"/>
        <v>4460</v>
      </c>
      <c r="H152" s="6">
        <f t="shared" si="10"/>
        <v>-143.80000000000001</v>
      </c>
      <c r="I152" s="6">
        <f t="shared" si="11"/>
        <v>460</v>
      </c>
      <c r="J152" s="6">
        <f t="shared" si="8"/>
        <v>316.2</v>
      </c>
    </row>
    <row r="153" spans="7:10" x14ac:dyDescent="0.3">
      <c r="G153" s="19">
        <f t="shared" si="9"/>
        <v>4470</v>
      </c>
      <c r="H153" s="6">
        <f t="shared" si="10"/>
        <v>-143.80000000000001</v>
      </c>
      <c r="I153" s="6">
        <f t="shared" si="11"/>
        <v>470</v>
      </c>
      <c r="J153" s="6">
        <f t="shared" si="8"/>
        <v>326.2</v>
      </c>
    </row>
    <row r="154" spans="7:10" x14ac:dyDescent="0.3">
      <c r="G154" s="19">
        <f t="shared" si="9"/>
        <v>4480</v>
      </c>
      <c r="H154" s="6">
        <f t="shared" si="10"/>
        <v>-143.80000000000001</v>
      </c>
      <c r="I154" s="6">
        <f t="shared" si="11"/>
        <v>480</v>
      </c>
      <c r="J154" s="6">
        <f t="shared" si="8"/>
        <v>336.2</v>
      </c>
    </row>
    <row r="155" spans="7:10" x14ac:dyDescent="0.3">
      <c r="G155" s="19">
        <f t="shared" si="9"/>
        <v>4490</v>
      </c>
      <c r="H155" s="6">
        <f t="shared" si="10"/>
        <v>-143.80000000000001</v>
      </c>
      <c r="I155" s="6">
        <f t="shared" si="11"/>
        <v>490</v>
      </c>
      <c r="J155" s="6">
        <f t="shared" si="8"/>
        <v>346.2</v>
      </c>
    </row>
    <row r="156" spans="7:10" x14ac:dyDescent="0.3">
      <c r="G156" s="19">
        <f t="shared" si="9"/>
        <v>4500</v>
      </c>
      <c r="H156" s="6">
        <f t="shared" si="10"/>
        <v>-143.80000000000001</v>
      </c>
      <c r="I156" s="6">
        <f t="shared" si="11"/>
        <v>500</v>
      </c>
      <c r="J156" s="6">
        <f t="shared" si="8"/>
        <v>356.2</v>
      </c>
    </row>
    <row r="157" spans="7:10" x14ac:dyDescent="0.3">
      <c r="G157" s="19">
        <f t="shared" ref="G157:G191" si="12">G156+10</f>
        <v>4510</v>
      </c>
      <c r="H157" s="6">
        <f t="shared" si="10"/>
        <v>-143.80000000000001</v>
      </c>
      <c r="I157" s="6">
        <f t="shared" si="11"/>
        <v>510</v>
      </c>
      <c r="J157" s="6">
        <f t="shared" ref="J157:J192" si="13">H157+I157</f>
        <v>366.2</v>
      </c>
    </row>
    <row r="158" spans="7:10" x14ac:dyDescent="0.3">
      <c r="G158" s="19">
        <f t="shared" si="12"/>
        <v>4520</v>
      </c>
      <c r="H158" s="6">
        <f t="shared" si="10"/>
        <v>-143.80000000000001</v>
      </c>
      <c r="I158" s="6">
        <f t="shared" si="11"/>
        <v>520</v>
      </c>
      <c r="J158" s="6">
        <f t="shared" si="13"/>
        <v>376.2</v>
      </c>
    </row>
    <row r="159" spans="7:10" x14ac:dyDescent="0.3">
      <c r="G159" s="19">
        <f t="shared" si="12"/>
        <v>4530</v>
      </c>
      <c r="H159" s="6">
        <f t="shared" si="10"/>
        <v>-143.80000000000001</v>
      </c>
      <c r="I159" s="6">
        <f t="shared" si="11"/>
        <v>530</v>
      </c>
      <c r="J159" s="6">
        <f t="shared" si="13"/>
        <v>386.2</v>
      </c>
    </row>
    <row r="160" spans="7:10" x14ac:dyDescent="0.3">
      <c r="G160" s="19">
        <f t="shared" si="12"/>
        <v>4540</v>
      </c>
      <c r="H160" s="6">
        <f t="shared" si="10"/>
        <v>-143.80000000000001</v>
      </c>
      <c r="I160" s="6">
        <f t="shared" si="11"/>
        <v>540</v>
      </c>
      <c r="J160" s="6">
        <f t="shared" si="13"/>
        <v>396.2</v>
      </c>
    </row>
    <row r="161" spans="7:10" x14ac:dyDescent="0.3">
      <c r="G161" s="19">
        <f t="shared" si="12"/>
        <v>4550</v>
      </c>
      <c r="H161" s="6">
        <f t="shared" si="10"/>
        <v>-143.80000000000001</v>
      </c>
      <c r="I161" s="6">
        <f t="shared" si="11"/>
        <v>550</v>
      </c>
      <c r="J161" s="6">
        <f t="shared" si="13"/>
        <v>406.2</v>
      </c>
    </row>
    <row r="162" spans="7:10" x14ac:dyDescent="0.3">
      <c r="G162" s="19">
        <f t="shared" si="12"/>
        <v>4560</v>
      </c>
      <c r="H162" s="6">
        <f t="shared" si="10"/>
        <v>-143.80000000000001</v>
      </c>
      <c r="I162" s="6">
        <f t="shared" si="11"/>
        <v>560</v>
      </c>
      <c r="J162" s="6">
        <f t="shared" si="13"/>
        <v>416.2</v>
      </c>
    </row>
    <row r="163" spans="7:10" x14ac:dyDescent="0.3">
      <c r="G163" s="19">
        <f t="shared" si="12"/>
        <v>4570</v>
      </c>
      <c r="H163" s="6">
        <f t="shared" si="10"/>
        <v>-143.80000000000001</v>
      </c>
      <c r="I163" s="6">
        <f t="shared" si="11"/>
        <v>570</v>
      </c>
      <c r="J163" s="6">
        <f t="shared" si="13"/>
        <v>426.2</v>
      </c>
    </row>
    <row r="164" spans="7:10" x14ac:dyDescent="0.3">
      <c r="G164" s="19">
        <f t="shared" si="12"/>
        <v>4580</v>
      </c>
      <c r="H164" s="6">
        <f t="shared" si="10"/>
        <v>-143.80000000000001</v>
      </c>
      <c r="I164" s="6">
        <f t="shared" si="11"/>
        <v>580</v>
      </c>
      <c r="J164" s="6">
        <f t="shared" si="13"/>
        <v>436.2</v>
      </c>
    </row>
    <row r="165" spans="7:10" x14ac:dyDescent="0.3">
      <c r="G165" s="19">
        <f t="shared" si="12"/>
        <v>4590</v>
      </c>
      <c r="H165" s="6">
        <f t="shared" si="10"/>
        <v>-143.80000000000001</v>
      </c>
      <c r="I165" s="6">
        <f t="shared" si="11"/>
        <v>590</v>
      </c>
      <c r="J165" s="6">
        <f t="shared" si="13"/>
        <v>446.2</v>
      </c>
    </row>
    <row r="166" spans="7:10" x14ac:dyDescent="0.3">
      <c r="G166" s="19">
        <f t="shared" si="12"/>
        <v>4600</v>
      </c>
      <c r="H166" s="6">
        <f t="shared" si="10"/>
        <v>-143.80000000000001</v>
      </c>
      <c r="I166" s="6">
        <f t="shared" si="11"/>
        <v>600</v>
      </c>
      <c r="J166" s="6">
        <f t="shared" si="13"/>
        <v>456.2</v>
      </c>
    </row>
    <row r="167" spans="7:10" x14ac:dyDescent="0.3">
      <c r="G167" s="19">
        <f t="shared" si="12"/>
        <v>4610</v>
      </c>
      <c r="H167" s="6">
        <f t="shared" si="10"/>
        <v>-143.80000000000001</v>
      </c>
      <c r="I167" s="6">
        <f t="shared" si="11"/>
        <v>610</v>
      </c>
      <c r="J167" s="6">
        <f t="shared" si="13"/>
        <v>466.2</v>
      </c>
    </row>
    <row r="168" spans="7:10" x14ac:dyDescent="0.3">
      <c r="G168" s="19">
        <f t="shared" si="12"/>
        <v>4620</v>
      </c>
      <c r="H168" s="6">
        <f t="shared" si="10"/>
        <v>-143.80000000000001</v>
      </c>
      <c r="I168" s="6">
        <f t="shared" si="11"/>
        <v>620</v>
      </c>
      <c r="J168" s="6">
        <f t="shared" si="13"/>
        <v>476.2</v>
      </c>
    </row>
    <row r="169" spans="7:10" x14ac:dyDescent="0.3">
      <c r="G169" s="19">
        <f t="shared" si="12"/>
        <v>4630</v>
      </c>
      <c r="H169" s="6">
        <f t="shared" si="10"/>
        <v>-143.80000000000001</v>
      </c>
      <c r="I169" s="6">
        <f t="shared" si="11"/>
        <v>630</v>
      </c>
      <c r="J169" s="6">
        <f t="shared" si="13"/>
        <v>486.2</v>
      </c>
    </row>
    <row r="170" spans="7:10" x14ac:dyDescent="0.3">
      <c r="G170" s="19">
        <f t="shared" si="12"/>
        <v>4640</v>
      </c>
      <c r="H170" s="6">
        <f t="shared" si="10"/>
        <v>-143.80000000000001</v>
      </c>
      <c r="I170" s="6">
        <f t="shared" si="11"/>
        <v>640</v>
      </c>
      <c r="J170" s="6">
        <f t="shared" si="13"/>
        <v>496.2</v>
      </c>
    </row>
    <row r="171" spans="7:10" x14ac:dyDescent="0.3">
      <c r="G171" s="19">
        <f t="shared" si="12"/>
        <v>4650</v>
      </c>
      <c r="H171" s="6">
        <f t="shared" si="10"/>
        <v>-143.80000000000001</v>
      </c>
      <c r="I171" s="6">
        <f t="shared" si="11"/>
        <v>650</v>
      </c>
      <c r="J171" s="6">
        <f t="shared" si="13"/>
        <v>506.2</v>
      </c>
    </row>
    <row r="172" spans="7:10" x14ac:dyDescent="0.3">
      <c r="G172" s="19">
        <f t="shared" si="12"/>
        <v>4660</v>
      </c>
      <c r="H172" s="6">
        <f t="shared" si="10"/>
        <v>-143.80000000000001</v>
      </c>
      <c r="I172" s="6">
        <f t="shared" si="11"/>
        <v>660</v>
      </c>
      <c r="J172" s="6">
        <f t="shared" si="13"/>
        <v>516.20000000000005</v>
      </c>
    </row>
    <row r="173" spans="7:10" x14ac:dyDescent="0.3">
      <c r="G173" s="19">
        <f t="shared" si="12"/>
        <v>4670</v>
      </c>
      <c r="H173" s="6">
        <f t="shared" si="10"/>
        <v>-143.80000000000001</v>
      </c>
      <c r="I173" s="6">
        <f t="shared" si="11"/>
        <v>670</v>
      </c>
      <c r="J173" s="6">
        <f t="shared" si="13"/>
        <v>526.20000000000005</v>
      </c>
    </row>
    <row r="174" spans="7:10" x14ac:dyDescent="0.3">
      <c r="G174" s="19">
        <f t="shared" si="12"/>
        <v>4680</v>
      </c>
      <c r="H174" s="6">
        <f t="shared" si="10"/>
        <v>-143.80000000000001</v>
      </c>
      <c r="I174" s="6">
        <f t="shared" si="11"/>
        <v>680</v>
      </c>
      <c r="J174" s="6">
        <f t="shared" si="13"/>
        <v>536.20000000000005</v>
      </c>
    </row>
    <row r="175" spans="7:10" x14ac:dyDescent="0.3">
      <c r="G175" s="19">
        <f t="shared" si="12"/>
        <v>4690</v>
      </c>
      <c r="H175" s="6">
        <f t="shared" si="10"/>
        <v>-143.80000000000001</v>
      </c>
      <c r="I175" s="6">
        <f t="shared" si="11"/>
        <v>690</v>
      </c>
      <c r="J175" s="6">
        <f t="shared" si="13"/>
        <v>546.20000000000005</v>
      </c>
    </row>
    <row r="176" spans="7:10" x14ac:dyDescent="0.3">
      <c r="G176" s="19">
        <f t="shared" si="12"/>
        <v>4700</v>
      </c>
      <c r="H176" s="6">
        <f t="shared" si="10"/>
        <v>-143.80000000000001</v>
      </c>
      <c r="I176" s="6">
        <f t="shared" si="11"/>
        <v>700</v>
      </c>
      <c r="J176" s="6">
        <f t="shared" si="13"/>
        <v>556.20000000000005</v>
      </c>
    </row>
    <row r="177" spans="7:10" x14ac:dyDescent="0.3">
      <c r="G177" s="19">
        <f t="shared" si="12"/>
        <v>4710</v>
      </c>
      <c r="H177" s="6">
        <f t="shared" si="10"/>
        <v>-143.80000000000001</v>
      </c>
      <c r="I177" s="6">
        <f t="shared" si="11"/>
        <v>710</v>
      </c>
      <c r="J177" s="6">
        <f t="shared" si="13"/>
        <v>566.20000000000005</v>
      </c>
    </row>
    <row r="178" spans="7:10" x14ac:dyDescent="0.3">
      <c r="G178" s="19">
        <f t="shared" si="12"/>
        <v>4720</v>
      </c>
      <c r="H178" s="6">
        <f t="shared" si="10"/>
        <v>-143.80000000000001</v>
      </c>
      <c r="I178" s="6">
        <f t="shared" si="11"/>
        <v>720</v>
      </c>
      <c r="J178" s="6">
        <f t="shared" si="13"/>
        <v>576.20000000000005</v>
      </c>
    </row>
    <row r="179" spans="7:10" x14ac:dyDescent="0.3">
      <c r="G179" s="19">
        <f t="shared" si="12"/>
        <v>4730</v>
      </c>
      <c r="H179" s="6">
        <f t="shared" si="10"/>
        <v>-143.80000000000001</v>
      </c>
      <c r="I179" s="6">
        <f t="shared" si="11"/>
        <v>730</v>
      </c>
      <c r="J179" s="6">
        <f t="shared" si="13"/>
        <v>586.20000000000005</v>
      </c>
    </row>
    <row r="180" spans="7:10" x14ac:dyDescent="0.3">
      <c r="G180" s="19">
        <f t="shared" si="12"/>
        <v>4740</v>
      </c>
      <c r="H180" s="6">
        <f t="shared" si="10"/>
        <v>-143.80000000000001</v>
      </c>
      <c r="I180" s="6">
        <f t="shared" si="11"/>
        <v>740</v>
      </c>
      <c r="J180" s="6">
        <f t="shared" si="13"/>
        <v>596.20000000000005</v>
      </c>
    </row>
    <row r="181" spans="7:10" x14ac:dyDescent="0.3">
      <c r="G181" s="19">
        <f t="shared" si="12"/>
        <v>4750</v>
      </c>
      <c r="H181" s="6">
        <f t="shared" si="10"/>
        <v>-143.80000000000001</v>
      </c>
      <c r="I181" s="6">
        <f t="shared" si="11"/>
        <v>750</v>
      </c>
      <c r="J181" s="6">
        <f t="shared" si="13"/>
        <v>606.20000000000005</v>
      </c>
    </row>
    <row r="182" spans="7:10" x14ac:dyDescent="0.3">
      <c r="G182" s="19">
        <f t="shared" si="12"/>
        <v>4760</v>
      </c>
      <c r="H182" s="6">
        <f t="shared" si="10"/>
        <v>-143.80000000000001</v>
      </c>
      <c r="I182" s="6">
        <f t="shared" si="11"/>
        <v>760</v>
      </c>
      <c r="J182" s="6">
        <f t="shared" si="13"/>
        <v>616.20000000000005</v>
      </c>
    </row>
    <row r="183" spans="7:10" x14ac:dyDescent="0.3">
      <c r="G183" s="19">
        <f t="shared" si="12"/>
        <v>4770</v>
      </c>
      <c r="H183" s="6">
        <f t="shared" si="10"/>
        <v>-143.80000000000001</v>
      </c>
      <c r="I183" s="6">
        <f t="shared" si="11"/>
        <v>770</v>
      </c>
      <c r="J183" s="6">
        <f t="shared" si="13"/>
        <v>626.20000000000005</v>
      </c>
    </row>
    <row r="184" spans="7:10" x14ac:dyDescent="0.3">
      <c r="G184" s="19">
        <f t="shared" si="12"/>
        <v>4780</v>
      </c>
      <c r="H184" s="6">
        <f t="shared" si="10"/>
        <v>-143.80000000000001</v>
      </c>
      <c r="I184" s="6">
        <f t="shared" si="11"/>
        <v>780</v>
      </c>
      <c r="J184" s="6">
        <f t="shared" si="13"/>
        <v>636.20000000000005</v>
      </c>
    </row>
    <row r="185" spans="7:10" x14ac:dyDescent="0.3">
      <c r="G185" s="19">
        <f t="shared" si="12"/>
        <v>4790</v>
      </c>
      <c r="H185" s="6">
        <f t="shared" si="10"/>
        <v>-143.80000000000001</v>
      </c>
      <c r="I185" s="6">
        <f t="shared" si="11"/>
        <v>790</v>
      </c>
      <c r="J185" s="6">
        <f t="shared" si="13"/>
        <v>646.20000000000005</v>
      </c>
    </row>
    <row r="186" spans="7:10" x14ac:dyDescent="0.3">
      <c r="G186" s="19">
        <f t="shared" si="12"/>
        <v>4800</v>
      </c>
      <c r="H186" s="6">
        <f t="shared" si="10"/>
        <v>-143.80000000000001</v>
      </c>
      <c r="I186" s="6">
        <f t="shared" si="11"/>
        <v>800</v>
      </c>
      <c r="J186" s="6">
        <f t="shared" si="13"/>
        <v>656.2</v>
      </c>
    </row>
    <row r="187" spans="7:10" x14ac:dyDescent="0.3">
      <c r="G187" s="19">
        <f t="shared" si="12"/>
        <v>4810</v>
      </c>
      <c r="H187" s="6">
        <f t="shared" si="10"/>
        <v>-143.80000000000001</v>
      </c>
      <c r="I187" s="6">
        <f t="shared" si="11"/>
        <v>810</v>
      </c>
      <c r="J187" s="6">
        <f t="shared" si="13"/>
        <v>666.2</v>
      </c>
    </row>
    <row r="188" spans="7:10" x14ac:dyDescent="0.3">
      <c r="G188" s="19">
        <f t="shared" si="12"/>
        <v>4820</v>
      </c>
      <c r="H188" s="6">
        <f t="shared" si="10"/>
        <v>-143.80000000000001</v>
      </c>
      <c r="I188" s="6">
        <f t="shared" si="11"/>
        <v>820</v>
      </c>
      <c r="J188" s="6">
        <f t="shared" si="13"/>
        <v>676.2</v>
      </c>
    </row>
    <row r="189" spans="7:10" x14ac:dyDescent="0.3">
      <c r="G189" s="19">
        <f t="shared" si="12"/>
        <v>4830</v>
      </c>
      <c r="H189" s="6">
        <f t="shared" si="10"/>
        <v>-143.80000000000001</v>
      </c>
      <c r="I189" s="6">
        <f t="shared" si="11"/>
        <v>830</v>
      </c>
      <c r="J189" s="6">
        <f t="shared" si="13"/>
        <v>686.2</v>
      </c>
    </row>
    <row r="190" spans="7:10" x14ac:dyDescent="0.3">
      <c r="G190" s="19">
        <f t="shared" si="12"/>
        <v>4840</v>
      </c>
      <c r="H190" s="6">
        <f t="shared" si="10"/>
        <v>-143.80000000000001</v>
      </c>
      <c r="I190" s="6">
        <f t="shared" si="11"/>
        <v>840</v>
      </c>
      <c r="J190" s="6">
        <f t="shared" si="13"/>
        <v>696.2</v>
      </c>
    </row>
    <row r="191" spans="7:10" x14ac:dyDescent="0.3">
      <c r="G191" s="19">
        <f t="shared" si="12"/>
        <v>4850</v>
      </c>
      <c r="H191" s="6">
        <f t="shared" si="10"/>
        <v>-143.80000000000001</v>
      </c>
      <c r="I191" s="6">
        <f t="shared" si="11"/>
        <v>850</v>
      </c>
      <c r="J191" s="6">
        <f t="shared" si="13"/>
        <v>706.2</v>
      </c>
    </row>
    <row r="192" spans="7:10" x14ac:dyDescent="0.3">
      <c r="G192" s="19">
        <f>G191+10</f>
        <v>4860</v>
      </c>
      <c r="H192" s="6">
        <f t="shared" si="10"/>
        <v>-143.80000000000001</v>
      </c>
      <c r="I192" s="6">
        <f t="shared" si="11"/>
        <v>860</v>
      </c>
      <c r="J192" s="6">
        <f t="shared" si="13"/>
        <v>716.2</v>
      </c>
    </row>
    <row r="193" spans="7:10" x14ac:dyDescent="0.3">
      <c r="G193" s="19">
        <f t="shared" ref="G193:G202" si="14">G192+10</f>
        <v>4870</v>
      </c>
      <c r="H193" s="6">
        <f t="shared" si="10"/>
        <v>-143.80000000000001</v>
      </c>
      <c r="I193" s="6">
        <f t="shared" si="11"/>
        <v>870</v>
      </c>
      <c r="J193" s="6">
        <f t="shared" ref="J193:J207" si="15">H193+I193</f>
        <v>726.2</v>
      </c>
    </row>
    <row r="194" spans="7:10" x14ac:dyDescent="0.3">
      <c r="G194" s="19">
        <f t="shared" si="14"/>
        <v>4880</v>
      </c>
      <c r="H194" s="6">
        <f t="shared" si="10"/>
        <v>-143.80000000000001</v>
      </c>
      <c r="I194" s="6">
        <f t="shared" si="11"/>
        <v>880</v>
      </c>
      <c r="J194" s="6">
        <f t="shared" si="15"/>
        <v>736.2</v>
      </c>
    </row>
    <row r="195" spans="7:10" x14ac:dyDescent="0.3">
      <c r="G195" s="19">
        <f t="shared" si="14"/>
        <v>4890</v>
      </c>
      <c r="H195" s="6">
        <f t="shared" si="10"/>
        <v>-143.80000000000001</v>
      </c>
      <c r="I195" s="6">
        <f t="shared" si="11"/>
        <v>890</v>
      </c>
      <c r="J195" s="6">
        <f t="shared" si="15"/>
        <v>746.2</v>
      </c>
    </row>
    <row r="196" spans="7:10" x14ac:dyDescent="0.3">
      <c r="G196" s="19">
        <f t="shared" si="14"/>
        <v>4900</v>
      </c>
      <c r="H196" s="6">
        <f t="shared" si="10"/>
        <v>-143.80000000000001</v>
      </c>
      <c r="I196" s="6">
        <f t="shared" si="11"/>
        <v>900</v>
      </c>
      <c r="J196" s="6">
        <f t="shared" si="15"/>
        <v>756.2</v>
      </c>
    </row>
    <row r="197" spans="7:10" x14ac:dyDescent="0.3">
      <c r="G197" s="19">
        <f t="shared" si="14"/>
        <v>4910</v>
      </c>
      <c r="H197" s="6">
        <f t="shared" ref="H197:H207" si="16">MAX($G$3-G197,0)-$H$3</f>
        <v>-143.80000000000001</v>
      </c>
      <c r="I197" s="6">
        <f t="shared" ref="I197:I207" si="17">G197-$G$3</f>
        <v>910</v>
      </c>
      <c r="J197" s="6">
        <f t="shared" si="15"/>
        <v>766.2</v>
      </c>
    </row>
    <row r="198" spans="7:10" x14ac:dyDescent="0.3">
      <c r="G198" s="19">
        <f t="shared" si="14"/>
        <v>4920</v>
      </c>
      <c r="H198" s="6">
        <f t="shared" si="16"/>
        <v>-143.80000000000001</v>
      </c>
      <c r="I198" s="6">
        <f t="shared" si="17"/>
        <v>920</v>
      </c>
      <c r="J198" s="6">
        <f t="shared" si="15"/>
        <v>776.2</v>
      </c>
    </row>
    <row r="199" spans="7:10" x14ac:dyDescent="0.3">
      <c r="G199" s="19">
        <f t="shared" si="14"/>
        <v>4930</v>
      </c>
      <c r="H199" s="6">
        <f t="shared" si="16"/>
        <v>-143.80000000000001</v>
      </c>
      <c r="I199" s="6">
        <f t="shared" si="17"/>
        <v>930</v>
      </c>
      <c r="J199" s="6">
        <f t="shared" si="15"/>
        <v>786.2</v>
      </c>
    </row>
    <row r="200" spans="7:10" x14ac:dyDescent="0.3">
      <c r="G200" s="19">
        <f t="shared" si="14"/>
        <v>4940</v>
      </c>
      <c r="H200" s="6">
        <f t="shared" si="16"/>
        <v>-143.80000000000001</v>
      </c>
      <c r="I200" s="6">
        <f t="shared" si="17"/>
        <v>940</v>
      </c>
      <c r="J200" s="6">
        <f t="shared" si="15"/>
        <v>796.2</v>
      </c>
    </row>
    <row r="201" spans="7:10" x14ac:dyDescent="0.3">
      <c r="G201" s="19">
        <f t="shared" si="14"/>
        <v>4950</v>
      </c>
      <c r="H201" s="6">
        <f t="shared" si="16"/>
        <v>-143.80000000000001</v>
      </c>
      <c r="I201" s="6">
        <f t="shared" si="17"/>
        <v>950</v>
      </c>
      <c r="J201" s="6">
        <f t="shared" si="15"/>
        <v>806.2</v>
      </c>
    </row>
    <row r="202" spans="7:10" x14ac:dyDescent="0.3">
      <c r="G202" s="19">
        <f t="shared" si="14"/>
        <v>4960</v>
      </c>
      <c r="H202" s="6">
        <f t="shared" si="16"/>
        <v>-143.80000000000001</v>
      </c>
      <c r="I202" s="6">
        <f t="shared" si="17"/>
        <v>960</v>
      </c>
      <c r="J202" s="6">
        <f t="shared" si="15"/>
        <v>816.2</v>
      </c>
    </row>
    <row r="203" spans="7:10" x14ac:dyDescent="0.3">
      <c r="G203" s="19">
        <f>G202+10</f>
        <v>4970</v>
      </c>
      <c r="H203" s="6">
        <f t="shared" si="16"/>
        <v>-143.80000000000001</v>
      </c>
      <c r="I203" s="6">
        <f t="shared" si="17"/>
        <v>970</v>
      </c>
      <c r="J203" s="6">
        <f t="shared" si="15"/>
        <v>826.2</v>
      </c>
    </row>
    <row r="204" spans="7:10" x14ac:dyDescent="0.3">
      <c r="G204" s="19">
        <f t="shared" ref="G204:G207" si="18">G203+10</f>
        <v>4980</v>
      </c>
      <c r="H204" s="6">
        <f t="shared" si="16"/>
        <v>-143.80000000000001</v>
      </c>
      <c r="I204" s="6">
        <f t="shared" si="17"/>
        <v>980</v>
      </c>
      <c r="J204" s="6">
        <f t="shared" si="15"/>
        <v>836.2</v>
      </c>
    </row>
    <row r="205" spans="7:10" x14ac:dyDescent="0.3">
      <c r="G205" s="19">
        <f t="shared" si="18"/>
        <v>4990</v>
      </c>
      <c r="H205" s="6">
        <f t="shared" si="16"/>
        <v>-143.80000000000001</v>
      </c>
      <c r="I205" s="6">
        <f t="shared" si="17"/>
        <v>990</v>
      </c>
      <c r="J205" s="6">
        <f t="shared" si="15"/>
        <v>846.2</v>
      </c>
    </row>
    <row r="206" spans="7:10" x14ac:dyDescent="0.3">
      <c r="G206" s="19">
        <f t="shared" si="18"/>
        <v>5000</v>
      </c>
      <c r="H206" s="6">
        <f t="shared" si="16"/>
        <v>-143.80000000000001</v>
      </c>
      <c r="I206" s="6">
        <f t="shared" si="17"/>
        <v>1000</v>
      </c>
      <c r="J206" s="6">
        <f t="shared" si="15"/>
        <v>856.2</v>
      </c>
    </row>
    <row r="207" spans="7:10" x14ac:dyDescent="0.3">
      <c r="G207" s="19">
        <f t="shared" si="18"/>
        <v>5010</v>
      </c>
      <c r="H207" s="6">
        <f t="shared" si="16"/>
        <v>-143.80000000000001</v>
      </c>
      <c r="I207" s="6">
        <f t="shared" si="17"/>
        <v>1010</v>
      </c>
      <c r="J207" s="6">
        <f t="shared" si="15"/>
        <v>866.2</v>
      </c>
    </row>
  </sheetData>
  <sheetProtection algorithmName="SHA-512" hashValue="y4fP4s4SDf0GyopYMPKLygxQNJtbHsF3NgaAHnTQd2Te3K8yF+qKq5dhu0TR82+PflhKkr5vwvA3K1+HXNtmpA==" saltValue="JK0DeFfOFCgk6HnG/93KZA==" spinCount="100000" sheet="1" objects="1" scenarios="1"/>
  <mergeCells count="6">
    <mergeCell ref="K120:N120"/>
    <mergeCell ref="M9:P10"/>
    <mergeCell ref="M12:P13"/>
    <mergeCell ref="B2:F8"/>
    <mergeCell ref="M3:P7"/>
    <mergeCell ref="M2:P2"/>
  </mergeCells>
  <conditionalFormatting sqref="H5:J207">
    <cfRule type="cellIs" dxfId="99" priority="1" operator="lessThan">
      <formula>0</formula>
    </cfRule>
    <cfRule type="cellIs" dxfId="98" priority="14" operator="lessThan">
      <formula>#REF!</formula>
    </cfRule>
    <cfRule type="cellIs" dxfId="97" priority="15" operator="greaterThan">
      <formula>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DD689-A5B7-4E98-AC03-B88FA4F9517A}">
  <sheetPr codeName="Sheet6"/>
  <dimension ref="B1:O207"/>
  <sheetViews>
    <sheetView topLeftCell="C1" workbookViewId="0">
      <selection activeCell="H2" sqref="H2:K5"/>
    </sheetView>
  </sheetViews>
  <sheetFormatPr defaultRowHeight="14.4" x14ac:dyDescent="0.3"/>
  <cols>
    <col min="8" max="8" width="11.33203125" bestFit="1" customWidth="1"/>
    <col min="9" max="9" width="11.5546875" bestFit="1" customWidth="1"/>
    <col min="10" max="10" width="12.21875" bestFit="1" customWidth="1"/>
    <col min="11" max="11" width="11.5546875" bestFit="1" customWidth="1"/>
  </cols>
  <sheetData>
    <row r="1" spans="2:15" ht="15" thickBot="1" x14ac:dyDescent="0.35"/>
    <row r="2" spans="2:15" x14ac:dyDescent="0.3">
      <c r="B2" s="96" t="s">
        <v>50</v>
      </c>
      <c r="C2" s="97"/>
      <c r="D2" s="97"/>
      <c r="E2" s="97"/>
      <c r="F2" s="98"/>
      <c r="H2" s="1" t="s">
        <v>52</v>
      </c>
      <c r="I2" s="1" t="s">
        <v>51</v>
      </c>
      <c r="J2" s="1" t="s">
        <v>52</v>
      </c>
      <c r="K2" s="1" t="s">
        <v>42</v>
      </c>
      <c r="M2" s="51" t="s">
        <v>45</v>
      </c>
      <c r="N2" s="52"/>
      <c r="O2" s="53"/>
    </row>
    <row r="3" spans="2:15" ht="15" thickBot="1" x14ac:dyDescent="0.35">
      <c r="B3" s="99"/>
      <c r="C3" s="100"/>
      <c r="D3" s="100"/>
      <c r="E3" s="100"/>
      <c r="F3" s="101"/>
      <c r="H3" s="19">
        <v>500</v>
      </c>
      <c r="I3" s="19">
        <v>2</v>
      </c>
      <c r="J3" s="19">
        <v>400</v>
      </c>
      <c r="K3" s="19">
        <v>1</v>
      </c>
      <c r="M3" s="23" t="s">
        <v>56</v>
      </c>
      <c r="N3" s="24"/>
      <c r="O3" s="25"/>
    </row>
    <row r="4" spans="2:15" x14ac:dyDescent="0.3">
      <c r="B4" s="99"/>
      <c r="C4" s="100"/>
      <c r="D4" s="100"/>
      <c r="E4" s="100"/>
      <c r="F4" s="101"/>
      <c r="H4" s="1" t="s">
        <v>4</v>
      </c>
      <c r="I4" s="17" t="s">
        <v>53</v>
      </c>
      <c r="J4" s="1" t="s">
        <v>51</v>
      </c>
      <c r="K4" s="1" t="s">
        <v>37</v>
      </c>
    </row>
    <row r="5" spans="2:15" ht="15" thickBot="1" x14ac:dyDescent="0.35">
      <c r="B5" s="99"/>
      <c r="C5" s="100"/>
      <c r="D5" s="100"/>
      <c r="E5" s="100"/>
      <c r="F5" s="101"/>
      <c r="H5" s="2">
        <f t="shared" ref="H5:H33" si="0">H6-10</f>
        <v>0</v>
      </c>
      <c r="I5" s="6">
        <f t="shared" ref="I5:I34" si="1">(MAX($J$3-H5,0)-$K$3)*-1</f>
        <v>-399</v>
      </c>
      <c r="J5" s="6">
        <f>MAX(H5-$H$3,0)-$I$3</f>
        <v>-2</v>
      </c>
      <c r="K5" s="6">
        <f>I5+J5</f>
        <v>-401</v>
      </c>
    </row>
    <row r="6" spans="2:15" x14ac:dyDescent="0.3">
      <c r="B6" s="99"/>
      <c r="C6" s="100"/>
      <c r="D6" s="100"/>
      <c r="E6" s="100"/>
      <c r="F6" s="101"/>
      <c r="H6" s="2">
        <f t="shared" si="0"/>
        <v>10</v>
      </c>
      <c r="I6" s="6">
        <f t="shared" si="1"/>
        <v>-389</v>
      </c>
      <c r="J6" s="6">
        <f t="shared" ref="J6:J56" si="2">MAX(H6-$H$3,0)-$I$3</f>
        <v>-2</v>
      </c>
      <c r="K6" s="6">
        <f t="shared" ref="K6:K54" si="3">I6+J6</f>
        <v>-391</v>
      </c>
      <c r="M6" s="111" t="s">
        <v>55</v>
      </c>
      <c r="N6" s="112"/>
      <c r="O6" s="113"/>
    </row>
    <row r="7" spans="2:15" ht="15" thickBot="1" x14ac:dyDescent="0.35">
      <c r="B7" s="99"/>
      <c r="C7" s="100"/>
      <c r="D7" s="100"/>
      <c r="E7" s="100"/>
      <c r="F7" s="101"/>
      <c r="H7" s="2">
        <f t="shared" si="0"/>
        <v>20</v>
      </c>
      <c r="I7" s="6">
        <f t="shared" si="1"/>
        <v>-379</v>
      </c>
      <c r="J7" s="6">
        <f t="shared" si="2"/>
        <v>-2</v>
      </c>
      <c r="K7" s="6">
        <f t="shared" si="3"/>
        <v>-381</v>
      </c>
      <c r="M7" s="114"/>
      <c r="N7" s="115"/>
      <c r="O7" s="116"/>
    </row>
    <row r="8" spans="2:15" ht="15" thickBot="1" x14ac:dyDescent="0.35">
      <c r="B8" s="102"/>
      <c r="C8" s="103"/>
      <c r="D8" s="103"/>
      <c r="E8" s="103"/>
      <c r="F8" s="104"/>
      <c r="H8" s="2">
        <f t="shared" si="0"/>
        <v>30</v>
      </c>
      <c r="I8" s="6">
        <f t="shared" si="1"/>
        <v>-369</v>
      </c>
      <c r="J8" s="6">
        <f t="shared" si="2"/>
        <v>-2</v>
      </c>
      <c r="K8" s="6">
        <f t="shared" si="3"/>
        <v>-371</v>
      </c>
    </row>
    <row r="9" spans="2:15" x14ac:dyDescent="0.3">
      <c r="H9" s="2">
        <f t="shared" si="0"/>
        <v>40</v>
      </c>
      <c r="I9" s="6">
        <f t="shared" si="1"/>
        <v>-359</v>
      </c>
      <c r="J9" s="6">
        <f t="shared" si="2"/>
        <v>-2</v>
      </c>
      <c r="K9" s="6">
        <f t="shared" si="3"/>
        <v>-361</v>
      </c>
    </row>
    <row r="10" spans="2:15" x14ac:dyDescent="0.3">
      <c r="H10" s="2">
        <f t="shared" si="0"/>
        <v>50</v>
      </c>
      <c r="I10" s="6">
        <f t="shared" si="1"/>
        <v>-349</v>
      </c>
      <c r="J10" s="6">
        <f t="shared" si="2"/>
        <v>-2</v>
      </c>
      <c r="K10" s="6">
        <f t="shared" si="3"/>
        <v>-351</v>
      </c>
    </row>
    <row r="11" spans="2:15" x14ac:dyDescent="0.3">
      <c r="H11" s="2">
        <f t="shared" si="0"/>
        <v>60</v>
      </c>
      <c r="I11" s="6">
        <f t="shared" si="1"/>
        <v>-339</v>
      </c>
      <c r="J11" s="6">
        <f t="shared" si="2"/>
        <v>-2</v>
      </c>
      <c r="K11" s="6">
        <f t="shared" si="3"/>
        <v>-341</v>
      </c>
    </row>
    <row r="12" spans="2:15" x14ac:dyDescent="0.3">
      <c r="H12" s="2">
        <f t="shared" si="0"/>
        <v>70</v>
      </c>
      <c r="I12" s="6">
        <f t="shared" si="1"/>
        <v>-329</v>
      </c>
      <c r="J12" s="6">
        <f t="shared" si="2"/>
        <v>-2</v>
      </c>
      <c r="K12" s="6">
        <f t="shared" si="3"/>
        <v>-331</v>
      </c>
    </row>
    <row r="13" spans="2:15" x14ac:dyDescent="0.3">
      <c r="H13" s="2">
        <f t="shared" si="0"/>
        <v>80</v>
      </c>
      <c r="I13" s="6">
        <f t="shared" si="1"/>
        <v>-319</v>
      </c>
      <c r="J13" s="6">
        <f t="shared" si="2"/>
        <v>-2</v>
      </c>
      <c r="K13" s="6">
        <f t="shared" si="3"/>
        <v>-321</v>
      </c>
    </row>
    <row r="14" spans="2:15" x14ac:dyDescent="0.3">
      <c r="H14" s="2">
        <f t="shared" si="0"/>
        <v>90</v>
      </c>
      <c r="I14" s="6">
        <f t="shared" si="1"/>
        <v>-309</v>
      </c>
      <c r="J14" s="6">
        <f t="shared" si="2"/>
        <v>-2</v>
      </c>
      <c r="K14" s="6">
        <f t="shared" si="3"/>
        <v>-311</v>
      </c>
    </row>
    <row r="15" spans="2:15" x14ac:dyDescent="0.3">
      <c r="H15" s="2">
        <f t="shared" si="0"/>
        <v>100</v>
      </c>
      <c r="I15" s="6">
        <f t="shared" si="1"/>
        <v>-299</v>
      </c>
      <c r="J15" s="6">
        <f t="shared" si="2"/>
        <v>-2</v>
      </c>
      <c r="K15" s="6">
        <f t="shared" si="3"/>
        <v>-301</v>
      </c>
    </row>
    <row r="16" spans="2:15" x14ac:dyDescent="0.3">
      <c r="H16" s="2">
        <f t="shared" si="0"/>
        <v>110</v>
      </c>
      <c r="I16" s="6">
        <f t="shared" si="1"/>
        <v>-289</v>
      </c>
      <c r="J16" s="6">
        <f t="shared" si="2"/>
        <v>-2</v>
      </c>
      <c r="K16" s="6">
        <f t="shared" si="3"/>
        <v>-291</v>
      </c>
    </row>
    <row r="17" spans="8:11" x14ac:dyDescent="0.3">
      <c r="H17" s="2">
        <f t="shared" si="0"/>
        <v>120</v>
      </c>
      <c r="I17" s="6">
        <f t="shared" si="1"/>
        <v>-279</v>
      </c>
      <c r="J17" s="6">
        <f t="shared" si="2"/>
        <v>-2</v>
      </c>
      <c r="K17" s="6">
        <f t="shared" si="3"/>
        <v>-281</v>
      </c>
    </row>
    <row r="18" spans="8:11" x14ac:dyDescent="0.3">
      <c r="H18" s="2">
        <f t="shared" si="0"/>
        <v>130</v>
      </c>
      <c r="I18" s="6">
        <f t="shared" si="1"/>
        <v>-269</v>
      </c>
      <c r="J18" s="6">
        <f t="shared" si="2"/>
        <v>-2</v>
      </c>
      <c r="K18" s="6">
        <f t="shared" si="3"/>
        <v>-271</v>
      </c>
    </row>
    <row r="19" spans="8:11" x14ac:dyDescent="0.3">
      <c r="H19" s="2">
        <f t="shared" si="0"/>
        <v>140</v>
      </c>
      <c r="I19" s="6">
        <f t="shared" si="1"/>
        <v>-259</v>
      </c>
      <c r="J19" s="6">
        <f t="shared" si="2"/>
        <v>-2</v>
      </c>
      <c r="K19" s="6">
        <f t="shared" si="3"/>
        <v>-261</v>
      </c>
    </row>
    <row r="20" spans="8:11" x14ac:dyDescent="0.3">
      <c r="H20" s="2">
        <f t="shared" si="0"/>
        <v>150</v>
      </c>
      <c r="I20" s="6">
        <f t="shared" si="1"/>
        <v>-249</v>
      </c>
      <c r="J20" s="6">
        <f t="shared" si="2"/>
        <v>-2</v>
      </c>
      <c r="K20" s="6">
        <f t="shared" si="3"/>
        <v>-251</v>
      </c>
    </row>
    <row r="21" spans="8:11" x14ac:dyDescent="0.3">
      <c r="H21" s="2">
        <f t="shared" si="0"/>
        <v>160</v>
      </c>
      <c r="I21" s="6">
        <f t="shared" si="1"/>
        <v>-239</v>
      </c>
      <c r="J21" s="6">
        <f t="shared" si="2"/>
        <v>-2</v>
      </c>
      <c r="K21" s="6">
        <f t="shared" si="3"/>
        <v>-241</v>
      </c>
    </row>
    <row r="22" spans="8:11" x14ac:dyDescent="0.3">
      <c r="H22" s="2">
        <f t="shared" si="0"/>
        <v>170</v>
      </c>
      <c r="I22" s="6">
        <f t="shared" si="1"/>
        <v>-229</v>
      </c>
      <c r="J22" s="6">
        <f t="shared" si="2"/>
        <v>-2</v>
      </c>
      <c r="K22" s="6">
        <f t="shared" si="3"/>
        <v>-231</v>
      </c>
    </row>
    <row r="23" spans="8:11" x14ac:dyDescent="0.3">
      <c r="H23" s="2">
        <f t="shared" si="0"/>
        <v>180</v>
      </c>
      <c r="I23" s="6">
        <f t="shared" si="1"/>
        <v>-219</v>
      </c>
      <c r="J23" s="6">
        <f t="shared" si="2"/>
        <v>-2</v>
      </c>
      <c r="K23" s="6">
        <f t="shared" si="3"/>
        <v>-221</v>
      </c>
    </row>
    <row r="24" spans="8:11" x14ac:dyDescent="0.3">
      <c r="H24" s="2">
        <f t="shared" si="0"/>
        <v>190</v>
      </c>
      <c r="I24" s="6">
        <f t="shared" si="1"/>
        <v>-209</v>
      </c>
      <c r="J24" s="6">
        <f t="shared" si="2"/>
        <v>-2</v>
      </c>
      <c r="K24" s="6">
        <f t="shared" si="3"/>
        <v>-211</v>
      </c>
    </row>
    <row r="25" spans="8:11" x14ac:dyDescent="0.3">
      <c r="H25" s="2">
        <f t="shared" si="0"/>
        <v>200</v>
      </c>
      <c r="I25" s="6">
        <f t="shared" si="1"/>
        <v>-199</v>
      </c>
      <c r="J25" s="6">
        <f t="shared" si="2"/>
        <v>-2</v>
      </c>
      <c r="K25" s="6">
        <f t="shared" si="3"/>
        <v>-201</v>
      </c>
    </row>
    <row r="26" spans="8:11" x14ac:dyDescent="0.3">
      <c r="H26" s="2">
        <f t="shared" si="0"/>
        <v>210</v>
      </c>
      <c r="I26" s="6">
        <f t="shared" si="1"/>
        <v>-189</v>
      </c>
      <c r="J26" s="6">
        <f t="shared" si="2"/>
        <v>-2</v>
      </c>
      <c r="K26" s="6">
        <f t="shared" si="3"/>
        <v>-191</v>
      </c>
    </row>
    <row r="27" spans="8:11" x14ac:dyDescent="0.3">
      <c r="H27" s="2">
        <f t="shared" si="0"/>
        <v>220</v>
      </c>
      <c r="I27" s="6">
        <f t="shared" si="1"/>
        <v>-179</v>
      </c>
      <c r="J27" s="6">
        <f t="shared" si="2"/>
        <v>-2</v>
      </c>
      <c r="K27" s="6">
        <f t="shared" si="3"/>
        <v>-181</v>
      </c>
    </row>
    <row r="28" spans="8:11" x14ac:dyDescent="0.3">
      <c r="H28" s="2">
        <f t="shared" si="0"/>
        <v>230</v>
      </c>
      <c r="I28" s="6">
        <f t="shared" si="1"/>
        <v>-169</v>
      </c>
      <c r="J28" s="6">
        <f t="shared" si="2"/>
        <v>-2</v>
      </c>
      <c r="K28" s="6">
        <f t="shared" si="3"/>
        <v>-171</v>
      </c>
    </row>
    <row r="29" spans="8:11" x14ac:dyDescent="0.3">
      <c r="H29" s="2">
        <f t="shared" si="0"/>
        <v>240</v>
      </c>
      <c r="I29" s="6">
        <f t="shared" si="1"/>
        <v>-159</v>
      </c>
      <c r="J29" s="6">
        <f t="shared" si="2"/>
        <v>-2</v>
      </c>
      <c r="K29" s="6">
        <f t="shared" si="3"/>
        <v>-161</v>
      </c>
    </row>
    <row r="30" spans="8:11" x14ac:dyDescent="0.3">
      <c r="H30" s="2">
        <f t="shared" si="0"/>
        <v>250</v>
      </c>
      <c r="I30" s="6">
        <f t="shared" si="1"/>
        <v>-149</v>
      </c>
      <c r="J30" s="6">
        <f t="shared" si="2"/>
        <v>-2</v>
      </c>
      <c r="K30" s="6">
        <f t="shared" si="3"/>
        <v>-151</v>
      </c>
    </row>
    <row r="31" spans="8:11" x14ac:dyDescent="0.3">
      <c r="H31" s="2">
        <f t="shared" si="0"/>
        <v>260</v>
      </c>
      <c r="I31" s="6">
        <f t="shared" si="1"/>
        <v>-139</v>
      </c>
      <c r="J31" s="6">
        <f t="shared" si="2"/>
        <v>-2</v>
      </c>
      <c r="K31" s="6">
        <f t="shared" si="3"/>
        <v>-141</v>
      </c>
    </row>
    <row r="32" spans="8:11" x14ac:dyDescent="0.3">
      <c r="H32" s="2">
        <f t="shared" si="0"/>
        <v>270</v>
      </c>
      <c r="I32" s="6">
        <f t="shared" si="1"/>
        <v>-129</v>
      </c>
      <c r="J32" s="6">
        <f t="shared" si="2"/>
        <v>-2</v>
      </c>
      <c r="K32" s="6">
        <f t="shared" si="3"/>
        <v>-131</v>
      </c>
    </row>
    <row r="33" spans="8:11" x14ac:dyDescent="0.3">
      <c r="H33" s="2">
        <f t="shared" si="0"/>
        <v>280</v>
      </c>
      <c r="I33" s="6">
        <f t="shared" si="1"/>
        <v>-119</v>
      </c>
      <c r="J33" s="6">
        <f t="shared" si="2"/>
        <v>-2</v>
      </c>
      <c r="K33" s="6">
        <f t="shared" si="3"/>
        <v>-121</v>
      </c>
    </row>
    <row r="34" spans="8:11" x14ac:dyDescent="0.3">
      <c r="H34" s="2">
        <f>H35-10</f>
        <v>290</v>
      </c>
      <c r="I34" s="6">
        <f t="shared" si="1"/>
        <v>-109</v>
      </c>
      <c r="J34" s="6">
        <f t="shared" si="2"/>
        <v>-2</v>
      </c>
      <c r="K34" s="6">
        <f t="shared" si="3"/>
        <v>-111</v>
      </c>
    </row>
    <row r="35" spans="8:11" x14ac:dyDescent="0.3">
      <c r="H35" s="2">
        <v>300</v>
      </c>
      <c r="I35" s="6">
        <f>(MAX($J$3-H35,0)-$K$3)*-1</f>
        <v>-99</v>
      </c>
      <c r="J35" s="6">
        <f t="shared" si="2"/>
        <v>-2</v>
      </c>
      <c r="K35" s="6">
        <f t="shared" si="3"/>
        <v>-101</v>
      </c>
    </row>
    <row r="36" spans="8:11" x14ac:dyDescent="0.3">
      <c r="H36" s="2">
        <f>H35+10</f>
        <v>310</v>
      </c>
      <c r="I36" s="6">
        <f t="shared" ref="I36:I56" si="4">(MAX($J$3-H36,0)-$K$3)*-1</f>
        <v>-89</v>
      </c>
      <c r="J36" s="6">
        <f t="shared" si="2"/>
        <v>-2</v>
      </c>
      <c r="K36" s="6">
        <f t="shared" si="3"/>
        <v>-91</v>
      </c>
    </row>
    <row r="37" spans="8:11" x14ac:dyDescent="0.3">
      <c r="H37" s="2">
        <f t="shared" ref="H37:H55" si="5">H36+10</f>
        <v>320</v>
      </c>
      <c r="I37" s="6">
        <f t="shared" si="4"/>
        <v>-79</v>
      </c>
      <c r="J37" s="6">
        <f t="shared" si="2"/>
        <v>-2</v>
      </c>
      <c r="K37" s="6">
        <f t="shared" si="3"/>
        <v>-81</v>
      </c>
    </row>
    <row r="38" spans="8:11" x14ac:dyDescent="0.3">
      <c r="H38" s="2">
        <f t="shared" si="5"/>
        <v>330</v>
      </c>
      <c r="I38" s="6">
        <f t="shared" si="4"/>
        <v>-69</v>
      </c>
      <c r="J38" s="6">
        <f t="shared" si="2"/>
        <v>-2</v>
      </c>
      <c r="K38" s="6">
        <f t="shared" si="3"/>
        <v>-71</v>
      </c>
    </row>
    <row r="39" spans="8:11" x14ac:dyDescent="0.3">
      <c r="H39" s="2">
        <f t="shared" si="5"/>
        <v>340</v>
      </c>
      <c r="I39" s="6">
        <f t="shared" si="4"/>
        <v>-59</v>
      </c>
      <c r="J39" s="6">
        <f t="shared" si="2"/>
        <v>-2</v>
      </c>
      <c r="K39" s="6">
        <f t="shared" si="3"/>
        <v>-61</v>
      </c>
    </row>
    <row r="40" spans="8:11" x14ac:dyDescent="0.3">
      <c r="H40" s="2">
        <f t="shared" si="5"/>
        <v>350</v>
      </c>
      <c r="I40" s="6">
        <f t="shared" si="4"/>
        <v>-49</v>
      </c>
      <c r="J40" s="6">
        <f t="shared" si="2"/>
        <v>-2</v>
      </c>
      <c r="K40" s="6">
        <f t="shared" si="3"/>
        <v>-51</v>
      </c>
    </row>
    <row r="41" spans="8:11" x14ac:dyDescent="0.3">
      <c r="H41" s="2">
        <f t="shared" si="5"/>
        <v>360</v>
      </c>
      <c r="I41" s="6">
        <f t="shared" si="4"/>
        <v>-39</v>
      </c>
      <c r="J41" s="6">
        <f t="shared" si="2"/>
        <v>-2</v>
      </c>
      <c r="K41" s="6">
        <f t="shared" si="3"/>
        <v>-41</v>
      </c>
    </row>
    <row r="42" spans="8:11" x14ac:dyDescent="0.3">
      <c r="H42" s="2">
        <f t="shared" si="5"/>
        <v>370</v>
      </c>
      <c r="I42" s="6">
        <f t="shared" si="4"/>
        <v>-29</v>
      </c>
      <c r="J42" s="6">
        <f t="shared" si="2"/>
        <v>-2</v>
      </c>
      <c r="K42" s="6">
        <f t="shared" si="3"/>
        <v>-31</v>
      </c>
    </row>
    <row r="43" spans="8:11" x14ac:dyDescent="0.3">
      <c r="H43" s="2">
        <f t="shared" si="5"/>
        <v>380</v>
      </c>
      <c r="I43" s="6">
        <f t="shared" si="4"/>
        <v>-19</v>
      </c>
      <c r="J43" s="6">
        <f t="shared" si="2"/>
        <v>-2</v>
      </c>
      <c r="K43" s="6">
        <f t="shared" si="3"/>
        <v>-21</v>
      </c>
    </row>
    <row r="44" spans="8:11" x14ac:dyDescent="0.3">
      <c r="H44" s="2">
        <f t="shared" si="5"/>
        <v>390</v>
      </c>
      <c r="I44" s="6">
        <f t="shared" si="4"/>
        <v>-9</v>
      </c>
      <c r="J44" s="6">
        <f t="shared" si="2"/>
        <v>-2</v>
      </c>
      <c r="K44" s="6">
        <f t="shared" si="3"/>
        <v>-11</v>
      </c>
    </row>
    <row r="45" spans="8:11" x14ac:dyDescent="0.3">
      <c r="H45" s="2">
        <f t="shared" si="5"/>
        <v>400</v>
      </c>
      <c r="I45" s="6">
        <f t="shared" si="4"/>
        <v>1</v>
      </c>
      <c r="J45" s="6">
        <f t="shared" si="2"/>
        <v>-2</v>
      </c>
      <c r="K45" s="6">
        <f t="shared" si="3"/>
        <v>-1</v>
      </c>
    </row>
    <row r="46" spans="8:11" x14ac:dyDescent="0.3">
      <c r="H46" s="2">
        <f t="shared" si="5"/>
        <v>410</v>
      </c>
      <c r="I46" s="6">
        <f t="shared" si="4"/>
        <v>1</v>
      </c>
      <c r="J46" s="6">
        <f t="shared" si="2"/>
        <v>-2</v>
      </c>
      <c r="K46" s="6">
        <f t="shared" si="3"/>
        <v>-1</v>
      </c>
    </row>
    <row r="47" spans="8:11" x14ac:dyDescent="0.3">
      <c r="H47" s="2">
        <f t="shared" si="5"/>
        <v>420</v>
      </c>
      <c r="I47" s="6">
        <f t="shared" si="4"/>
        <v>1</v>
      </c>
      <c r="J47" s="6">
        <f t="shared" si="2"/>
        <v>-2</v>
      </c>
      <c r="K47" s="6">
        <f t="shared" si="3"/>
        <v>-1</v>
      </c>
    </row>
    <row r="48" spans="8:11" x14ac:dyDescent="0.3">
      <c r="H48" s="2">
        <f t="shared" si="5"/>
        <v>430</v>
      </c>
      <c r="I48" s="6">
        <f t="shared" si="4"/>
        <v>1</v>
      </c>
      <c r="J48" s="6">
        <f t="shared" si="2"/>
        <v>-2</v>
      </c>
      <c r="K48" s="6">
        <f t="shared" si="3"/>
        <v>-1</v>
      </c>
    </row>
    <row r="49" spans="8:14" x14ac:dyDescent="0.3">
      <c r="H49" s="2">
        <f t="shared" si="5"/>
        <v>440</v>
      </c>
      <c r="I49" s="6">
        <f t="shared" si="4"/>
        <v>1</v>
      </c>
      <c r="J49" s="6">
        <f t="shared" si="2"/>
        <v>-2</v>
      </c>
      <c r="K49" s="6">
        <f t="shared" si="3"/>
        <v>-1</v>
      </c>
    </row>
    <row r="50" spans="8:14" x14ac:dyDescent="0.3">
      <c r="H50" s="2">
        <f t="shared" si="5"/>
        <v>450</v>
      </c>
      <c r="I50" s="6">
        <f t="shared" si="4"/>
        <v>1</v>
      </c>
      <c r="J50" s="6">
        <f t="shared" si="2"/>
        <v>-2</v>
      </c>
      <c r="K50" s="6">
        <f t="shared" si="3"/>
        <v>-1</v>
      </c>
    </row>
    <row r="51" spans="8:14" x14ac:dyDescent="0.3">
      <c r="H51" s="2">
        <f t="shared" si="5"/>
        <v>460</v>
      </c>
      <c r="I51" s="6">
        <f t="shared" si="4"/>
        <v>1</v>
      </c>
      <c r="J51" s="6">
        <f t="shared" si="2"/>
        <v>-2</v>
      </c>
      <c r="K51" s="6">
        <f t="shared" si="3"/>
        <v>-1</v>
      </c>
    </row>
    <row r="52" spans="8:14" x14ac:dyDescent="0.3">
      <c r="H52" s="2">
        <f t="shared" si="5"/>
        <v>470</v>
      </c>
      <c r="I52" s="6">
        <f t="shared" si="4"/>
        <v>1</v>
      </c>
      <c r="J52" s="6">
        <f t="shared" si="2"/>
        <v>-2</v>
      </c>
      <c r="K52" s="6">
        <f t="shared" si="3"/>
        <v>-1</v>
      </c>
    </row>
    <row r="53" spans="8:14" x14ac:dyDescent="0.3">
      <c r="H53" s="2">
        <f t="shared" si="5"/>
        <v>480</v>
      </c>
      <c r="I53" s="6">
        <f t="shared" si="4"/>
        <v>1</v>
      </c>
      <c r="J53" s="6">
        <f t="shared" si="2"/>
        <v>-2</v>
      </c>
      <c r="K53" s="6">
        <f t="shared" si="3"/>
        <v>-1</v>
      </c>
    </row>
    <row r="54" spans="8:14" x14ac:dyDescent="0.3">
      <c r="H54" s="2">
        <f t="shared" si="5"/>
        <v>490</v>
      </c>
      <c r="I54" s="6">
        <f t="shared" si="4"/>
        <v>1</v>
      </c>
      <c r="J54" s="6">
        <f t="shared" si="2"/>
        <v>-2</v>
      </c>
      <c r="K54" s="6">
        <f t="shared" si="3"/>
        <v>-1</v>
      </c>
    </row>
    <row r="55" spans="8:14" x14ac:dyDescent="0.3">
      <c r="H55" s="2">
        <f t="shared" si="5"/>
        <v>500</v>
      </c>
      <c r="I55" s="6">
        <f t="shared" si="4"/>
        <v>1</v>
      </c>
      <c r="J55" s="6">
        <f t="shared" si="2"/>
        <v>-2</v>
      </c>
      <c r="K55" s="6">
        <f t="shared" ref="K55:K96" si="6">I55+J55</f>
        <v>-1</v>
      </c>
    </row>
    <row r="56" spans="8:14" x14ac:dyDescent="0.3">
      <c r="H56" s="2">
        <f>H55+1</f>
        <v>501</v>
      </c>
      <c r="I56" s="6">
        <f t="shared" si="4"/>
        <v>1</v>
      </c>
      <c r="J56" s="6">
        <f t="shared" si="2"/>
        <v>-1</v>
      </c>
      <c r="K56" s="6">
        <f t="shared" si="6"/>
        <v>0</v>
      </c>
      <c r="L56" s="76" t="s">
        <v>54</v>
      </c>
      <c r="M56" s="76"/>
      <c r="N56" s="76"/>
    </row>
    <row r="57" spans="8:14" x14ac:dyDescent="0.3">
      <c r="H57" s="2">
        <f>H55+10</f>
        <v>510</v>
      </c>
      <c r="I57" s="6">
        <f t="shared" ref="I57:I96" si="7">(MAX($J$3-H57,0)-$K$3)*-1</f>
        <v>1</v>
      </c>
      <c r="J57" s="6">
        <f t="shared" ref="J57:J70" si="8">MAX(H57-$H$3,0)-$I$3</f>
        <v>8</v>
      </c>
      <c r="K57" s="6">
        <f t="shared" si="6"/>
        <v>9</v>
      </c>
    </row>
    <row r="58" spans="8:14" x14ac:dyDescent="0.3">
      <c r="H58" s="2">
        <f t="shared" ref="H58:H96" si="9">H57+10</f>
        <v>520</v>
      </c>
      <c r="I58" s="6">
        <f t="shared" si="7"/>
        <v>1</v>
      </c>
      <c r="J58" s="6">
        <f t="shared" si="8"/>
        <v>18</v>
      </c>
      <c r="K58" s="6">
        <f t="shared" si="6"/>
        <v>19</v>
      </c>
    </row>
    <row r="59" spans="8:14" x14ac:dyDescent="0.3">
      <c r="H59" s="2">
        <f t="shared" si="9"/>
        <v>530</v>
      </c>
      <c r="I59" s="6">
        <f t="shared" si="7"/>
        <v>1</v>
      </c>
      <c r="J59" s="6">
        <f t="shared" si="8"/>
        <v>28</v>
      </c>
      <c r="K59" s="6">
        <f t="shared" si="6"/>
        <v>29</v>
      </c>
    </row>
    <row r="60" spans="8:14" x14ac:dyDescent="0.3">
      <c r="H60" s="2">
        <f t="shared" si="9"/>
        <v>540</v>
      </c>
      <c r="I60" s="6">
        <f t="shared" si="7"/>
        <v>1</v>
      </c>
      <c r="J60" s="6">
        <f t="shared" si="8"/>
        <v>38</v>
      </c>
      <c r="K60" s="6">
        <f t="shared" si="6"/>
        <v>39</v>
      </c>
    </row>
    <row r="61" spans="8:14" x14ac:dyDescent="0.3">
      <c r="H61" s="2">
        <f t="shared" si="9"/>
        <v>550</v>
      </c>
      <c r="I61" s="6">
        <f t="shared" si="7"/>
        <v>1</v>
      </c>
      <c r="J61" s="6">
        <f t="shared" si="8"/>
        <v>48</v>
      </c>
      <c r="K61" s="6">
        <f t="shared" si="6"/>
        <v>49</v>
      </c>
    </row>
    <row r="62" spans="8:14" x14ac:dyDescent="0.3">
      <c r="H62" s="2">
        <f t="shared" si="9"/>
        <v>560</v>
      </c>
      <c r="I62" s="6">
        <f t="shared" si="7"/>
        <v>1</v>
      </c>
      <c r="J62" s="6">
        <f t="shared" si="8"/>
        <v>58</v>
      </c>
      <c r="K62" s="6">
        <f t="shared" si="6"/>
        <v>59</v>
      </c>
    </row>
    <row r="63" spans="8:14" x14ac:dyDescent="0.3">
      <c r="H63" s="2">
        <f t="shared" si="9"/>
        <v>570</v>
      </c>
      <c r="I63" s="6">
        <f t="shared" si="7"/>
        <v>1</v>
      </c>
      <c r="J63" s="6">
        <f t="shared" si="8"/>
        <v>68</v>
      </c>
      <c r="K63" s="6">
        <f t="shared" si="6"/>
        <v>69</v>
      </c>
    </row>
    <row r="64" spans="8:14" x14ac:dyDescent="0.3">
      <c r="H64" s="2">
        <f t="shared" si="9"/>
        <v>580</v>
      </c>
      <c r="I64" s="6">
        <f t="shared" si="7"/>
        <v>1</v>
      </c>
      <c r="J64" s="6">
        <f t="shared" si="8"/>
        <v>78</v>
      </c>
      <c r="K64" s="6">
        <f t="shared" si="6"/>
        <v>79</v>
      </c>
    </row>
    <row r="65" spans="8:11" x14ac:dyDescent="0.3">
      <c r="H65" s="2">
        <f t="shared" si="9"/>
        <v>590</v>
      </c>
      <c r="I65" s="6">
        <f t="shared" si="7"/>
        <v>1</v>
      </c>
      <c r="J65" s="6">
        <f t="shared" si="8"/>
        <v>88</v>
      </c>
      <c r="K65" s="6">
        <f t="shared" si="6"/>
        <v>89</v>
      </c>
    </row>
    <row r="66" spans="8:11" x14ac:dyDescent="0.3">
      <c r="H66" s="2">
        <f t="shared" si="9"/>
        <v>600</v>
      </c>
      <c r="I66" s="6">
        <f t="shared" si="7"/>
        <v>1</v>
      </c>
      <c r="J66" s="6">
        <f t="shared" si="8"/>
        <v>98</v>
      </c>
      <c r="K66" s="6">
        <f t="shared" si="6"/>
        <v>99</v>
      </c>
    </row>
    <row r="67" spans="8:11" x14ac:dyDescent="0.3">
      <c r="H67" s="2">
        <f t="shared" si="9"/>
        <v>610</v>
      </c>
      <c r="I67" s="6">
        <f t="shared" si="7"/>
        <v>1</v>
      </c>
      <c r="J67" s="6">
        <f t="shared" si="8"/>
        <v>108</v>
      </c>
      <c r="K67" s="6">
        <f t="shared" si="6"/>
        <v>109</v>
      </c>
    </row>
    <row r="68" spans="8:11" x14ac:dyDescent="0.3">
      <c r="H68" s="2">
        <f t="shared" si="9"/>
        <v>620</v>
      </c>
      <c r="I68" s="6">
        <f t="shared" si="7"/>
        <v>1</v>
      </c>
      <c r="J68" s="6">
        <f t="shared" si="8"/>
        <v>118</v>
      </c>
      <c r="K68" s="6">
        <f t="shared" si="6"/>
        <v>119</v>
      </c>
    </row>
    <row r="69" spans="8:11" x14ac:dyDescent="0.3">
      <c r="H69" s="2">
        <f t="shared" si="9"/>
        <v>630</v>
      </c>
      <c r="I69" s="6">
        <f t="shared" si="7"/>
        <v>1</v>
      </c>
      <c r="J69" s="6">
        <f t="shared" si="8"/>
        <v>128</v>
      </c>
      <c r="K69" s="6">
        <f t="shared" si="6"/>
        <v>129</v>
      </c>
    </row>
    <row r="70" spans="8:11" x14ac:dyDescent="0.3">
      <c r="H70" s="2">
        <f t="shared" si="9"/>
        <v>640</v>
      </c>
      <c r="I70" s="6">
        <f t="shared" si="7"/>
        <v>1</v>
      </c>
      <c r="J70" s="6">
        <f t="shared" si="8"/>
        <v>138</v>
      </c>
      <c r="K70" s="6">
        <f t="shared" si="6"/>
        <v>139</v>
      </c>
    </row>
    <row r="71" spans="8:11" x14ac:dyDescent="0.3">
      <c r="H71" s="2">
        <f t="shared" si="9"/>
        <v>650</v>
      </c>
      <c r="I71" s="6">
        <f t="shared" si="7"/>
        <v>1</v>
      </c>
      <c r="J71" s="6">
        <f t="shared" ref="J71:J96" si="10">MAX(H71-$H$3,0)-$I$3</f>
        <v>148</v>
      </c>
      <c r="K71" s="6">
        <f t="shared" si="6"/>
        <v>149</v>
      </c>
    </row>
    <row r="72" spans="8:11" x14ac:dyDescent="0.3">
      <c r="H72" s="2">
        <f t="shared" si="9"/>
        <v>660</v>
      </c>
      <c r="I72" s="6">
        <f t="shared" si="7"/>
        <v>1</v>
      </c>
      <c r="J72" s="6">
        <f t="shared" si="10"/>
        <v>158</v>
      </c>
      <c r="K72" s="6">
        <f t="shared" si="6"/>
        <v>159</v>
      </c>
    </row>
    <row r="73" spans="8:11" x14ac:dyDescent="0.3">
      <c r="H73" s="2">
        <f t="shared" si="9"/>
        <v>670</v>
      </c>
      <c r="I73" s="6">
        <f t="shared" si="7"/>
        <v>1</v>
      </c>
      <c r="J73" s="6">
        <f t="shared" si="10"/>
        <v>168</v>
      </c>
      <c r="K73" s="6">
        <f t="shared" si="6"/>
        <v>169</v>
      </c>
    </row>
    <row r="74" spans="8:11" x14ac:dyDescent="0.3">
      <c r="H74" s="2">
        <f t="shared" si="9"/>
        <v>680</v>
      </c>
      <c r="I74" s="6">
        <f t="shared" si="7"/>
        <v>1</v>
      </c>
      <c r="J74" s="6">
        <f t="shared" si="10"/>
        <v>178</v>
      </c>
      <c r="K74" s="6">
        <f t="shared" si="6"/>
        <v>179</v>
      </c>
    </row>
    <row r="75" spans="8:11" x14ac:dyDescent="0.3">
      <c r="H75" s="2">
        <f t="shared" si="9"/>
        <v>690</v>
      </c>
      <c r="I75" s="6">
        <f t="shared" si="7"/>
        <v>1</v>
      </c>
      <c r="J75" s="6">
        <f t="shared" si="10"/>
        <v>188</v>
      </c>
      <c r="K75" s="6">
        <f t="shared" si="6"/>
        <v>189</v>
      </c>
    </row>
    <row r="76" spans="8:11" x14ac:dyDescent="0.3">
      <c r="H76" s="2">
        <f t="shared" si="9"/>
        <v>700</v>
      </c>
      <c r="I76" s="6">
        <f t="shared" si="7"/>
        <v>1</v>
      </c>
      <c r="J76" s="6">
        <f t="shared" si="10"/>
        <v>198</v>
      </c>
      <c r="K76" s="6">
        <f t="shared" si="6"/>
        <v>199</v>
      </c>
    </row>
    <row r="77" spans="8:11" x14ac:dyDescent="0.3">
      <c r="H77" s="2">
        <f t="shared" si="9"/>
        <v>710</v>
      </c>
      <c r="I77" s="6">
        <f t="shared" si="7"/>
        <v>1</v>
      </c>
      <c r="J77" s="6">
        <f t="shared" si="10"/>
        <v>208</v>
      </c>
      <c r="K77" s="6">
        <f t="shared" si="6"/>
        <v>209</v>
      </c>
    </row>
    <row r="78" spans="8:11" x14ac:dyDescent="0.3">
      <c r="H78" s="2">
        <f t="shared" si="9"/>
        <v>720</v>
      </c>
      <c r="I78" s="6">
        <f t="shared" si="7"/>
        <v>1</v>
      </c>
      <c r="J78" s="6">
        <f t="shared" si="10"/>
        <v>218</v>
      </c>
      <c r="K78" s="6">
        <f t="shared" si="6"/>
        <v>219</v>
      </c>
    </row>
    <row r="79" spans="8:11" x14ac:dyDescent="0.3">
      <c r="H79" s="2">
        <f t="shared" si="9"/>
        <v>730</v>
      </c>
      <c r="I79" s="6">
        <f t="shared" si="7"/>
        <v>1</v>
      </c>
      <c r="J79" s="6">
        <f t="shared" si="10"/>
        <v>228</v>
      </c>
      <c r="K79" s="6">
        <f t="shared" si="6"/>
        <v>229</v>
      </c>
    </row>
    <row r="80" spans="8:11" x14ac:dyDescent="0.3">
      <c r="H80" s="2">
        <f t="shared" si="9"/>
        <v>740</v>
      </c>
      <c r="I80" s="6">
        <f t="shared" si="7"/>
        <v>1</v>
      </c>
      <c r="J80" s="6">
        <f t="shared" si="10"/>
        <v>238</v>
      </c>
      <c r="K80" s="6">
        <f t="shared" si="6"/>
        <v>239</v>
      </c>
    </row>
    <row r="81" spans="8:11" x14ac:dyDescent="0.3">
      <c r="H81" s="2">
        <f t="shared" si="9"/>
        <v>750</v>
      </c>
      <c r="I81" s="6">
        <f t="shared" si="7"/>
        <v>1</v>
      </c>
      <c r="J81" s="6">
        <f t="shared" si="10"/>
        <v>248</v>
      </c>
      <c r="K81" s="6">
        <f t="shared" si="6"/>
        <v>249</v>
      </c>
    </row>
    <row r="82" spans="8:11" x14ac:dyDescent="0.3">
      <c r="H82" s="2">
        <f t="shared" si="9"/>
        <v>760</v>
      </c>
      <c r="I82" s="6">
        <f t="shared" si="7"/>
        <v>1</v>
      </c>
      <c r="J82" s="6">
        <f t="shared" si="10"/>
        <v>258</v>
      </c>
      <c r="K82" s="6">
        <f t="shared" si="6"/>
        <v>259</v>
      </c>
    </row>
    <row r="83" spans="8:11" x14ac:dyDescent="0.3">
      <c r="H83" s="2">
        <f t="shared" si="9"/>
        <v>770</v>
      </c>
      <c r="I83" s="6">
        <f t="shared" si="7"/>
        <v>1</v>
      </c>
      <c r="J83" s="6">
        <f t="shared" si="10"/>
        <v>268</v>
      </c>
      <c r="K83" s="6">
        <f t="shared" si="6"/>
        <v>269</v>
      </c>
    </row>
    <row r="84" spans="8:11" x14ac:dyDescent="0.3">
      <c r="H84" s="2">
        <f t="shared" si="9"/>
        <v>780</v>
      </c>
      <c r="I84" s="6">
        <f t="shared" si="7"/>
        <v>1</v>
      </c>
      <c r="J84" s="6">
        <f t="shared" si="10"/>
        <v>278</v>
      </c>
      <c r="K84" s="6">
        <f t="shared" si="6"/>
        <v>279</v>
      </c>
    </row>
    <row r="85" spans="8:11" x14ac:dyDescent="0.3">
      <c r="H85" s="2">
        <f t="shared" si="9"/>
        <v>790</v>
      </c>
      <c r="I85" s="6">
        <f t="shared" si="7"/>
        <v>1</v>
      </c>
      <c r="J85" s="6">
        <f t="shared" si="10"/>
        <v>288</v>
      </c>
      <c r="K85" s="6">
        <f t="shared" si="6"/>
        <v>289</v>
      </c>
    </row>
    <row r="86" spans="8:11" x14ac:dyDescent="0.3">
      <c r="H86" s="2">
        <f t="shared" si="9"/>
        <v>800</v>
      </c>
      <c r="I86" s="6">
        <f t="shared" si="7"/>
        <v>1</v>
      </c>
      <c r="J86" s="6">
        <f t="shared" si="10"/>
        <v>298</v>
      </c>
      <c r="K86" s="6">
        <f t="shared" si="6"/>
        <v>299</v>
      </c>
    </row>
    <row r="87" spans="8:11" x14ac:dyDescent="0.3">
      <c r="H87" s="2">
        <f t="shared" si="9"/>
        <v>810</v>
      </c>
      <c r="I87" s="6">
        <f t="shared" si="7"/>
        <v>1</v>
      </c>
      <c r="J87" s="6">
        <f t="shared" si="10"/>
        <v>308</v>
      </c>
      <c r="K87" s="6">
        <f t="shared" si="6"/>
        <v>309</v>
      </c>
    </row>
    <row r="88" spans="8:11" x14ac:dyDescent="0.3">
      <c r="H88" s="2">
        <f t="shared" si="9"/>
        <v>820</v>
      </c>
      <c r="I88" s="6">
        <f t="shared" si="7"/>
        <v>1</v>
      </c>
      <c r="J88" s="6">
        <f t="shared" si="10"/>
        <v>318</v>
      </c>
      <c r="K88" s="6">
        <f t="shared" si="6"/>
        <v>319</v>
      </c>
    </row>
    <row r="89" spans="8:11" x14ac:dyDescent="0.3">
      <c r="H89" s="2">
        <f t="shared" si="9"/>
        <v>830</v>
      </c>
      <c r="I89" s="6">
        <f t="shared" si="7"/>
        <v>1</v>
      </c>
      <c r="J89" s="6">
        <f t="shared" si="10"/>
        <v>328</v>
      </c>
      <c r="K89" s="6">
        <f t="shared" si="6"/>
        <v>329</v>
      </c>
    </row>
    <row r="90" spans="8:11" x14ac:dyDescent="0.3">
      <c r="H90" s="2">
        <f t="shared" si="9"/>
        <v>840</v>
      </c>
      <c r="I90" s="6">
        <f t="shared" si="7"/>
        <v>1</v>
      </c>
      <c r="J90" s="6">
        <f t="shared" si="10"/>
        <v>338</v>
      </c>
      <c r="K90" s="6">
        <f t="shared" si="6"/>
        <v>339</v>
      </c>
    </row>
    <row r="91" spans="8:11" x14ac:dyDescent="0.3">
      <c r="H91" s="2">
        <f t="shared" si="9"/>
        <v>850</v>
      </c>
      <c r="I91" s="6">
        <f t="shared" si="7"/>
        <v>1</v>
      </c>
      <c r="J91" s="6">
        <f t="shared" si="10"/>
        <v>348</v>
      </c>
      <c r="K91" s="6">
        <f t="shared" si="6"/>
        <v>349</v>
      </c>
    </row>
    <row r="92" spans="8:11" x14ac:dyDescent="0.3">
      <c r="H92" s="2">
        <f t="shared" si="9"/>
        <v>860</v>
      </c>
      <c r="I92" s="6">
        <f t="shared" si="7"/>
        <v>1</v>
      </c>
      <c r="J92" s="6">
        <f t="shared" si="10"/>
        <v>358</v>
      </c>
      <c r="K92" s="6">
        <f t="shared" si="6"/>
        <v>359</v>
      </c>
    </row>
    <row r="93" spans="8:11" x14ac:dyDescent="0.3">
      <c r="H93" s="2">
        <f t="shared" si="9"/>
        <v>870</v>
      </c>
      <c r="I93" s="6">
        <f t="shared" si="7"/>
        <v>1</v>
      </c>
      <c r="J93" s="6">
        <f t="shared" si="10"/>
        <v>368</v>
      </c>
      <c r="K93" s="6">
        <f t="shared" si="6"/>
        <v>369</v>
      </c>
    </row>
    <row r="94" spans="8:11" x14ac:dyDescent="0.3">
      <c r="H94" s="2">
        <f t="shared" si="9"/>
        <v>880</v>
      </c>
      <c r="I94" s="6">
        <f t="shared" si="7"/>
        <v>1</v>
      </c>
      <c r="J94" s="6">
        <f t="shared" si="10"/>
        <v>378</v>
      </c>
      <c r="K94" s="6">
        <f t="shared" si="6"/>
        <v>379</v>
      </c>
    </row>
    <row r="95" spans="8:11" x14ac:dyDescent="0.3">
      <c r="H95" s="2">
        <f t="shared" si="9"/>
        <v>890</v>
      </c>
      <c r="I95" s="6">
        <f t="shared" si="7"/>
        <v>1</v>
      </c>
      <c r="J95" s="6">
        <f t="shared" si="10"/>
        <v>388</v>
      </c>
      <c r="K95" s="6">
        <f t="shared" si="6"/>
        <v>389</v>
      </c>
    </row>
    <row r="96" spans="8:11" x14ac:dyDescent="0.3">
      <c r="H96" s="2">
        <f t="shared" si="9"/>
        <v>900</v>
      </c>
      <c r="I96" s="6">
        <f t="shared" si="7"/>
        <v>1</v>
      </c>
      <c r="J96" s="6">
        <f t="shared" si="10"/>
        <v>398</v>
      </c>
      <c r="K96" s="6">
        <f t="shared" si="6"/>
        <v>399</v>
      </c>
    </row>
    <row r="97" spans="11:11" x14ac:dyDescent="0.3">
      <c r="K97" s="6"/>
    </row>
    <row r="98" spans="11:11" x14ac:dyDescent="0.3">
      <c r="K98" s="6"/>
    </row>
    <row r="99" spans="11:11" x14ac:dyDescent="0.3">
      <c r="K99" s="6"/>
    </row>
    <row r="100" spans="11:11" x14ac:dyDescent="0.3">
      <c r="K100" s="6"/>
    </row>
    <row r="101" spans="11:11" x14ac:dyDescent="0.3">
      <c r="K101" s="6"/>
    </row>
    <row r="102" spans="11:11" x14ac:dyDescent="0.3">
      <c r="K102" s="6"/>
    </row>
    <row r="103" spans="11:11" x14ac:dyDescent="0.3">
      <c r="K103" s="6"/>
    </row>
    <row r="104" spans="11:11" x14ac:dyDescent="0.3">
      <c r="K104" s="6"/>
    </row>
    <row r="105" spans="11:11" x14ac:dyDescent="0.3">
      <c r="K105" s="6"/>
    </row>
    <row r="106" spans="11:11" x14ac:dyDescent="0.3">
      <c r="K106" s="6"/>
    </row>
    <row r="107" spans="11:11" x14ac:dyDescent="0.3">
      <c r="K107" s="6"/>
    </row>
    <row r="108" spans="11:11" x14ac:dyDescent="0.3">
      <c r="K108" s="6"/>
    </row>
    <row r="109" spans="11:11" x14ac:dyDescent="0.3">
      <c r="K109" s="6"/>
    </row>
    <row r="110" spans="11:11" x14ac:dyDescent="0.3">
      <c r="K110" s="6"/>
    </row>
    <row r="111" spans="11:11" x14ac:dyDescent="0.3">
      <c r="K111" s="6"/>
    </row>
    <row r="112" spans="11:11" x14ac:dyDescent="0.3">
      <c r="K112" s="6"/>
    </row>
    <row r="113" spans="11:11" x14ac:dyDescent="0.3">
      <c r="K113" s="6"/>
    </row>
    <row r="114" spans="11:11" x14ac:dyDescent="0.3">
      <c r="K114" s="6"/>
    </row>
    <row r="115" spans="11:11" x14ac:dyDescent="0.3">
      <c r="K115" s="6"/>
    </row>
    <row r="116" spans="11:11" x14ac:dyDescent="0.3">
      <c r="K116" s="6"/>
    </row>
    <row r="117" spans="11:11" x14ac:dyDescent="0.3">
      <c r="K117" s="6"/>
    </row>
    <row r="118" spans="11:11" x14ac:dyDescent="0.3">
      <c r="K118" s="6"/>
    </row>
    <row r="119" spans="11:11" x14ac:dyDescent="0.3">
      <c r="K119" s="6"/>
    </row>
    <row r="120" spans="11:11" x14ac:dyDescent="0.3">
      <c r="K120" s="15"/>
    </row>
    <row r="121" spans="11:11" x14ac:dyDescent="0.3">
      <c r="K121" s="6"/>
    </row>
    <row r="122" spans="11:11" x14ac:dyDescent="0.3">
      <c r="K122" s="6"/>
    </row>
    <row r="123" spans="11:11" x14ac:dyDescent="0.3">
      <c r="K123" s="6"/>
    </row>
    <row r="124" spans="11:11" x14ac:dyDescent="0.3">
      <c r="K124" s="6"/>
    </row>
    <row r="125" spans="11:11" x14ac:dyDescent="0.3">
      <c r="K125" s="6"/>
    </row>
    <row r="126" spans="11:11" x14ac:dyDescent="0.3">
      <c r="K126" s="6"/>
    </row>
    <row r="127" spans="11:11" x14ac:dyDescent="0.3">
      <c r="K127" s="6"/>
    </row>
    <row r="128" spans="11:11" x14ac:dyDescent="0.3">
      <c r="K128" s="6"/>
    </row>
    <row r="129" spans="11:11" x14ac:dyDescent="0.3">
      <c r="K129" s="6"/>
    </row>
    <row r="130" spans="11:11" x14ac:dyDescent="0.3">
      <c r="K130" s="6"/>
    </row>
    <row r="131" spans="11:11" x14ac:dyDescent="0.3">
      <c r="K131" s="6"/>
    </row>
    <row r="132" spans="11:11" x14ac:dyDescent="0.3">
      <c r="K132" s="6"/>
    </row>
    <row r="133" spans="11:11" x14ac:dyDescent="0.3">
      <c r="K133" s="6"/>
    </row>
    <row r="134" spans="11:11" x14ac:dyDescent="0.3">
      <c r="K134" s="6"/>
    </row>
    <row r="135" spans="11:11" x14ac:dyDescent="0.3">
      <c r="K135" s="6"/>
    </row>
    <row r="136" spans="11:11" x14ac:dyDescent="0.3">
      <c r="K136" s="6"/>
    </row>
    <row r="137" spans="11:11" x14ac:dyDescent="0.3">
      <c r="K137" s="6"/>
    </row>
    <row r="138" spans="11:11" x14ac:dyDescent="0.3">
      <c r="K138" s="6"/>
    </row>
    <row r="139" spans="11:11" x14ac:dyDescent="0.3">
      <c r="K139" s="6"/>
    </row>
    <row r="140" spans="11:11" x14ac:dyDescent="0.3">
      <c r="K140" s="6"/>
    </row>
    <row r="141" spans="11:11" x14ac:dyDescent="0.3">
      <c r="K141" s="6"/>
    </row>
    <row r="142" spans="11:11" x14ac:dyDescent="0.3">
      <c r="K142" s="6"/>
    </row>
    <row r="143" spans="11:11" x14ac:dyDescent="0.3">
      <c r="K143" s="6"/>
    </row>
    <row r="144" spans="11:11" x14ac:dyDescent="0.3">
      <c r="K144" s="6"/>
    </row>
    <row r="145" spans="11:11" x14ac:dyDescent="0.3">
      <c r="K145" s="6"/>
    </row>
    <row r="146" spans="11:11" x14ac:dyDescent="0.3">
      <c r="K146" s="6"/>
    </row>
    <row r="147" spans="11:11" x14ac:dyDescent="0.3">
      <c r="K147" s="6"/>
    </row>
    <row r="148" spans="11:11" x14ac:dyDescent="0.3">
      <c r="K148" s="6"/>
    </row>
    <row r="149" spans="11:11" x14ac:dyDescent="0.3">
      <c r="K149" s="6"/>
    </row>
    <row r="150" spans="11:11" x14ac:dyDescent="0.3">
      <c r="K150" s="6"/>
    </row>
    <row r="151" spans="11:11" x14ac:dyDescent="0.3">
      <c r="K151" s="6"/>
    </row>
    <row r="152" spans="11:11" x14ac:dyDescent="0.3">
      <c r="K152" s="6"/>
    </row>
    <row r="153" spans="11:11" x14ac:dyDescent="0.3">
      <c r="K153" s="6"/>
    </row>
    <row r="154" spans="11:11" x14ac:dyDescent="0.3">
      <c r="K154" s="6"/>
    </row>
    <row r="155" spans="11:11" x14ac:dyDescent="0.3">
      <c r="K155" s="6"/>
    </row>
    <row r="156" spans="11:11" x14ac:dyDescent="0.3">
      <c r="K156" s="6"/>
    </row>
    <row r="157" spans="11:11" x14ac:dyDescent="0.3">
      <c r="K157" s="6"/>
    </row>
    <row r="158" spans="11:11" x14ac:dyDescent="0.3">
      <c r="K158" s="6"/>
    </row>
    <row r="159" spans="11:11" x14ac:dyDescent="0.3">
      <c r="K159" s="6"/>
    </row>
    <row r="160" spans="11:11" x14ac:dyDescent="0.3">
      <c r="K160" s="6"/>
    </row>
    <row r="161" spans="11:11" x14ac:dyDescent="0.3">
      <c r="K161" s="6"/>
    </row>
    <row r="162" spans="11:11" x14ac:dyDescent="0.3">
      <c r="K162" s="6"/>
    </row>
    <row r="163" spans="11:11" x14ac:dyDescent="0.3">
      <c r="K163" s="6"/>
    </row>
    <row r="164" spans="11:11" x14ac:dyDescent="0.3">
      <c r="K164" s="6"/>
    </row>
    <row r="165" spans="11:11" x14ac:dyDescent="0.3">
      <c r="K165" s="6"/>
    </row>
    <row r="166" spans="11:11" x14ac:dyDescent="0.3">
      <c r="K166" s="6"/>
    </row>
    <row r="167" spans="11:11" x14ac:dyDescent="0.3">
      <c r="K167" s="6"/>
    </row>
    <row r="168" spans="11:11" x14ac:dyDescent="0.3">
      <c r="K168" s="6"/>
    </row>
    <row r="169" spans="11:11" x14ac:dyDescent="0.3">
      <c r="K169" s="6"/>
    </row>
    <row r="170" spans="11:11" x14ac:dyDescent="0.3">
      <c r="K170" s="6"/>
    </row>
    <row r="171" spans="11:11" x14ac:dyDescent="0.3">
      <c r="K171" s="6"/>
    </row>
    <row r="172" spans="11:11" x14ac:dyDescent="0.3">
      <c r="K172" s="6"/>
    </row>
    <row r="173" spans="11:11" x14ac:dyDescent="0.3">
      <c r="K173" s="6"/>
    </row>
    <row r="174" spans="11:11" x14ac:dyDescent="0.3">
      <c r="K174" s="6"/>
    </row>
    <row r="175" spans="11:11" x14ac:dyDescent="0.3">
      <c r="K175" s="6"/>
    </row>
    <row r="176" spans="11:11" x14ac:dyDescent="0.3">
      <c r="K176" s="6"/>
    </row>
    <row r="177" spans="11:11" x14ac:dyDescent="0.3">
      <c r="K177" s="6"/>
    </row>
    <row r="178" spans="11:11" x14ac:dyDescent="0.3">
      <c r="K178" s="6"/>
    </row>
    <row r="179" spans="11:11" x14ac:dyDescent="0.3">
      <c r="K179" s="6"/>
    </row>
    <row r="180" spans="11:11" x14ac:dyDescent="0.3">
      <c r="K180" s="6"/>
    </row>
    <row r="181" spans="11:11" x14ac:dyDescent="0.3">
      <c r="K181" s="6"/>
    </row>
    <row r="182" spans="11:11" x14ac:dyDescent="0.3">
      <c r="K182" s="6"/>
    </row>
    <row r="183" spans="11:11" x14ac:dyDescent="0.3">
      <c r="K183" s="6"/>
    </row>
    <row r="184" spans="11:11" x14ac:dyDescent="0.3">
      <c r="K184" s="6"/>
    </row>
    <row r="185" spans="11:11" x14ac:dyDescent="0.3">
      <c r="K185" s="6"/>
    </row>
    <row r="186" spans="11:11" x14ac:dyDescent="0.3">
      <c r="K186" s="6"/>
    </row>
    <row r="187" spans="11:11" x14ac:dyDescent="0.3">
      <c r="K187" s="6"/>
    </row>
    <row r="188" spans="11:11" x14ac:dyDescent="0.3">
      <c r="K188" s="6"/>
    </row>
    <row r="189" spans="11:11" x14ac:dyDescent="0.3">
      <c r="K189" s="6"/>
    </row>
    <row r="190" spans="11:11" x14ac:dyDescent="0.3">
      <c r="K190" s="6"/>
    </row>
    <row r="191" spans="11:11" x14ac:dyDescent="0.3">
      <c r="K191" s="6"/>
    </row>
    <row r="192" spans="11:11" x14ac:dyDescent="0.3">
      <c r="K192" s="6"/>
    </row>
    <row r="193" spans="11:11" x14ac:dyDescent="0.3">
      <c r="K193" s="6"/>
    </row>
    <row r="194" spans="11:11" x14ac:dyDescent="0.3">
      <c r="K194" s="6"/>
    </row>
    <row r="195" spans="11:11" x14ac:dyDescent="0.3">
      <c r="K195" s="6"/>
    </row>
    <row r="196" spans="11:11" x14ac:dyDescent="0.3">
      <c r="K196" s="6"/>
    </row>
    <row r="197" spans="11:11" x14ac:dyDescent="0.3">
      <c r="K197" s="6"/>
    </row>
    <row r="198" spans="11:11" x14ac:dyDescent="0.3">
      <c r="K198" s="6"/>
    </row>
    <row r="199" spans="11:11" x14ac:dyDescent="0.3">
      <c r="K199" s="6"/>
    </row>
    <row r="200" spans="11:11" x14ac:dyDescent="0.3">
      <c r="K200" s="6"/>
    </row>
    <row r="201" spans="11:11" x14ac:dyDescent="0.3">
      <c r="K201" s="6"/>
    </row>
    <row r="202" spans="11:11" x14ac:dyDescent="0.3">
      <c r="K202" s="6"/>
    </row>
    <row r="203" spans="11:11" x14ac:dyDescent="0.3">
      <c r="K203" s="6"/>
    </row>
    <row r="204" spans="11:11" x14ac:dyDescent="0.3">
      <c r="K204" s="6"/>
    </row>
    <row r="205" spans="11:11" x14ac:dyDescent="0.3">
      <c r="K205" s="6"/>
    </row>
    <row r="206" spans="11:11" x14ac:dyDescent="0.3">
      <c r="K206" s="6"/>
    </row>
    <row r="207" spans="11:11" x14ac:dyDescent="0.3">
      <c r="K207" s="6"/>
    </row>
  </sheetData>
  <sheetProtection algorithmName="SHA-512" hashValue="i9ukXJMIFqYZgsvybKyW+dbltTGA4ohQ/uYdxkGGje+sg/zZFhRFFqgLk1msXN3XxstmtcozUO1KQTRruxVgXg==" saltValue="QqPjs5izfh6FXYERcNFmCQ==" spinCount="100000" sheet="1" objects="1" scenarios="1"/>
  <mergeCells count="4">
    <mergeCell ref="B2:F8"/>
    <mergeCell ref="L56:N56"/>
    <mergeCell ref="M2:O2"/>
    <mergeCell ref="M6:O7"/>
  </mergeCells>
  <conditionalFormatting sqref="I5:I96">
    <cfRule type="cellIs" dxfId="96" priority="7" operator="lessThan">
      <formula>$G$9</formula>
    </cfRule>
    <cfRule type="cellIs" dxfId="95" priority="8" operator="greaterThan">
      <formula>0</formula>
    </cfRule>
  </conditionalFormatting>
  <conditionalFormatting sqref="J5:K96 K97:K207">
    <cfRule type="cellIs" dxfId="94" priority="4" operator="lessThan">
      <formula>0</formula>
    </cfRule>
    <cfRule type="cellIs" dxfId="93" priority="5" operator="lessThan">
      <formula>#REF!</formula>
    </cfRule>
    <cfRule type="cellIs" dxfId="92" priority="6" operator="greaterThan">
      <formula>0</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B423B-78F5-4AF6-9AE3-0295A99CF70E}">
  <sheetPr codeName="Sheet7"/>
  <dimension ref="B1:N306"/>
  <sheetViews>
    <sheetView topLeftCell="D1" zoomScale="113" workbookViewId="0">
      <selection activeCell="E17" sqref="E17"/>
    </sheetView>
  </sheetViews>
  <sheetFormatPr defaultRowHeight="14.4" x14ac:dyDescent="0.3"/>
  <cols>
    <col min="6" max="6" width="11.21875" bestFit="1" customWidth="1"/>
    <col min="7" max="7" width="12.6640625" bestFit="1" customWidth="1"/>
    <col min="8" max="8" width="9.6640625" bestFit="1" customWidth="1"/>
    <col min="9" max="9" width="8.33203125" bestFit="1" customWidth="1"/>
  </cols>
  <sheetData>
    <row r="1" spans="2:14" ht="15" thickBot="1" x14ac:dyDescent="0.35"/>
    <row r="2" spans="2:14" x14ac:dyDescent="0.3">
      <c r="B2" s="117" t="s">
        <v>57</v>
      </c>
      <c r="C2" s="118"/>
      <c r="D2" s="118"/>
      <c r="E2" s="119"/>
      <c r="F2" s="1" t="s">
        <v>52</v>
      </c>
      <c r="G2" s="1" t="s">
        <v>51</v>
      </c>
      <c r="H2" s="1" t="s">
        <v>58</v>
      </c>
      <c r="I2" s="26"/>
      <c r="K2" s="132" t="s">
        <v>62</v>
      </c>
      <c r="L2" s="133"/>
      <c r="M2" s="133"/>
      <c r="N2" s="134"/>
    </row>
    <row r="3" spans="2:14" x14ac:dyDescent="0.3">
      <c r="B3" s="120"/>
      <c r="C3" s="121"/>
      <c r="D3" s="121"/>
      <c r="E3" s="122"/>
      <c r="F3" s="19">
        <v>4500</v>
      </c>
      <c r="G3" s="19">
        <v>100</v>
      </c>
      <c r="H3" s="19">
        <v>4457</v>
      </c>
      <c r="I3" s="19"/>
      <c r="K3" s="126" t="s">
        <v>61</v>
      </c>
      <c r="L3" s="127"/>
      <c r="M3" s="127"/>
      <c r="N3" s="128"/>
    </row>
    <row r="4" spans="2:14" x14ac:dyDescent="0.3">
      <c r="B4" s="120"/>
      <c r="C4" s="121"/>
      <c r="D4" s="121"/>
      <c r="E4" s="122"/>
      <c r="F4" s="1" t="s">
        <v>4</v>
      </c>
      <c r="G4" s="17" t="s">
        <v>59</v>
      </c>
      <c r="H4" s="1" t="s">
        <v>51</v>
      </c>
      <c r="I4" s="1" t="s">
        <v>37</v>
      </c>
      <c r="K4" s="126"/>
      <c r="L4" s="127"/>
      <c r="M4" s="127"/>
      <c r="N4" s="128"/>
    </row>
    <row r="5" spans="2:14" x14ac:dyDescent="0.3">
      <c r="B5" s="120"/>
      <c r="C5" s="121"/>
      <c r="D5" s="121"/>
      <c r="E5" s="122"/>
      <c r="F5" s="19">
        <f t="shared" ref="F5:F53" si="0">F6-10</f>
        <v>3000</v>
      </c>
      <c r="G5" s="6">
        <f t="shared" ref="G5:G54" si="1">$H$3-F5</f>
        <v>1457</v>
      </c>
      <c r="H5" s="6">
        <f t="shared" ref="H5:H54" si="2">MAX(F5-$F$3,0)-$G$3</f>
        <v>-100</v>
      </c>
      <c r="I5" s="6">
        <f t="shared" ref="I5:I54" si="3">G5+H5</f>
        <v>1357</v>
      </c>
      <c r="K5" s="126"/>
      <c r="L5" s="127"/>
      <c r="M5" s="127"/>
      <c r="N5" s="128"/>
    </row>
    <row r="6" spans="2:14" ht="15" thickBot="1" x14ac:dyDescent="0.35">
      <c r="B6" s="123"/>
      <c r="C6" s="124"/>
      <c r="D6" s="124"/>
      <c r="E6" s="125"/>
      <c r="F6" s="19">
        <f t="shared" si="0"/>
        <v>3010</v>
      </c>
      <c r="G6" s="6">
        <f t="shared" si="1"/>
        <v>1447</v>
      </c>
      <c r="H6" s="6">
        <f t="shared" si="2"/>
        <v>-100</v>
      </c>
      <c r="I6" s="6">
        <f t="shared" si="3"/>
        <v>1347</v>
      </c>
      <c r="K6" s="126"/>
      <c r="L6" s="127"/>
      <c r="M6" s="127"/>
      <c r="N6" s="128"/>
    </row>
    <row r="7" spans="2:14" ht="15" thickBot="1" x14ac:dyDescent="0.35">
      <c r="F7" s="19">
        <f t="shared" si="0"/>
        <v>3020</v>
      </c>
      <c r="G7" s="6">
        <f t="shared" si="1"/>
        <v>1437</v>
      </c>
      <c r="H7" s="6">
        <f t="shared" si="2"/>
        <v>-100</v>
      </c>
      <c r="I7" s="6">
        <f t="shared" si="3"/>
        <v>1337</v>
      </c>
      <c r="K7" s="129"/>
      <c r="L7" s="130"/>
      <c r="M7" s="130"/>
      <c r="N7" s="131"/>
    </row>
    <row r="8" spans="2:14" ht="15" thickBot="1" x14ac:dyDescent="0.35">
      <c r="B8" s="135" t="s">
        <v>65</v>
      </c>
      <c r="C8" s="135"/>
      <c r="D8" s="135"/>
      <c r="E8" s="135"/>
      <c r="F8" s="19">
        <f t="shared" si="0"/>
        <v>3030</v>
      </c>
      <c r="G8" s="6">
        <f t="shared" si="1"/>
        <v>1427</v>
      </c>
      <c r="H8" s="6">
        <f t="shared" si="2"/>
        <v>-100</v>
      </c>
      <c r="I8" s="6">
        <f t="shared" si="3"/>
        <v>1327</v>
      </c>
    </row>
    <row r="9" spans="2:14" x14ac:dyDescent="0.3">
      <c r="B9" s="135"/>
      <c r="C9" s="135"/>
      <c r="D9" s="135"/>
      <c r="E9" s="135"/>
      <c r="F9" s="19">
        <f t="shared" si="0"/>
        <v>3040</v>
      </c>
      <c r="G9" s="6">
        <f t="shared" si="1"/>
        <v>1417</v>
      </c>
      <c r="H9" s="6">
        <f t="shared" si="2"/>
        <v>-100</v>
      </c>
      <c r="I9" s="6">
        <f t="shared" si="3"/>
        <v>1317</v>
      </c>
      <c r="K9" s="111" t="s">
        <v>63</v>
      </c>
      <c r="L9" s="112"/>
      <c r="M9" s="112"/>
      <c r="N9" s="113"/>
    </row>
    <row r="10" spans="2:14" ht="15" thickBot="1" x14ac:dyDescent="0.35">
      <c r="F10" s="19">
        <f t="shared" si="0"/>
        <v>3050</v>
      </c>
      <c r="G10" s="6">
        <f t="shared" si="1"/>
        <v>1407</v>
      </c>
      <c r="H10" s="6">
        <f t="shared" si="2"/>
        <v>-100</v>
      </c>
      <c r="I10" s="6">
        <f t="shared" si="3"/>
        <v>1307</v>
      </c>
      <c r="K10" s="114"/>
      <c r="L10" s="115"/>
      <c r="M10" s="115"/>
      <c r="N10" s="116"/>
    </row>
    <row r="11" spans="2:14" ht="15" thickBot="1" x14ac:dyDescent="0.35">
      <c r="F11" s="19">
        <f t="shared" si="0"/>
        <v>3060</v>
      </c>
      <c r="G11" s="6">
        <f t="shared" si="1"/>
        <v>1397</v>
      </c>
      <c r="H11" s="6">
        <f t="shared" si="2"/>
        <v>-100</v>
      </c>
      <c r="I11" s="6">
        <f t="shared" si="3"/>
        <v>1297</v>
      </c>
    </row>
    <row r="12" spans="2:14" x14ac:dyDescent="0.3">
      <c r="F12" s="19">
        <f t="shared" si="0"/>
        <v>3070</v>
      </c>
      <c r="G12" s="6">
        <f t="shared" si="1"/>
        <v>1387</v>
      </c>
      <c r="H12" s="6">
        <f t="shared" si="2"/>
        <v>-100</v>
      </c>
      <c r="I12" s="6">
        <f t="shared" si="3"/>
        <v>1287</v>
      </c>
      <c r="K12" s="111" t="s">
        <v>64</v>
      </c>
      <c r="L12" s="112"/>
      <c r="M12" s="112"/>
      <c r="N12" s="113"/>
    </row>
    <row r="13" spans="2:14" ht="15" thickBot="1" x14ac:dyDescent="0.35">
      <c r="F13" s="19">
        <f t="shared" si="0"/>
        <v>3080</v>
      </c>
      <c r="G13" s="6">
        <f t="shared" si="1"/>
        <v>1377</v>
      </c>
      <c r="H13" s="6">
        <f t="shared" si="2"/>
        <v>-100</v>
      </c>
      <c r="I13" s="6">
        <f t="shared" si="3"/>
        <v>1277</v>
      </c>
      <c r="K13" s="114"/>
      <c r="L13" s="115"/>
      <c r="M13" s="115"/>
      <c r="N13" s="116"/>
    </row>
    <row r="14" spans="2:14" x14ac:dyDescent="0.3">
      <c r="F14" s="19">
        <f t="shared" si="0"/>
        <v>3090</v>
      </c>
      <c r="G14" s="6">
        <f t="shared" si="1"/>
        <v>1367</v>
      </c>
      <c r="H14" s="6">
        <f t="shared" si="2"/>
        <v>-100</v>
      </c>
      <c r="I14" s="6">
        <f t="shared" si="3"/>
        <v>1267</v>
      </c>
    </row>
    <row r="15" spans="2:14" x14ac:dyDescent="0.3">
      <c r="F15" s="19">
        <f t="shared" si="0"/>
        <v>3100</v>
      </c>
      <c r="G15" s="6">
        <f t="shared" si="1"/>
        <v>1357</v>
      </c>
      <c r="H15" s="6">
        <f t="shared" si="2"/>
        <v>-100</v>
      </c>
      <c r="I15" s="6">
        <f t="shared" si="3"/>
        <v>1257</v>
      </c>
    </row>
    <row r="16" spans="2:14" x14ac:dyDescent="0.3">
      <c r="F16" s="19">
        <f t="shared" si="0"/>
        <v>3110</v>
      </c>
      <c r="G16" s="6">
        <f t="shared" si="1"/>
        <v>1347</v>
      </c>
      <c r="H16" s="6">
        <f t="shared" si="2"/>
        <v>-100</v>
      </c>
      <c r="I16" s="6">
        <f t="shared" si="3"/>
        <v>1247</v>
      </c>
    </row>
    <row r="17" spans="6:9" x14ac:dyDescent="0.3">
      <c r="F17" s="19">
        <f t="shared" si="0"/>
        <v>3120</v>
      </c>
      <c r="G17" s="6">
        <f t="shared" si="1"/>
        <v>1337</v>
      </c>
      <c r="H17" s="6">
        <f t="shared" si="2"/>
        <v>-100</v>
      </c>
      <c r="I17" s="6">
        <f t="shared" si="3"/>
        <v>1237</v>
      </c>
    </row>
    <row r="18" spans="6:9" x14ac:dyDescent="0.3">
      <c r="F18" s="19">
        <f t="shared" si="0"/>
        <v>3130</v>
      </c>
      <c r="G18" s="6">
        <f t="shared" si="1"/>
        <v>1327</v>
      </c>
      <c r="H18" s="6">
        <f t="shared" si="2"/>
        <v>-100</v>
      </c>
      <c r="I18" s="6">
        <f t="shared" si="3"/>
        <v>1227</v>
      </c>
    </row>
    <row r="19" spans="6:9" x14ac:dyDescent="0.3">
      <c r="F19" s="19">
        <f t="shared" si="0"/>
        <v>3140</v>
      </c>
      <c r="G19" s="6">
        <f t="shared" si="1"/>
        <v>1317</v>
      </c>
      <c r="H19" s="6">
        <f t="shared" si="2"/>
        <v>-100</v>
      </c>
      <c r="I19" s="6">
        <f t="shared" si="3"/>
        <v>1217</v>
      </c>
    </row>
    <row r="20" spans="6:9" x14ac:dyDescent="0.3">
      <c r="F20" s="19">
        <f t="shared" si="0"/>
        <v>3150</v>
      </c>
      <c r="G20" s="6">
        <f t="shared" si="1"/>
        <v>1307</v>
      </c>
      <c r="H20" s="6">
        <f t="shared" si="2"/>
        <v>-100</v>
      </c>
      <c r="I20" s="6">
        <f t="shared" si="3"/>
        <v>1207</v>
      </c>
    </row>
    <row r="21" spans="6:9" x14ac:dyDescent="0.3">
      <c r="F21" s="19">
        <f t="shared" si="0"/>
        <v>3160</v>
      </c>
      <c r="G21" s="6">
        <f t="shared" si="1"/>
        <v>1297</v>
      </c>
      <c r="H21" s="6">
        <f t="shared" si="2"/>
        <v>-100</v>
      </c>
      <c r="I21" s="6">
        <f t="shared" si="3"/>
        <v>1197</v>
      </c>
    </row>
    <row r="22" spans="6:9" x14ac:dyDescent="0.3">
      <c r="F22" s="19">
        <f t="shared" si="0"/>
        <v>3170</v>
      </c>
      <c r="G22" s="6">
        <f t="shared" si="1"/>
        <v>1287</v>
      </c>
      <c r="H22" s="6">
        <f t="shared" si="2"/>
        <v>-100</v>
      </c>
      <c r="I22" s="6">
        <f t="shared" si="3"/>
        <v>1187</v>
      </c>
    </row>
    <row r="23" spans="6:9" x14ac:dyDescent="0.3">
      <c r="F23" s="19">
        <f t="shared" si="0"/>
        <v>3180</v>
      </c>
      <c r="G23" s="6">
        <f t="shared" si="1"/>
        <v>1277</v>
      </c>
      <c r="H23" s="6">
        <f t="shared" si="2"/>
        <v>-100</v>
      </c>
      <c r="I23" s="6">
        <f t="shared" si="3"/>
        <v>1177</v>
      </c>
    </row>
    <row r="24" spans="6:9" x14ac:dyDescent="0.3">
      <c r="F24" s="19">
        <f t="shared" si="0"/>
        <v>3190</v>
      </c>
      <c r="G24" s="6">
        <f t="shared" si="1"/>
        <v>1267</v>
      </c>
      <c r="H24" s="6">
        <f t="shared" si="2"/>
        <v>-100</v>
      </c>
      <c r="I24" s="6">
        <f t="shared" si="3"/>
        <v>1167</v>
      </c>
    </row>
    <row r="25" spans="6:9" x14ac:dyDescent="0.3">
      <c r="F25" s="19">
        <f t="shared" si="0"/>
        <v>3200</v>
      </c>
      <c r="G25" s="6">
        <f t="shared" si="1"/>
        <v>1257</v>
      </c>
      <c r="H25" s="6">
        <f t="shared" si="2"/>
        <v>-100</v>
      </c>
      <c r="I25" s="6">
        <f t="shared" si="3"/>
        <v>1157</v>
      </c>
    </row>
    <row r="26" spans="6:9" x14ac:dyDescent="0.3">
      <c r="F26" s="19">
        <f t="shared" si="0"/>
        <v>3210</v>
      </c>
      <c r="G26" s="6">
        <f t="shared" si="1"/>
        <v>1247</v>
      </c>
      <c r="H26" s="6">
        <f t="shared" si="2"/>
        <v>-100</v>
      </c>
      <c r="I26" s="6">
        <f t="shared" si="3"/>
        <v>1147</v>
      </c>
    </row>
    <row r="27" spans="6:9" x14ac:dyDescent="0.3">
      <c r="F27" s="19">
        <f t="shared" si="0"/>
        <v>3220</v>
      </c>
      <c r="G27" s="6">
        <f t="shared" si="1"/>
        <v>1237</v>
      </c>
      <c r="H27" s="6">
        <f t="shared" si="2"/>
        <v>-100</v>
      </c>
      <c r="I27" s="6">
        <f t="shared" si="3"/>
        <v>1137</v>
      </c>
    </row>
    <row r="28" spans="6:9" x14ac:dyDescent="0.3">
      <c r="F28" s="19">
        <f t="shared" si="0"/>
        <v>3230</v>
      </c>
      <c r="G28" s="6">
        <f t="shared" si="1"/>
        <v>1227</v>
      </c>
      <c r="H28" s="6">
        <f t="shared" si="2"/>
        <v>-100</v>
      </c>
      <c r="I28" s="6">
        <f t="shared" si="3"/>
        <v>1127</v>
      </c>
    </row>
    <row r="29" spans="6:9" x14ac:dyDescent="0.3">
      <c r="F29" s="19">
        <f t="shared" si="0"/>
        <v>3240</v>
      </c>
      <c r="G29" s="6">
        <f t="shared" si="1"/>
        <v>1217</v>
      </c>
      <c r="H29" s="6">
        <f t="shared" si="2"/>
        <v>-100</v>
      </c>
      <c r="I29" s="6">
        <f t="shared" si="3"/>
        <v>1117</v>
      </c>
    </row>
    <row r="30" spans="6:9" x14ac:dyDescent="0.3">
      <c r="F30" s="19">
        <f t="shared" si="0"/>
        <v>3250</v>
      </c>
      <c r="G30" s="6">
        <f t="shared" si="1"/>
        <v>1207</v>
      </c>
      <c r="H30" s="6">
        <f t="shared" si="2"/>
        <v>-100</v>
      </c>
      <c r="I30" s="6">
        <f t="shared" si="3"/>
        <v>1107</v>
      </c>
    </row>
    <row r="31" spans="6:9" x14ac:dyDescent="0.3">
      <c r="F31" s="19">
        <f t="shared" si="0"/>
        <v>3260</v>
      </c>
      <c r="G31" s="6">
        <f t="shared" si="1"/>
        <v>1197</v>
      </c>
      <c r="H31" s="6">
        <f t="shared" si="2"/>
        <v>-100</v>
      </c>
      <c r="I31" s="6">
        <f t="shared" si="3"/>
        <v>1097</v>
      </c>
    </row>
    <row r="32" spans="6:9" x14ac:dyDescent="0.3">
      <c r="F32" s="19">
        <f t="shared" si="0"/>
        <v>3270</v>
      </c>
      <c r="G32" s="6">
        <f t="shared" si="1"/>
        <v>1187</v>
      </c>
      <c r="H32" s="6">
        <f t="shared" si="2"/>
        <v>-100</v>
      </c>
      <c r="I32" s="6">
        <f t="shared" si="3"/>
        <v>1087</v>
      </c>
    </row>
    <row r="33" spans="6:9" x14ac:dyDescent="0.3">
      <c r="F33" s="19">
        <f t="shared" si="0"/>
        <v>3280</v>
      </c>
      <c r="G33" s="6">
        <f t="shared" si="1"/>
        <v>1177</v>
      </c>
      <c r="H33" s="6">
        <f t="shared" si="2"/>
        <v>-100</v>
      </c>
      <c r="I33" s="6">
        <f t="shared" si="3"/>
        <v>1077</v>
      </c>
    </row>
    <row r="34" spans="6:9" x14ac:dyDescent="0.3">
      <c r="F34" s="19">
        <f t="shared" si="0"/>
        <v>3290</v>
      </c>
      <c r="G34" s="6">
        <f t="shared" si="1"/>
        <v>1167</v>
      </c>
      <c r="H34" s="6">
        <f t="shared" si="2"/>
        <v>-100</v>
      </c>
      <c r="I34" s="6">
        <f t="shared" si="3"/>
        <v>1067</v>
      </c>
    </row>
    <row r="35" spans="6:9" x14ac:dyDescent="0.3">
      <c r="F35" s="19">
        <f t="shared" si="0"/>
        <v>3300</v>
      </c>
      <c r="G35" s="6">
        <f t="shared" si="1"/>
        <v>1157</v>
      </c>
      <c r="H35" s="6">
        <f t="shared" si="2"/>
        <v>-100</v>
      </c>
      <c r="I35" s="6">
        <f t="shared" si="3"/>
        <v>1057</v>
      </c>
    </row>
    <row r="36" spans="6:9" x14ac:dyDescent="0.3">
      <c r="F36" s="19">
        <f t="shared" si="0"/>
        <v>3310</v>
      </c>
      <c r="G36" s="6">
        <f t="shared" si="1"/>
        <v>1147</v>
      </c>
      <c r="H36" s="6">
        <f t="shared" si="2"/>
        <v>-100</v>
      </c>
      <c r="I36" s="6">
        <f t="shared" si="3"/>
        <v>1047</v>
      </c>
    </row>
    <row r="37" spans="6:9" x14ac:dyDescent="0.3">
      <c r="F37" s="19">
        <f t="shared" si="0"/>
        <v>3320</v>
      </c>
      <c r="G37" s="6">
        <f t="shared" si="1"/>
        <v>1137</v>
      </c>
      <c r="H37" s="6">
        <f t="shared" si="2"/>
        <v>-100</v>
      </c>
      <c r="I37" s="6">
        <f t="shared" si="3"/>
        <v>1037</v>
      </c>
    </row>
    <row r="38" spans="6:9" x14ac:dyDescent="0.3">
      <c r="F38" s="19">
        <f t="shared" si="0"/>
        <v>3330</v>
      </c>
      <c r="G38" s="6">
        <f t="shared" si="1"/>
        <v>1127</v>
      </c>
      <c r="H38" s="6">
        <f t="shared" si="2"/>
        <v>-100</v>
      </c>
      <c r="I38" s="6">
        <f t="shared" si="3"/>
        <v>1027</v>
      </c>
    </row>
    <row r="39" spans="6:9" x14ac:dyDescent="0.3">
      <c r="F39" s="19">
        <f t="shared" si="0"/>
        <v>3340</v>
      </c>
      <c r="G39" s="6">
        <f t="shared" si="1"/>
        <v>1117</v>
      </c>
      <c r="H39" s="6">
        <f t="shared" si="2"/>
        <v>-100</v>
      </c>
      <c r="I39" s="6">
        <f t="shared" si="3"/>
        <v>1017</v>
      </c>
    </row>
    <row r="40" spans="6:9" x14ac:dyDescent="0.3">
      <c r="F40" s="19">
        <f t="shared" si="0"/>
        <v>3350</v>
      </c>
      <c r="G40" s="6">
        <f t="shared" si="1"/>
        <v>1107</v>
      </c>
      <c r="H40" s="6">
        <f t="shared" si="2"/>
        <v>-100</v>
      </c>
      <c r="I40" s="6">
        <f t="shared" si="3"/>
        <v>1007</v>
      </c>
    </row>
    <row r="41" spans="6:9" x14ac:dyDescent="0.3">
      <c r="F41" s="19">
        <f t="shared" si="0"/>
        <v>3360</v>
      </c>
      <c r="G41" s="6">
        <f t="shared" si="1"/>
        <v>1097</v>
      </c>
      <c r="H41" s="6">
        <f t="shared" si="2"/>
        <v>-100</v>
      </c>
      <c r="I41" s="6">
        <f t="shared" si="3"/>
        <v>997</v>
      </c>
    </row>
    <row r="42" spans="6:9" x14ac:dyDescent="0.3">
      <c r="F42" s="19">
        <f t="shared" si="0"/>
        <v>3370</v>
      </c>
      <c r="G42" s="6">
        <f t="shared" si="1"/>
        <v>1087</v>
      </c>
      <c r="H42" s="6">
        <f t="shared" si="2"/>
        <v>-100</v>
      </c>
      <c r="I42" s="6">
        <f t="shared" si="3"/>
        <v>987</v>
      </c>
    </row>
    <row r="43" spans="6:9" x14ac:dyDescent="0.3">
      <c r="F43" s="19">
        <f t="shared" si="0"/>
        <v>3380</v>
      </c>
      <c r="G43" s="6">
        <f t="shared" si="1"/>
        <v>1077</v>
      </c>
      <c r="H43" s="6">
        <f t="shared" si="2"/>
        <v>-100</v>
      </c>
      <c r="I43" s="6">
        <f t="shared" si="3"/>
        <v>977</v>
      </c>
    </row>
    <row r="44" spans="6:9" x14ac:dyDescent="0.3">
      <c r="F44" s="19">
        <f t="shared" si="0"/>
        <v>3390</v>
      </c>
      <c r="G44" s="6">
        <f t="shared" si="1"/>
        <v>1067</v>
      </c>
      <c r="H44" s="6">
        <f t="shared" si="2"/>
        <v>-100</v>
      </c>
      <c r="I44" s="6">
        <f t="shared" si="3"/>
        <v>967</v>
      </c>
    </row>
    <row r="45" spans="6:9" x14ac:dyDescent="0.3">
      <c r="F45" s="19">
        <f t="shared" si="0"/>
        <v>3400</v>
      </c>
      <c r="G45" s="6">
        <f t="shared" si="1"/>
        <v>1057</v>
      </c>
      <c r="H45" s="6">
        <f t="shared" si="2"/>
        <v>-100</v>
      </c>
      <c r="I45" s="6">
        <f t="shared" si="3"/>
        <v>957</v>
      </c>
    </row>
    <row r="46" spans="6:9" x14ac:dyDescent="0.3">
      <c r="F46" s="19">
        <f t="shared" si="0"/>
        <v>3410</v>
      </c>
      <c r="G46" s="6">
        <f t="shared" si="1"/>
        <v>1047</v>
      </c>
      <c r="H46" s="6">
        <f t="shared" si="2"/>
        <v>-100</v>
      </c>
      <c r="I46" s="6">
        <f t="shared" si="3"/>
        <v>947</v>
      </c>
    </row>
    <row r="47" spans="6:9" x14ac:dyDescent="0.3">
      <c r="F47" s="19">
        <f t="shared" si="0"/>
        <v>3420</v>
      </c>
      <c r="G47" s="6">
        <f t="shared" si="1"/>
        <v>1037</v>
      </c>
      <c r="H47" s="6">
        <f t="shared" si="2"/>
        <v>-100</v>
      </c>
      <c r="I47" s="6">
        <f t="shared" si="3"/>
        <v>937</v>
      </c>
    </row>
    <row r="48" spans="6:9" x14ac:dyDescent="0.3">
      <c r="F48" s="19">
        <f t="shared" si="0"/>
        <v>3430</v>
      </c>
      <c r="G48" s="6">
        <f t="shared" si="1"/>
        <v>1027</v>
      </c>
      <c r="H48" s="6">
        <f t="shared" si="2"/>
        <v>-100</v>
      </c>
      <c r="I48" s="6">
        <f t="shared" si="3"/>
        <v>927</v>
      </c>
    </row>
    <row r="49" spans="6:9" x14ac:dyDescent="0.3">
      <c r="F49" s="19">
        <f t="shared" si="0"/>
        <v>3440</v>
      </c>
      <c r="G49" s="6">
        <f t="shared" si="1"/>
        <v>1017</v>
      </c>
      <c r="H49" s="6">
        <f t="shared" si="2"/>
        <v>-100</v>
      </c>
      <c r="I49" s="6">
        <f t="shared" si="3"/>
        <v>917</v>
      </c>
    </row>
    <row r="50" spans="6:9" x14ac:dyDescent="0.3">
      <c r="F50" s="19">
        <f t="shared" si="0"/>
        <v>3450</v>
      </c>
      <c r="G50" s="6">
        <f t="shared" si="1"/>
        <v>1007</v>
      </c>
      <c r="H50" s="6">
        <f t="shared" si="2"/>
        <v>-100</v>
      </c>
      <c r="I50" s="6">
        <f t="shared" si="3"/>
        <v>907</v>
      </c>
    </row>
    <row r="51" spans="6:9" x14ac:dyDescent="0.3">
      <c r="F51" s="19">
        <f t="shared" si="0"/>
        <v>3460</v>
      </c>
      <c r="G51" s="6">
        <f t="shared" si="1"/>
        <v>997</v>
      </c>
      <c r="H51" s="6">
        <f t="shared" si="2"/>
        <v>-100</v>
      </c>
      <c r="I51" s="6">
        <f t="shared" si="3"/>
        <v>897</v>
      </c>
    </row>
    <row r="52" spans="6:9" x14ac:dyDescent="0.3">
      <c r="F52" s="19">
        <f t="shared" si="0"/>
        <v>3470</v>
      </c>
      <c r="G52" s="6">
        <f t="shared" si="1"/>
        <v>987</v>
      </c>
      <c r="H52" s="6">
        <f t="shared" si="2"/>
        <v>-100</v>
      </c>
      <c r="I52" s="6">
        <f t="shared" si="3"/>
        <v>887</v>
      </c>
    </row>
    <row r="53" spans="6:9" x14ac:dyDescent="0.3">
      <c r="F53" s="19">
        <f t="shared" si="0"/>
        <v>3480</v>
      </c>
      <c r="G53" s="6">
        <f t="shared" si="1"/>
        <v>977</v>
      </c>
      <c r="H53" s="6">
        <f t="shared" si="2"/>
        <v>-100</v>
      </c>
      <c r="I53" s="6">
        <f t="shared" si="3"/>
        <v>877</v>
      </c>
    </row>
    <row r="54" spans="6:9" x14ac:dyDescent="0.3">
      <c r="F54" s="19">
        <f>F55-10</f>
        <v>3490</v>
      </c>
      <c r="G54" s="6">
        <f t="shared" si="1"/>
        <v>967</v>
      </c>
      <c r="H54" s="6">
        <f t="shared" si="2"/>
        <v>-100</v>
      </c>
      <c r="I54" s="6">
        <f t="shared" si="3"/>
        <v>867</v>
      </c>
    </row>
    <row r="55" spans="6:9" x14ac:dyDescent="0.3">
      <c r="F55" s="19">
        <v>3500</v>
      </c>
      <c r="G55" s="6">
        <f>$H$3-F55</f>
        <v>957</v>
      </c>
      <c r="H55" s="6">
        <f>MAX(F55-$F$3,0)-$G$3</f>
        <v>-100</v>
      </c>
      <c r="I55" s="6">
        <f>G55+H55</f>
        <v>857</v>
      </c>
    </row>
    <row r="56" spans="6:9" x14ac:dyDescent="0.3">
      <c r="F56" s="19">
        <f>F55+10</f>
        <v>3510</v>
      </c>
      <c r="G56" s="6">
        <f t="shared" ref="G56:G119" si="4">$H$3-F56</f>
        <v>947</v>
      </c>
      <c r="H56" s="6">
        <f t="shared" ref="H56:H119" si="5">MAX(F56-$F$3,0)-$G$3</f>
        <v>-100</v>
      </c>
      <c r="I56" s="6">
        <f t="shared" ref="I56:I119" si="6">G56+H56</f>
        <v>847</v>
      </c>
    </row>
    <row r="57" spans="6:9" x14ac:dyDescent="0.3">
      <c r="F57" s="19">
        <f t="shared" ref="F57:F120" si="7">F56+10</f>
        <v>3520</v>
      </c>
      <c r="G57" s="6">
        <f t="shared" si="4"/>
        <v>937</v>
      </c>
      <c r="H57" s="6">
        <f t="shared" si="5"/>
        <v>-100</v>
      </c>
      <c r="I57" s="6">
        <f t="shared" si="6"/>
        <v>837</v>
      </c>
    </row>
    <row r="58" spans="6:9" x14ac:dyDescent="0.3">
      <c r="F58" s="19">
        <f t="shared" si="7"/>
        <v>3530</v>
      </c>
      <c r="G58" s="6">
        <f t="shared" si="4"/>
        <v>927</v>
      </c>
      <c r="H58" s="6">
        <f t="shared" si="5"/>
        <v>-100</v>
      </c>
      <c r="I58" s="6">
        <f t="shared" si="6"/>
        <v>827</v>
      </c>
    </row>
    <row r="59" spans="6:9" x14ac:dyDescent="0.3">
      <c r="F59" s="19">
        <f t="shared" si="7"/>
        <v>3540</v>
      </c>
      <c r="G59" s="6">
        <f t="shared" si="4"/>
        <v>917</v>
      </c>
      <c r="H59" s="6">
        <f t="shared" si="5"/>
        <v>-100</v>
      </c>
      <c r="I59" s="6">
        <f t="shared" si="6"/>
        <v>817</v>
      </c>
    </row>
    <row r="60" spans="6:9" x14ac:dyDescent="0.3">
      <c r="F60" s="19">
        <f t="shared" si="7"/>
        <v>3550</v>
      </c>
      <c r="G60" s="6">
        <f>$H$3-F60</f>
        <v>907</v>
      </c>
      <c r="H60" s="6">
        <f t="shared" si="5"/>
        <v>-100</v>
      </c>
      <c r="I60" s="6">
        <f t="shared" si="6"/>
        <v>807</v>
      </c>
    </row>
    <row r="61" spans="6:9" x14ac:dyDescent="0.3">
      <c r="F61" s="19">
        <f t="shared" si="7"/>
        <v>3560</v>
      </c>
      <c r="G61" s="6">
        <f t="shared" si="4"/>
        <v>897</v>
      </c>
      <c r="H61" s="6">
        <f t="shared" si="5"/>
        <v>-100</v>
      </c>
      <c r="I61" s="6">
        <f t="shared" si="6"/>
        <v>797</v>
      </c>
    </row>
    <row r="62" spans="6:9" x14ac:dyDescent="0.3">
      <c r="F62" s="19">
        <f t="shared" si="7"/>
        <v>3570</v>
      </c>
      <c r="G62" s="6">
        <f t="shared" si="4"/>
        <v>887</v>
      </c>
      <c r="H62" s="6">
        <f t="shared" si="5"/>
        <v>-100</v>
      </c>
      <c r="I62" s="6">
        <f t="shared" si="6"/>
        <v>787</v>
      </c>
    </row>
    <row r="63" spans="6:9" x14ac:dyDescent="0.3">
      <c r="F63" s="19">
        <f t="shared" si="7"/>
        <v>3580</v>
      </c>
      <c r="G63" s="6">
        <f t="shared" si="4"/>
        <v>877</v>
      </c>
      <c r="H63" s="6">
        <f t="shared" si="5"/>
        <v>-100</v>
      </c>
      <c r="I63" s="6">
        <f t="shared" si="6"/>
        <v>777</v>
      </c>
    </row>
    <row r="64" spans="6:9" x14ac:dyDescent="0.3">
      <c r="F64" s="19">
        <f t="shared" si="7"/>
        <v>3590</v>
      </c>
      <c r="G64" s="6">
        <f t="shared" si="4"/>
        <v>867</v>
      </c>
      <c r="H64" s="6">
        <f t="shared" si="5"/>
        <v>-100</v>
      </c>
      <c r="I64" s="6">
        <f t="shared" si="6"/>
        <v>767</v>
      </c>
    </row>
    <row r="65" spans="6:9" x14ac:dyDescent="0.3">
      <c r="F65" s="19">
        <f t="shared" si="7"/>
        <v>3600</v>
      </c>
      <c r="G65" s="6">
        <f t="shared" si="4"/>
        <v>857</v>
      </c>
      <c r="H65" s="6">
        <f t="shared" si="5"/>
        <v>-100</v>
      </c>
      <c r="I65" s="6">
        <f t="shared" si="6"/>
        <v>757</v>
      </c>
    </row>
    <row r="66" spans="6:9" x14ac:dyDescent="0.3">
      <c r="F66" s="19">
        <f t="shared" si="7"/>
        <v>3610</v>
      </c>
      <c r="G66" s="6">
        <f t="shared" si="4"/>
        <v>847</v>
      </c>
      <c r="H66" s="6">
        <f t="shared" si="5"/>
        <v>-100</v>
      </c>
      <c r="I66" s="6">
        <f t="shared" si="6"/>
        <v>747</v>
      </c>
    </row>
    <row r="67" spans="6:9" x14ac:dyDescent="0.3">
      <c r="F67" s="19">
        <f t="shared" si="7"/>
        <v>3620</v>
      </c>
      <c r="G67" s="6">
        <f t="shared" si="4"/>
        <v>837</v>
      </c>
      <c r="H67" s="6">
        <f t="shared" si="5"/>
        <v>-100</v>
      </c>
      <c r="I67" s="6">
        <f t="shared" si="6"/>
        <v>737</v>
      </c>
    </row>
    <row r="68" spans="6:9" x14ac:dyDescent="0.3">
      <c r="F68" s="19">
        <f t="shared" si="7"/>
        <v>3630</v>
      </c>
      <c r="G68" s="6">
        <f t="shared" si="4"/>
        <v>827</v>
      </c>
      <c r="H68" s="6">
        <f t="shared" si="5"/>
        <v>-100</v>
      </c>
      <c r="I68" s="6">
        <f t="shared" si="6"/>
        <v>727</v>
      </c>
    </row>
    <row r="69" spans="6:9" x14ac:dyDescent="0.3">
      <c r="F69" s="19">
        <f t="shared" si="7"/>
        <v>3640</v>
      </c>
      <c r="G69" s="6">
        <f t="shared" si="4"/>
        <v>817</v>
      </c>
      <c r="H69" s="6">
        <f t="shared" si="5"/>
        <v>-100</v>
      </c>
      <c r="I69" s="6">
        <f t="shared" si="6"/>
        <v>717</v>
      </c>
    </row>
    <row r="70" spans="6:9" x14ac:dyDescent="0.3">
      <c r="F70" s="19">
        <f t="shared" si="7"/>
        <v>3650</v>
      </c>
      <c r="G70" s="6">
        <f t="shared" si="4"/>
        <v>807</v>
      </c>
      <c r="H70" s="6">
        <f t="shared" si="5"/>
        <v>-100</v>
      </c>
      <c r="I70" s="6">
        <f t="shared" si="6"/>
        <v>707</v>
      </c>
    </row>
    <row r="71" spans="6:9" x14ac:dyDescent="0.3">
      <c r="F71" s="19">
        <f t="shared" si="7"/>
        <v>3660</v>
      </c>
      <c r="G71" s="6">
        <f t="shared" si="4"/>
        <v>797</v>
      </c>
      <c r="H71" s="6">
        <f t="shared" si="5"/>
        <v>-100</v>
      </c>
      <c r="I71" s="6">
        <f t="shared" si="6"/>
        <v>697</v>
      </c>
    </row>
    <row r="72" spans="6:9" x14ac:dyDescent="0.3">
      <c r="F72" s="19">
        <f t="shared" si="7"/>
        <v>3670</v>
      </c>
      <c r="G72" s="6">
        <f t="shared" si="4"/>
        <v>787</v>
      </c>
      <c r="H72" s="6">
        <f t="shared" si="5"/>
        <v>-100</v>
      </c>
      <c r="I72" s="6">
        <f t="shared" si="6"/>
        <v>687</v>
      </c>
    </row>
    <row r="73" spans="6:9" x14ac:dyDescent="0.3">
      <c r="F73" s="19">
        <f t="shared" si="7"/>
        <v>3680</v>
      </c>
      <c r="G73" s="6">
        <f t="shared" si="4"/>
        <v>777</v>
      </c>
      <c r="H73" s="6">
        <f t="shared" si="5"/>
        <v>-100</v>
      </c>
      <c r="I73" s="6">
        <f t="shared" si="6"/>
        <v>677</v>
      </c>
    </row>
    <row r="74" spans="6:9" x14ac:dyDescent="0.3">
      <c r="F74" s="19">
        <f t="shared" si="7"/>
        <v>3690</v>
      </c>
      <c r="G74" s="6">
        <f t="shared" si="4"/>
        <v>767</v>
      </c>
      <c r="H74" s="6">
        <f t="shared" si="5"/>
        <v>-100</v>
      </c>
      <c r="I74" s="6">
        <f t="shared" si="6"/>
        <v>667</v>
      </c>
    </row>
    <row r="75" spans="6:9" x14ac:dyDescent="0.3">
      <c r="F75" s="19">
        <f t="shared" si="7"/>
        <v>3700</v>
      </c>
      <c r="G75" s="6">
        <f t="shared" si="4"/>
        <v>757</v>
      </c>
      <c r="H75" s="6">
        <f t="shared" si="5"/>
        <v>-100</v>
      </c>
      <c r="I75" s="6">
        <f t="shared" si="6"/>
        <v>657</v>
      </c>
    </row>
    <row r="76" spans="6:9" x14ac:dyDescent="0.3">
      <c r="F76" s="19">
        <f t="shared" si="7"/>
        <v>3710</v>
      </c>
      <c r="G76" s="6">
        <f t="shared" si="4"/>
        <v>747</v>
      </c>
      <c r="H76" s="6">
        <f t="shared" si="5"/>
        <v>-100</v>
      </c>
      <c r="I76" s="6">
        <f t="shared" si="6"/>
        <v>647</v>
      </c>
    </row>
    <row r="77" spans="6:9" x14ac:dyDescent="0.3">
      <c r="F77" s="19">
        <f t="shared" si="7"/>
        <v>3720</v>
      </c>
      <c r="G77" s="6">
        <f t="shared" si="4"/>
        <v>737</v>
      </c>
      <c r="H77" s="6">
        <f t="shared" si="5"/>
        <v>-100</v>
      </c>
      <c r="I77" s="6">
        <f t="shared" si="6"/>
        <v>637</v>
      </c>
    </row>
    <row r="78" spans="6:9" x14ac:dyDescent="0.3">
      <c r="F78" s="19">
        <f t="shared" si="7"/>
        <v>3730</v>
      </c>
      <c r="G78" s="6">
        <f t="shared" si="4"/>
        <v>727</v>
      </c>
      <c r="H78" s="6">
        <f t="shared" si="5"/>
        <v>-100</v>
      </c>
      <c r="I78" s="6">
        <f t="shared" si="6"/>
        <v>627</v>
      </c>
    </row>
    <row r="79" spans="6:9" x14ac:dyDescent="0.3">
      <c r="F79" s="19">
        <f t="shared" si="7"/>
        <v>3740</v>
      </c>
      <c r="G79" s="6">
        <f t="shared" si="4"/>
        <v>717</v>
      </c>
      <c r="H79" s="6">
        <f t="shared" si="5"/>
        <v>-100</v>
      </c>
      <c r="I79" s="6">
        <f t="shared" si="6"/>
        <v>617</v>
      </c>
    </row>
    <row r="80" spans="6:9" x14ac:dyDescent="0.3">
      <c r="F80" s="19">
        <f t="shared" si="7"/>
        <v>3750</v>
      </c>
      <c r="G80" s="6">
        <f t="shared" si="4"/>
        <v>707</v>
      </c>
      <c r="H80" s="6">
        <f t="shared" si="5"/>
        <v>-100</v>
      </c>
      <c r="I80" s="6">
        <f t="shared" si="6"/>
        <v>607</v>
      </c>
    </row>
    <row r="81" spans="6:9" x14ac:dyDescent="0.3">
      <c r="F81" s="19">
        <f t="shared" si="7"/>
        <v>3760</v>
      </c>
      <c r="G81" s="6">
        <f t="shared" si="4"/>
        <v>697</v>
      </c>
      <c r="H81" s="6">
        <f t="shared" si="5"/>
        <v>-100</v>
      </c>
      <c r="I81" s="6">
        <f t="shared" si="6"/>
        <v>597</v>
      </c>
    </row>
    <row r="82" spans="6:9" x14ac:dyDescent="0.3">
      <c r="F82" s="19">
        <f t="shared" si="7"/>
        <v>3770</v>
      </c>
      <c r="G82" s="6">
        <f t="shared" si="4"/>
        <v>687</v>
      </c>
      <c r="H82" s="6">
        <f t="shared" si="5"/>
        <v>-100</v>
      </c>
      <c r="I82" s="6">
        <f t="shared" si="6"/>
        <v>587</v>
      </c>
    </row>
    <row r="83" spans="6:9" x14ac:dyDescent="0.3">
      <c r="F83" s="19">
        <f t="shared" si="7"/>
        <v>3780</v>
      </c>
      <c r="G83" s="6">
        <f t="shared" si="4"/>
        <v>677</v>
      </c>
      <c r="H83" s="6">
        <f t="shared" si="5"/>
        <v>-100</v>
      </c>
      <c r="I83" s="6">
        <f t="shared" si="6"/>
        <v>577</v>
      </c>
    </row>
    <row r="84" spans="6:9" x14ac:dyDescent="0.3">
      <c r="F84" s="19">
        <f t="shared" si="7"/>
        <v>3790</v>
      </c>
      <c r="G84" s="6">
        <f t="shared" si="4"/>
        <v>667</v>
      </c>
      <c r="H84" s="6">
        <f t="shared" si="5"/>
        <v>-100</v>
      </c>
      <c r="I84" s="6">
        <f t="shared" si="6"/>
        <v>567</v>
      </c>
    </row>
    <row r="85" spans="6:9" x14ac:dyDescent="0.3">
      <c r="F85" s="19">
        <f t="shared" si="7"/>
        <v>3800</v>
      </c>
      <c r="G85" s="6">
        <f t="shared" si="4"/>
        <v>657</v>
      </c>
      <c r="H85" s="6">
        <f t="shared" si="5"/>
        <v>-100</v>
      </c>
      <c r="I85" s="6">
        <f t="shared" si="6"/>
        <v>557</v>
      </c>
    </row>
    <row r="86" spans="6:9" x14ac:dyDescent="0.3">
      <c r="F86" s="19">
        <f t="shared" si="7"/>
        <v>3810</v>
      </c>
      <c r="G86" s="6">
        <f t="shared" si="4"/>
        <v>647</v>
      </c>
      <c r="H86" s="6">
        <f t="shared" si="5"/>
        <v>-100</v>
      </c>
      <c r="I86" s="6">
        <f t="shared" si="6"/>
        <v>547</v>
      </c>
    </row>
    <row r="87" spans="6:9" x14ac:dyDescent="0.3">
      <c r="F87" s="19">
        <f t="shared" si="7"/>
        <v>3820</v>
      </c>
      <c r="G87" s="6">
        <f t="shared" si="4"/>
        <v>637</v>
      </c>
      <c r="H87" s="6">
        <f t="shared" si="5"/>
        <v>-100</v>
      </c>
      <c r="I87" s="6">
        <f t="shared" si="6"/>
        <v>537</v>
      </c>
    </row>
    <row r="88" spans="6:9" x14ac:dyDescent="0.3">
      <c r="F88" s="19">
        <f t="shared" si="7"/>
        <v>3830</v>
      </c>
      <c r="G88" s="6">
        <f t="shared" si="4"/>
        <v>627</v>
      </c>
      <c r="H88" s="6">
        <f t="shared" si="5"/>
        <v>-100</v>
      </c>
      <c r="I88" s="6">
        <f t="shared" si="6"/>
        <v>527</v>
      </c>
    </row>
    <row r="89" spans="6:9" x14ac:dyDescent="0.3">
      <c r="F89" s="19">
        <f t="shared" si="7"/>
        <v>3840</v>
      </c>
      <c r="G89" s="6">
        <f t="shared" si="4"/>
        <v>617</v>
      </c>
      <c r="H89" s="6">
        <f t="shared" si="5"/>
        <v>-100</v>
      </c>
      <c r="I89" s="6">
        <f t="shared" si="6"/>
        <v>517</v>
      </c>
    </row>
    <row r="90" spans="6:9" x14ac:dyDescent="0.3">
      <c r="F90" s="19">
        <f t="shared" si="7"/>
        <v>3850</v>
      </c>
      <c r="G90" s="6">
        <f t="shared" si="4"/>
        <v>607</v>
      </c>
      <c r="H90" s="6">
        <f t="shared" si="5"/>
        <v>-100</v>
      </c>
      <c r="I90" s="6">
        <f t="shared" si="6"/>
        <v>507</v>
      </c>
    </row>
    <row r="91" spans="6:9" x14ac:dyDescent="0.3">
      <c r="F91" s="19">
        <f t="shared" si="7"/>
        <v>3860</v>
      </c>
      <c r="G91" s="6">
        <f t="shared" si="4"/>
        <v>597</v>
      </c>
      <c r="H91" s="6">
        <f t="shared" si="5"/>
        <v>-100</v>
      </c>
      <c r="I91" s="6">
        <f t="shared" si="6"/>
        <v>497</v>
      </c>
    </row>
    <row r="92" spans="6:9" x14ac:dyDescent="0.3">
      <c r="F92" s="19">
        <f t="shared" si="7"/>
        <v>3870</v>
      </c>
      <c r="G92" s="6">
        <f t="shared" si="4"/>
        <v>587</v>
      </c>
      <c r="H92" s="6">
        <f t="shared" si="5"/>
        <v>-100</v>
      </c>
      <c r="I92" s="6">
        <f t="shared" si="6"/>
        <v>487</v>
      </c>
    </row>
    <row r="93" spans="6:9" x14ac:dyDescent="0.3">
      <c r="F93" s="19">
        <f t="shared" si="7"/>
        <v>3880</v>
      </c>
      <c r="G93" s="6">
        <f t="shared" si="4"/>
        <v>577</v>
      </c>
      <c r="H93" s="6">
        <f t="shared" si="5"/>
        <v>-100</v>
      </c>
      <c r="I93" s="6">
        <f t="shared" si="6"/>
        <v>477</v>
      </c>
    </row>
    <row r="94" spans="6:9" x14ac:dyDescent="0.3">
      <c r="F94" s="19">
        <f t="shared" si="7"/>
        <v>3890</v>
      </c>
      <c r="G94" s="6">
        <f t="shared" si="4"/>
        <v>567</v>
      </c>
      <c r="H94" s="6">
        <f t="shared" si="5"/>
        <v>-100</v>
      </c>
      <c r="I94" s="6">
        <f t="shared" si="6"/>
        <v>467</v>
      </c>
    </row>
    <row r="95" spans="6:9" x14ac:dyDescent="0.3">
      <c r="F95" s="19">
        <f t="shared" si="7"/>
        <v>3900</v>
      </c>
      <c r="G95" s="6">
        <f t="shared" si="4"/>
        <v>557</v>
      </c>
      <c r="H95" s="6">
        <f t="shared" si="5"/>
        <v>-100</v>
      </c>
      <c r="I95" s="6">
        <f t="shared" si="6"/>
        <v>457</v>
      </c>
    </row>
    <row r="96" spans="6:9" x14ac:dyDescent="0.3">
      <c r="F96" s="19">
        <f t="shared" si="7"/>
        <v>3910</v>
      </c>
      <c r="G96" s="6">
        <f t="shared" si="4"/>
        <v>547</v>
      </c>
      <c r="H96" s="6">
        <f t="shared" si="5"/>
        <v>-100</v>
      </c>
      <c r="I96" s="6">
        <f t="shared" si="6"/>
        <v>447</v>
      </c>
    </row>
    <row r="97" spans="6:9" x14ac:dyDescent="0.3">
      <c r="F97" s="19">
        <f t="shared" si="7"/>
        <v>3920</v>
      </c>
      <c r="G97" s="6">
        <f t="shared" si="4"/>
        <v>537</v>
      </c>
      <c r="H97" s="6">
        <f t="shared" si="5"/>
        <v>-100</v>
      </c>
      <c r="I97" s="6">
        <f t="shared" si="6"/>
        <v>437</v>
      </c>
    </row>
    <row r="98" spans="6:9" x14ac:dyDescent="0.3">
      <c r="F98" s="19">
        <f t="shared" si="7"/>
        <v>3930</v>
      </c>
      <c r="G98" s="6">
        <f t="shared" si="4"/>
        <v>527</v>
      </c>
      <c r="H98" s="6">
        <f t="shared" si="5"/>
        <v>-100</v>
      </c>
      <c r="I98" s="6">
        <f t="shared" si="6"/>
        <v>427</v>
      </c>
    </row>
    <row r="99" spans="6:9" x14ac:dyDescent="0.3">
      <c r="F99" s="19">
        <f t="shared" si="7"/>
        <v>3940</v>
      </c>
      <c r="G99" s="6">
        <f t="shared" si="4"/>
        <v>517</v>
      </c>
      <c r="H99" s="6">
        <f t="shared" si="5"/>
        <v>-100</v>
      </c>
      <c r="I99" s="6">
        <f t="shared" si="6"/>
        <v>417</v>
      </c>
    </row>
    <row r="100" spans="6:9" x14ac:dyDescent="0.3">
      <c r="F100" s="19">
        <f t="shared" si="7"/>
        <v>3950</v>
      </c>
      <c r="G100" s="6">
        <f t="shared" si="4"/>
        <v>507</v>
      </c>
      <c r="H100" s="6">
        <f t="shared" si="5"/>
        <v>-100</v>
      </c>
      <c r="I100" s="6">
        <f t="shared" si="6"/>
        <v>407</v>
      </c>
    </row>
    <row r="101" spans="6:9" x14ac:dyDescent="0.3">
      <c r="F101" s="19">
        <f t="shared" si="7"/>
        <v>3960</v>
      </c>
      <c r="G101" s="6">
        <f t="shared" si="4"/>
        <v>497</v>
      </c>
      <c r="H101" s="6">
        <f t="shared" si="5"/>
        <v>-100</v>
      </c>
      <c r="I101" s="6">
        <f t="shared" si="6"/>
        <v>397</v>
      </c>
    </row>
    <row r="102" spans="6:9" x14ac:dyDescent="0.3">
      <c r="F102" s="19">
        <f t="shared" si="7"/>
        <v>3970</v>
      </c>
      <c r="G102" s="6">
        <f t="shared" si="4"/>
        <v>487</v>
      </c>
      <c r="H102" s="6">
        <f t="shared" si="5"/>
        <v>-100</v>
      </c>
      <c r="I102" s="6">
        <f t="shared" si="6"/>
        <v>387</v>
      </c>
    </row>
    <row r="103" spans="6:9" x14ac:dyDescent="0.3">
      <c r="F103" s="19">
        <f t="shared" si="7"/>
        <v>3980</v>
      </c>
      <c r="G103" s="6">
        <f t="shared" si="4"/>
        <v>477</v>
      </c>
      <c r="H103" s="6">
        <f t="shared" si="5"/>
        <v>-100</v>
      </c>
      <c r="I103" s="6">
        <f t="shared" si="6"/>
        <v>377</v>
      </c>
    </row>
    <row r="104" spans="6:9" x14ac:dyDescent="0.3">
      <c r="F104" s="19">
        <f t="shared" si="7"/>
        <v>3990</v>
      </c>
      <c r="G104" s="6">
        <f t="shared" si="4"/>
        <v>467</v>
      </c>
      <c r="H104" s="6">
        <f t="shared" si="5"/>
        <v>-100</v>
      </c>
      <c r="I104" s="6">
        <f t="shared" si="6"/>
        <v>367</v>
      </c>
    </row>
    <row r="105" spans="6:9" x14ac:dyDescent="0.3">
      <c r="F105" s="19">
        <f t="shared" si="7"/>
        <v>4000</v>
      </c>
      <c r="G105" s="6">
        <f t="shared" si="4"/>
        <v>457</v>
      </c>
      <c r="H105" s="6">
        <f t="shared" si="5"/>
        <v>-100</v>
      </c>
      <c r="I105" s="6">
        <f t="shared" si="6"/>
        <v>357</v>
      </c>
    </row>
    <row r="106" spans="6:9" x14ac:dyDescent="0.3">
      <c r="F106" s="19">
        <f t="shared" si="7"/>
        <v>4010</v>
      </c>
      <c r="G106" s="6">
        <f t="shared" si="4"/>
        <v>447</v>
      </c>
      <c r="H106" s="6">
        <f t="shared" si="5"/>
        <v>-100</v>
      </c>
      <c r="I106" s="6">
        <f t="shared" si="6"/>
        <v>347</v>
      </c>
    </row>
    <row r="107" spans="6:9" x14ac:dyDescent="0.3">
      <c r="F107" s="19">
        <f t="shared" si="7"/>
        <v>4020</v>
      </c>
      <c r="G107" s="6">
        <f t="shared" si="4"/>
        <v>437</v>
      </c>
      <c r="H107" s="6">
        <f t="shared" si="5"/>
        <v>-100</v>
      </c>
      <c r="I107" s="6">
        <f t="shared" si="6"/>
        <v>337</v>
      </c>
    </row>
    <row r="108" spans="6:9" x14ac:dyDescent="0.3">
      <c r="F108" s="19">
        <f t="shared" si="7"/>
        <v>4030</v>
      </c>
      <c r="G108" s="6">
        <f t="shared" si="4"/>
        <v>427</v>
      </c>
      <c r="H108" s="6">
        <f t="shared" si="5"/>
        <v>-100</v>
      </c>
      <c r="I108" s="6">
        <f t="shared" si="6"/>
        <v>327</v>
      </c>
    </row>
    <row r="109" spans="6:9" x14ac:dyDescent="0.3">
      <c r="F109" s="19">
        <f t="shared" si="7"/>
        <v>4040</v>
      </c>
      <c r="G109" s="6">
        <f t="shared" si="4"/>
        <v>417</v>
      </c>
      <c r="H109" s="6">
        <f t="shared" si="5"/>
        <v>-100</v>
      </c>
      <c r="I109" s="6">
        <f t="shared" si="6"/>
        <v>317</v>
      </c>
    </row>
    <row r="110" spans="6:9" x14ac:dyDescent="0.3">
      <c r="F110" s="19">
        <f t="shared" si="7"/>
        <v>4050</v>
      </c>
      <c r="G110" s="6">
        <f t="shared" si="4"/>
        <v>407</v>
      </c>
      <c r="H110" s="6">
        <f t="shared" si="5"/>
        <v>-100</v>
      </c>
      <c r="I110" s="6">
        <f t="shared" si="6"/>
        <v>307</v>
      </c>
    </row>
    <row r="111" spans="6:9" x14ac:dyDescent="0.3">
      <c r="F111" s="19">
        <f t="shared" si="7"/>
        <v>4060</v>
      </c>
      <c r="G111" s="6">
        <f t="shared" si="4"/>
        <v>397</v>
      </c>
      <c r="H111" s="6">
        <f t="shared" si="5"/>
        <v>-100</v>
      </c>
      <c r="I111" s="6">
        <f t="shared" si="6"/>
        <v>297</v>
      </c>
    </row>
    <row r="112" spans="6:9" x14ac:dyDescent="0.3">
      <c r="F112" s="19">
        <f t="shared" si="7"/>
        <v>4070</v>
      </c>
      <c r="G112" s="6">
        <f t="shared" si="4"/>
        <v>387</v>
      </c>
      <c r="H112" s="6">
        <f t="shared" si="5"/>
        <v>-100</v>
      </c>
      <c r="I112" s="6">
        <f t="shared" si="6"/>
        <v>287</v>
      </c>
    </row>
    <row r="113" spans="6:9" x14ac:dyDescent="0.3">
      <c r="F113" s="19">
        <f t="shared" si="7"/>
        <v>4080</v>
      </c>
      <c r="G113" s="6">
        <f t="shared" si="4"/>
        <v>377</v>
      </c>
      <c r="H113" s="6">
        <f t="shared" si="5"/>
        <v>-100</v>
      </c>
      <c r="I113" s="6">
        <f t="shared" si="6"/>
        <v>277</v>
      </c>
    </row>
    <row r="114" spans="6:9" x14ac:dyDescent="0.3">
      <c r="F114" s="19">
        <f t="shared" si="7"/>
        <v>4090</v>
      </c>
      <c r="G114" s="6">
        <f t="shared" si="4"/>
        <v>367</v>
      </c>
      <c r="H114" s="6">
        <f t="shared" si="5"/>
        <v>-100</v>
      </c>
      <c r="I114" s="6">
        <f t="shared" si="6"/>
        <v>267</v>
      </c>
    </row>
    <row r="115" spans="6:9" x14ac:dyDescent="0.3">
      <c r="F115" s="19">
        <f t="shared" si="7"/>
        <v>4100</v>
      </c>
      <c r="G115" s="6">
        <f t="shared" si="4"/>
        <v>357</v>
      </c>
      <c r="H115" s="6">
        <f t="shared" si="5"/>
        <v>-100</v>
      </c>
      <c r="I115" s="6">
        <f t="shared" si="6"/>
        <v>257</v>
      </c>
    </row>
    <row r="116" spans="6:9" x14ac:dyDescent="0.3">
      <c r="F116" s="19">
        <f t="shared" si="7"/>
        <v>4110</v>
      </c>
      <c r="G116" s="6">
        <f t="shared" si="4"/>
        <v>347</v>
      </c>
      <c r="H116" s="6">
        <f t="shared" si="5"/>
        <v>-100</v>
      </c>
      <c r="I116" s="6">
        <f t="shared" si="6"/>
        <v>247</v>
      </c>
    </row>
    <row r="117" spans="6:9" x14ac:dyDescent="0.3">
      <c r="F117" s="19">
        <f t="shared" si="7"/>
        <v>4120</v>
      </c>
      <c r="G117" s="6">
        <f t="shared" si="4"/>
        <v>337</v>
      </c>
      <c r="H117" s="6">
        <f t="shared" si="5"/>
        <v>-100</v>
      </c>
      <c r="I117" s="6">
        <f t="shared" si="6"/>
        <v>237</v>
      </c>
    </row>
    <row r="118" spans="6:9" x14ac:dyDescent="0.3">
      <c r="F118" s="19">
        <f t="shared" si="7"/>
        <v>4130</v>
      </c>
      <c r="G118" s="6">
        <f t="shared" si="4"/>
        <v>327</v>
      </c>
      <c r="H118" s="6">
        <f t="shared" si="5"/>
        <v>-100</v>
      </c>
      <c r="I118" s="6">
        <f t="shared" si="6"/>
        <v>227</v>
      </c>
    </row>
    <row r="119" spans="6:9" x14ac:dyDescent="0.3">
      <c r="F119" s="19">
        <f t="shared" si="7"/>
        <v>4140</v>
      </c>
      <c r="G119" s="6">
        <f t="shared" si="4"/>
        <v>317</v>
      </c>
      <c r="H119" s="6">
        <f t="shared" si="5"/>
        <v>-100</v>
      </c>
      <c r="I119" s="6">
        <f t="shared" si="6"/>
        <v>217</v>
      </c>
    </row>
    <row r="120" spans="6:9" x14ac:dyDescent="0.3">
      <c r="F120" s="19">
        <f t="shared" si="7"/>
        <v>4150</v>
      </c>
      <c r="G120" s="6">
        <f t="shared" ref="G120:G141" si="8">$H$3-F120</f>
        <v>307</v>
      </c>
      <c r="H120" s="6">
        <f t="shared" ref="H120:H141" si="9">MAX(F120-$F$3,0)-$G$3</f>
        <v>-100</v>
      </c>
      <c r="I120" s="6">
        <f t="shared" ref="I120:I141" si="10">G120+H120</f>
        <v>207</v>
      </c>
    </row>
    <row r="121" spans="6:9" x14ac:dyDescent="0.3">
      <c r="F121" s="19">
        <f t="shared" ref="F121:F140" si="11">F120+10</f>
        <v>4160</v>
      </c>
      <c r="G121" s="6">
        <f t="shared" si="8"/>
        <v>297</v>
      </c>
      <c r="H121" s="6">
        <f t="shared" si="9"/>
        <v>-100</v>
      </c>
      <c r="I121" s="6">
        <f t="shared" si="10"/>
        <v>197</v>
      </c>
    </row>
    <row r="122" spans="6:9" x14ac:dyDescent="0.3">
      <c r="F122" s="19">
        <f t="shared" si="11"/>
        <v>4170</v>
      </c>
      <c r="G122" s="6">
        <f t="shared" si="8"/>
        <v>287</v>
      </c>
      <c r="H122" s="6">
        <f t="shared" si="9"/>
        <v>-100</v>
      </c>
      <c r="I122" s="6">
        <f t="shared" si="10"/>
        <v>187</v>
      </c>
    </row>
    <row r="123" spans="6:9" x14ac:dyDescent="0.3">
      <c r="F123" s="19">
        <f t="shared" si="11"/>
        <v>4180</v>
      </c>
      <c r="G123" s="6">
        <f t="shared" si="8"/>
        <v>277</v>
      </c>
      <c r="H123" s="6">
        <f t="shared" si="9"/>
        <v>-100</v>
      </c>
      <c r="I123" s="6">
        <f t="shared" si="10"/>
        <v>177</v>
      </c>
    </row>
    <row r="124" spans="6:9" x14ac:dyDescent="0.3">
      <c r="F124" s="19">
        <f t="shared" si="11"/>
        <v>4190</v>
      </c>
      <c r="G124" s="6">
        <f t="shared" si="8"/>
        <v>267</v>
      </c>
      <c r="H124" s="6">
        <f t="shared" si="9"/>
        <v>-100</v>
      </c>
      <c r="I124" s="6">
        <f t="shared" si="10"/>
        <v>167</v>
      </c>
    </row>
    <row r="125" spans="6:9" x14ac:dyDescent="0.3">
      <c r="F125" s="19">
        <f t="shared" si="11"/>
        <v>4200</v>
      </c>
      <c r="G125" s="6">
        <f t="shared" si="8"/>
        <v>257</v>
      </c>
      <c r="H125" s="6">
        <f t="shared" si="9"/>
        <v>-100</v>
      </c>
      <c r="I125" s="6">
        <f t="shared" si="10"/>
        <v>157</v>
      </c>
    </row>
    <row r="126" spans="6:9" x14ac:dyDescent="0.3">
      <c r="F126" s="19">
        <f t="shared" si="11"/>
        <v>4210</v>
      </c>
      <c r="G126" s="6">
        <f t="shared" si="8"/>
        <v>247</v>
      </c>
      <c r="H126" s="6">
        <f t="shared" si="9"/>
        <v>-100</v>
      </c>
      <c r="I126" s="6">
        <f t="shared" si="10"/>
        <v>147</v>
      </c>
    </row>
    <row r="127" spans="6:9" x14ac:dyDescent="0.3">
      <c r="F127" s="19">
        <f t="shared" si="11"/>
        <v>4220</v>
      </c>
      <c r="G127" s="6">
        <f t="shared" si="8"/>
        <v>237</v>
      </c>
      <c r="H127" s="6">
        <f t="shared" si="9"/>
        <v>-100</v>
      </c>
      <c r="I127" s="6">
        <f t="shared" si="10"/>
        <v>137</v>
      </c>
    </row>
    <row r="128" spans="6:9" x14ac:dyDescent="0.3">
      <c r="F128" s="19">
        <f t="shared" si="11"/>
        <v>4230</v>
      </c>
      <c r="G128" s="6">
        <f t="shared" si="8"/>
        <v>227</v>
      </c>
      <c r="H128" s="6">
        <f t="shared" si="9"/>
        <v>-100</v>
      </c>
      <c r="I128" s="6">
        <f t="shared" si="10"/>
        <v>127</v>
      </c>
    </row>
    <row r="129" spans="6:12" x14ac:dyDescent="0.3">
      <c r="F129" s="19">
        <f t="shared" si="11"/>
        <v>4240</v>
      </c>
      <c r="G129" s="6">
        <f t="shared" si="8"/>
        <v>217</v>
      </c>
      <c r="H129" s="6">
        <f t="shared" si="9"/>
        <v>-100</v>
      </c>
      <c r="I129" s="6">
        <f t="shared" si="10"/>
        <v>117</v>
      </c>
    </row>
    <row r="130" spans="6:12" x14ac:dyDescent="0.3">
      <c r="F130" s="19">
        <f t="shared" si="11"/>
        <v>4250</v>
      </c>
      <c r="G130" s="6">
        <f t="shared" si="8"/>
        <v>207</v>
      </c>
      <c r="H130" s="6">
        <f t="shared" si="9"/>
        <v>-100</v>
      </c>
      <c r="I130" s="6">
        <f t="shared" si="10"/>
        <v>107</v>
      </c>
    </row>
    <row r="131" spans="6:12" x14ac:dyDescent="0.3">
      <c r="F131" s="19">
        <f t="shared" si="11"/>
        <v>4260</v>
      </c>
      <c r="G131" s="6">
        <f t="shared" si="8"/>
        <v>197</v>
      </c>
      <c r="H131" s="6">
        <f t="shared" si="9"/>
        <v>-100</v>
      </c>
      <c r="I131" s="6">
        <f t="shared" si="10"/>
        <v>97</v>
      </c>
    </row>
    <row r="132" spans="6:12" x14ac:dyDescent="0.3">
      <c r="F132" s="19">
        <f t="shared" si="11"/>
        <v>4270</v>
      </c>
      <c r="G132" s="6">
        <f t="shared" si="8"/>
        <v>187</v>
      </c>
      <c r="H132" s="6">
        <f t="shared" si="9"/>
        <v>-100</v>
      </c>
      <c r="I132" s="6">
        <f t="shared" si="10"/>
        <v>87</v>
      </c>
    </row>
    <row r="133" spans="6:12" x14ac:dyDescent="0.3">
      <c r="F133" s="19">
        <f t="shared" si="11"/>
        <v>4280</v>
      </c>
      <c r="G133" s="6">
        <f t="shared" si="8"/>
        <v>177</v>
      </c>
      <c r="H133" s="6">
        <f t="shared" si="9"/>
        <v>-100</v>
      </c>
      <c r="I133" s="6">
        <f t="shared" si="10"/>
        <v>77</v>
      </c>
    </row>
    <row r="134" spans="6:12" x14ac:dyDescent="0.3">
      <c r="F134" s="19">
        <f t="shared" si="11"/>
        <v>4290</v>
      </c>
      <c r="G134" s="6">
        <f t="shared" si="8"/>
        <v>167</v>
      </c>
      <c r="H134" s="6">
        <f t="shared" si="9"/>
        <v>-100</v>
      </c>
      <c r="I134" s="6">
        <f t="shared" si="10"/>
        <v>67</v>
      </c>
    </row>
    <row r="135" spans="6:12" x14ac:dyDescent="0.3">
      <c r="F135" s="19">
        <f t="shared" si="11"/>
        <v>4300</v>
      </c>
      <c r="G135" s="6">
        <f t="shared" si="8"/>
        <v>157</v>
      </c>
      <c r="H135" s="6">
        <f t="shared" si="9"/>
        <v>-100</v>
      </c>
      <c r="I135" s="6">
        <f t="shared" si="10"/>
        <v>57</v>
      </c>
    </row>
    <row r="136" spans="6:12" x14ac:dyDescent="0.3">
      <c r="F136" s="19">
        <f t="shared" si="11"/>
        <v>4310</v>
      </c>
      <c r="G136" s="6">
        <f t="shared" si="8"/>
        <v>147</v>
      </c>
      <c r="H136" s="6">
        <f t="shared" si="9"/>
        <v>-100</v>
      </c>
      <c r="I136" s="6">
        <f t="shared" si="10"/>
        <v>47</v>
      </c>
    </row>
    <row r="137" spans="6:12" x14ac:dyDescent="0.3">
      <c r="F137" s="19">
        <f t="shared" si="11"/>
        <v>4320</v>
      </c>
      <c r="G137" s="6">
        <f t="shared" si="8"/>
        <v>137</v>
      </c>
      <c r="H137" s="6">
        <f t="shared" si="9"/>
        <v>-100</v>
      </c>
      <c r="I137" s="6">
        <f t="shared" si="10"/>
        <v>37</v>
      </c>
    </row>
    <row r="138" spans="6:12" x14ac:dyDescent="0.3">
      <c r="F138" s="19">
        <f t="shared" si="11"/>
        <v>4330</v>
      </c>
      <c r="G138" s="6">
        <f t="shared" si="8"/>
        <v>127</v>
      </c>
      <c r="H138" s="6">
        <f t="shared" si="9"/>
        <v>-100</v>
      </c>
      <c r="I138" s="6">
        <f t="shared" si="10"/>
        <v>27</v>
      </c>
    </row>
    <row r="139" spans="6:12" x14ac:dyDescent="0.3">
      <c r="F139" s="19">
        <f t="shared" si="11"/>
        <v>4340</v>
      </c>
      <c r="G139" s="6">
        <f t="shared" si="8"/>
        <v>117</v>
      </c>
      <c r="H139" s="6">
        <f t="shared" si="9"/>
        <v>-100</v>
      </c>
      <c r="I139" s="6">
        <f t="shared" si="10"/>
        <v>17</v>
      </c>
    </row>
    <row r="140" spans="6:12" x14ac:dyDescent="0.3">
      <c r="F140" s="19">
        <f t="shared" si="11"/>
        <v>4350</v>
      </c>
      <c r="G140" s="6">
        <f t="shared" si="8"/>
        <v>107</v>
      </c>
      <c r="H140" s="6">
        <f t="shared" si="9"/>
        <v>-100</v>
      </c>
      <c r="I140" s="6">
        <f t="shared" si="10"/>
        <v>7</v>
      </c>
    </row>
    <row r="141" spans="6:12" x14ac:dyDescent="0.3">
      <c r="F141" s="19">
        <f>F140+7</f>
        <v>4357</v>
      </c>
      <c r="G141" s="6">
        <f t="shared" si="8"/>
        <v>100</v>
      </c>
      <c r="H141" s="6">
        <f t="shared" si="9"/>
        <v>-100</v>
      </c>
      <c r="I141" s="15">
        <f t="shared" si="10"/>
        <v>0</v>
      </c>
      <c r="J141" s="89" t="s">
        <v>60</v>
      </c>
      <c r="K141" s="89"/>
      <c r="L141" s="89"/>
    </row>
    <row r="142" spans="6:12" x14ac:dyDescent="0.3">
      <c r="F142" s="19">
        <f>F140+10</f>
        <v>4360</v>
      </c>
      <c r="G142" s="6">
        <f t="shared" ref="G142:G184" si="12">$H$3-F142</f>
        <v>97</v>
      </c>
      <c r="H142" s="6">
        <f t="shared" ref="H142:H184" si="13">MAX(F142-$F$3,0)-$G$3</f>
        <v>-100</v>
      </c>
      <c r="I142" s="6">
        <f t="shared" ref="I142:I184" si="14">G142+H142</f>
        <v>-3</v>
      </c>
    </row>
    <row r="143" spans="6:12" x14ac:dyDescent="0.3">
      <c r="F143" s="19">
        <f t="shared" ref="F143:F185" si="15">F142+10</f>
        <v>4370</v>
      </c>
      <c r="G143" s="6">
        <f t="shared" si="12"/>
        <v>87</v>
      </c>
      <c r="H143" s="6">
        <f t="shared" si="13"/>
        <v>-100</v>
      </c>
      <c r="I143" s="6">
        <f t="shared" si="14"/>
        <v>-13</v>
      </c>
    </row>
    <row r="144" spans="6:12" x14ac:dyDescent="0.3">
      <c r="F144" s="19">
        <f t="shared" si="15"/>
        <v>4380</v>
      </c>
      <c r="G144" s="6">
        <f t="shared" si="12"/>
        <v>77</v>
      </c>
      <c r="H144" s="6">
        <f t="shared" si="13"/>
        <v>-100</v>
      </c>
      <c r="I144" s="6">
        <f t="shared" si="14"/>
        <v>-23</v>
      </c>
    </row>
    <row r="145" spans="6:9" x14ac:dyDescent="0.3">
      <c r="F145" s="19">
        <f t="shared" si="15"/>
        <v>4390</v>
      </c>
      <c r="G145" s="6">
        <f t="shared" si="12"/>
        <v>67</v>
      </c>
      <c r="H145" s="6">
        <f t="shared" si="13"/>
        <v>-100</v>
      </c>
      <c r="I145" s="6">
        <f t="shared" si="14"/>
        <v>-33</v>
      </c>
    </row>
    <row r="146" spans="6:9" x14ac:dyDescent="0.3">
      <c r="F146" s="19">
        <f t="shared" si="15"/>
        <v>4400</v>
      </c>
      <c r="G146" s="6">
        <f t="shared" si="12"/>
        <v>57</v>
      </c>
      <c r="H146" s="6">
        <f t="shared" si="13"/>
        <v>-100</v>
      </c>
      <c r="I146" s="6">
        <f t="shared" si="14"/>
        <v>-43</v>
      </c>
    </row>
    <row r="147" spans="6:9" x14ac:dyDescent="0.3">
      <c r="F147" s="19">
        <f t="shared" si="15"/>
        <v>4410</v>
      </c>
      <c r="G147" s="6">
        <f t="shared" si="12"/>
        <v>47</v>
      </c>
      <c r="H147" s="6">
        <f t="shared" si="13"/>
        <v>-100</v>
      </c>
      <c r="I147" s="6">
        <f t="shared" si="14"/>
        <v>-53</v>
      </c>
    </row>
    <row r="148" spans="6:9" x14ac:dyDescent="0.3">
      <c r="F148" s="19">
        <f t="shared" si="15"/>
        <v>4420</v>
      </c>
      <c r="G148" s="6">
        <f t="shared" si="12"/>
        <v>37</v>
      </c>
      <c r="H148" s="6">
        <f t="shared" si="13"/>
        <v>-100</v>
      </c>
      <c r="I148" s="6">
        <f t="shared" si="14"/>
        <v>-63</v>
      </c>
    </row>
    <row r="149" spans="6:9" x14ac:dyDescent="0.3">
      <c r="F149" s="19">
        <f t="shared" si="15"/>
        <v>4430</v>
      </c>
      <c r="G149" s="6">
        <f t="shared" si="12"/>
        <v>27</v>
      </c>
      <c r="H149" s="6">
        <f t="shared" si="13"/>
        <v>-100</v>
      </c>
      <c r="I149" s="6">
        <f t="shared" si="14"/>
        <v>-73</v>
      </c>
    </row>
    <row r="150" spans="6:9" x14ac:dyDescent="0.3">
      <c r="F150" s="19">
        <f t="shared" si="15"/>
        <v>4440</v>
      </c>
      <c r="G150" s="6">
        <f t="shared" si="12"/>
        <v>17</v>
      </c>
      <c r="H150" s="6">
        <f t="shared" si="13"/>
        <v>-100</v>
      </c>
      <c r="I150" s="6">
        <f t="shared" si="14"/>
        <v>-83</v>
      </c>
    </row>
    <row r="151" spans="6:9" x14ac:dyDescent="0.3">
      <c r="F151" s="19">
        <f t="shared" si="15"/>
        <v>4450</v>
      </c>
      <c r="G151" s="6">
        <f t="shared" si="12"/>
        <v>7</v>
      </c>
      <c r="H151" s="6">
        <f t="shared" si="13"/>
        <v>-100</v>
      </c>
      <c r="I151" s="6">
        <f t="shared" si="14"/>
        <v>-93</v>
      </c>
    </row>
    <row r="152" spans="6:9" x14ac:dyDescent="0.3">
      <c r="F152" s="19">
        <f t="shared" si="15"/>
        <v>4460</v>
      </c>
      <c r="G152" s="6">
        <f t="shared" si="12"/>
        <v>-3</v>
      </c>
      <c r="H152" s="6">
        <f t="shared" si="13"/>
        <v>-100</v>
      </c>
      <c r="I152" s="6">
        <f t="shared" si="14"/>
        <v>-103</v>
      </c>
    </row>
    <row r="153" spans="6:9" x14ac:dyDescent="0.3">
      <c r="F153" s="19">
        <f t="shared" si="15"/>
        <v>4470</v>
      </c>
      <c r="G153" s="6">
        <f t="shared" si="12"/>
        <v>-13</v>
      </c>
      <c r="H153" s="6">
        <f t="shared" si="13"/>
        <v>-100</v>
      </c>
      <c r="I153" s="6">
        <f t="shared" si="14"/>
        <v>-113</v>
      </c>
    </row>
    <row r="154" spans="6:9" x14ac:dyDescent="0.3">
      <c r="F154" s="19">
        <f t="shared" si="15"/>
        <v>4480</v>
      </c>
      <c r="G154" s="6">
        <f t="shared" si="12"/>
        <v>-23</v>
      </c>
      <c r="H154" s="6">
        <f t="shared" si="13"/>
        <v>-100</v>
      </c>
      <c r="I154" s="6">
        <f t="shared" si="14"/>
        <v>-123</v>
      </c>
    </row>
    <row r="155" spans="6:9" x14ac:dyDescent="0.3">
      <c r="F155" s="19">
        <f t="shared" si="15"/>
        <v>4490</v>
      </c>
      <c r="G155" s="6">
        <f t="shared" si="12"/>
        <v>-33</v>
      </c>
      <c r="H155" s="6">
        <f t="shared" si="13"/>
        <v>-100</v>
      </c>
      <c r="I155" s="6">
        <f t="shared" si="14"/>
        <v>-133</v>
      </c>
    </row>
    <row r="156" spans="6:9" x14ac:dyDescent="0.3">
      <c r="F156" s="19">
        <f t="shared" si="15"/>
        <v>4500</v>
      </c>
      <c r="G156" s="6">
        <f t="shared" si="12"/>
        <v>-43</v>
      </c>
      <c r="H156" s="6">
        <f t="shared" si="13"/>
        <v>-100</v>
      </c>
      <c r="I156" s="6">
        <f t="shared" si="14"/>
        <v>-143</v>
      </c>
    </row>
    <row r="157" spans="6:9" x14ac:dyDescent="0.3">
      <c r="F157" s="19">
        <f t="shared" si="15"/>
        <v>4510</v>
      </c>
      <c r="G157" s="6">
        <f t="shared" si="12"/>
        <v>-53</v>
      </c>
      <c r="H157" s="6">
        <f t="shared" si="13"/>
        <v>-90</v>
      </c>
      <c r="I157" s="6">
        <f t="shared" si="14"/>
        <v>-143</v>
      </c>
    </row>
    <row r="158" spans="6:9" x14ac:dyDescent="0.3">
      <c r="F158" s="19">
        <f t="shared" si="15"/>
        <v>4520</v>
      </c>
      <c r="G158" s="6">
        <f t="shared" si="12"/>
        <v>-63</v>
      </c>
      <c r="H158" s="6">
        <f t="shared" si="13"/>
        <v>-80</v>
      </c>
      <c r="I158" s="6">
        <f t="shared" si="14"/>
        <v>-143</v>
      </c>
    </row>
    <row r="159" spans="6:9" x14ac:dyDescent="0.3">
      <c r="F159" s="19">
        <f t="shared" si="15"/>
        <v>4530</v>
      </c>
      <c r="G159" s="6">
        <f t="shared" si="12"/>
        <v>-73</v>
      </c>
      <c r="H159" s="6">
        <f t="shared" si="13"/>
        <v>-70</v>
      </c>
      <c r="I159" s="6">
        <f t="shared" si="14"/>
        <v>-143</v>
      </c>
    </row>
    <row r="160" spans="6:9" x14ac:dyDescent="0.3">
      <c r="F160" s="19">
        <f t="shared" si="15"/>
        <v>4540</v>
      </c>
      <c r="G160" s="6">
        <f t="shared" si="12"/>
        <v>-83</v>
      </c>
      <c r="H160" s="6">
        <f t="shared" si="13"/>
        <v>-60</v>
      </c>
      <c r="I160" s="6">
        <f t="shared" si="14"/>
        <v>-143</v>
      </c>
    </row>
    <row r="161" spans="6:9" x14ac:dyDescent="0.3">
      <c r="F161" s="19">
        <f t="shared" si="15"/>
        <v>4550</v>
      </c>
      <c r="G161" s="6">
        <f t="shared" si="12"/>
        <v>-93</v>
      </c>
      <c r="H161" s="6">
        <f t="shared" si="13"/>
        <v>-50</v>
      </c>
      <c r="I161" s="6">
        <f t="shared" si="14"/>
        <v>-143</v>
      </c>
    </row>
    <row r="162" spans="6:9" x14ac:dyDescent="0.3">
      <c r="F162" s="19">
        <f t="shared" si="15"/>
        <v>4560</v>
      </c>
      <c r="G162" s="6">
        <f t="shared" si="12"/>
        <v>-103</v>
      </c>
      <c r="H162" s="6">
        <f t="shared" si="13"/>
        <v>-40</v>
      </c>
      <c r="I162" s="6">
        <f t="shared" si="14"/>
        <v>-143</v>
      </c>
    </row>
    <row r="163" spans="6:9" x14ac:dyDescent="0.3">
      <c r="F163" s="19">
        <f t="shared" si="15"/>
        <v>4570</v>
      </c>
      <c r="G163" s="6">
        <f t="shared" si="12"/>
        <v>-113</v>
      </c>
      <c r="H163" s="6">
        <f t="shared" si="13"/>
        <v>-30</v>
      </c>
      <c r="I163" s="6">
        <f t="shared" si="14"/>
        <v>-143</v>
      </c>
    </row>
    <row r="164" spans="6:9" x14ac:dyDescent="0.3">
      <c r="F164" s="19">
        <f t="shared" si="15"/>
        <v>4580</v>
      </c>
      <c r="G164" s="6">
        <f t="shared" si="12"/>
        <v>-123</v>
      </c>
      <c r="H164" s="6">
        <f t="shared" si="13"/>
        <v>-20</v>
      </c>
      <c r="I164" s="6">
        <f t="shared" si="14"/>
        <v>-143</v>
      </c>
    </row>
    <row r="165" spans="6:9" x14ac:dyDescent="0.3">
      <c r="F165" s="19">
        <f t="shared" si="15"/>
        <v>4590</v>
      </c>
      <c r="G165" s="6">
        <f t="shared" si="12"/>
        <v>-133</v>
      </c>
      <c r="H165" s="6">
        <f t="shared" si="13"/>
        <v>-10</v>
      </c>
      <c r="I165" s="6">
        <f t="shared" si="14"/>
        <v>-143</v>
      </c>
    </row>
    <row r="166" spans="6:9" x14ac:dyDescent="0.3">
      <c r="F166" s="19">
        <f t="shared" si="15"/>
        <v>4600</v>
      </c>
      <c r="G166" s="6">
        <f t="shared" si="12"/>
        <v>-143</v>
      </c>
      <c r="H166" s="6">
        <f t="shared" si="13"/>
        <v>0</v>
      </c>
      <c r="I166" s="6">
        <f t="shared" si="14"/>
        <v>-143</v>
      </c>
    </row>
    <row r="167" spans="6:9" x14ac:dyDescent="0.3">
      <c r="F167" s="19">
        <f t="shared" si="15"/>
        <v>4610</v>
      </c>
      <c r="G167" s="6">
        <f t="shared" si="12"/>
        <v>-153</v>
      </c>
      <c r="H167" s="6">
        <f t="shared" si="13"/>
        <v>10</v>
      </c>
      <c r="I167" s="6">
        <f t="shared" si="14"/>
        <v>-143</v>
      </c>
    </row>
    <row r="168" spans="6:9" x14ac:dyDescent="0.3">
      <c r="F168" s="19">
        <f t="shared" si="15"/>
        <v>4620</v>
      </c>
      <c r="G168" s="6">
        <f t="shared" si="12"/>
        <v>-163</v>
      </c>
      <c r="H168" s="6">
        <f t="shared" si="13"/>
        <v>20</v>
      </c>
      <c r="I168" s="6">
        <f t="shared" si="14"/>
        <v>-143</v>
      </c>
    </row>
    <row r="169" spans="6:9" x14ac:dyDescent="0.3">
      <c r="F169" s="19">
        <f t="shared" si="15"/>
        <v>4630</v>
      </c>
      <c r="G169" s="6">
        <f t="shared" si="12"/>
        <v>-173</v>
      </c>
      <c r="H169" s="6">
        <f t="shared" si="13"/>
        <v>30</v>
      </c>
      <c r="I169" s="6">
        <f t="shared" si="14"/>
        <v>-143</v>
      </c>
    </row>
    <row r="170" spans="6:9" x14ac:dyDescent="0.3">
      <c r="F170" s="19">
        <f t="shared" si="15"/>
        <v>4640</v>
      </c>
      <c r="G170" s="6">
        <f t="shared" si="12"/>
        <v>-183</v>
      </c>
      <c r="H170" s="6">
        <f t="shared" si="13"/>
        <v>40</v>
      </c>
      <c r="I170" s="6">
        <f t="shared" si="14"/>
        <v>-143</v>
      </c>
    </row>
    <row r="171" spans="6:9" x14ac:dyDescent="0.3">
      <c r="F171" s="19">
        <f t="shared" si="15"/>
        <v>4650</v>
      </c>
      <c r="G171" s="6">
        <f t="shared" si="12"/>
        <v>-193</v>
      </c>
      <c r="H171" s="6">
        <f t="shared" si="13"/>
        <v>50</v>
      </c>
      <c r="I171" s="6">
        <f t="shared" si="14"/>
        <v>-143</v>
      </c>
    </row>
    <row r="172" spans="6:9" x14ac:dyDescent="0.3">
      <c r="F172" s="19">
        <f t="shared" si="15"/>
        <v>4660</v>
      </c>
      <c r="G172" s="6">
        <f t="shared" si="12"/>
        <v>-203</v>
      </c>
      <c r="H172" s="6">
        <f t="shared" si="13"/>
        <v>60</v>
      </c>
      <c r="I172" s="6">
        <f t="shared" si="14"/>
        <v>-143</v>
      </c>
    </row>
    <row r="173" spans="6:9" x14ac:dyDescent="0.3">
      <c r="F173" s="19">
        <f t="shared" si="15"/>
        <v>4670</v>
      </c>
      <c r="G173" s="6">
        <f t="shared" si="12"/>
        <v>-213</v>
      </c>
      <c r="H173" s="6">
        <f t="shared" si="13"/>
        <v>70</v>
      </c>
      <c r="I173" s="6">
        <f t="shared" si="14"/>
        <v>-143</v>
      </c>
    </row>
    <row r="174" spans="6:9" x14ac:dyDescent="0.3">
      <c r="F174" s="19">
        <f t="shared" si="15"/>
        <v>4680</v>
      </c>
      <c r="G174" s="6">
        <f t="shared" si="12"/>
        <v>-223</v>
      </c>
      <c r="H174" s="6">
        <f t="shared" si="13"/>
        <v>80</v>
      </c>
      <c r="I174" s="6">
        <f t="shared" si="14"/>
        <v>-143</v>
      </c>
    </row>
    <row r="175" spans="6:9" x14ac:dyDescent="0.3">
      <c r="F175" s="19">
        <f t="shared" si="15"/>
        <v>4690</v>
      </c>
      <c r="G175" s="6">
        <f t="shared" si="12"/>
        <v>-233</v>
      </c>
      <c r="H175" s="6">
        <f t="shared" si="13"/>
        <v>90</v>
      </c>
      <c r="I175" s="6">
        <f t="shared" si="14"/>
        <v>-143</v>
      </c>
    </row>
    <row r="176" spans="6:9" x14ac:dyDescent="0.3">
      <c r="F176" s="19">
        <f t="shared" si="15"/>
        <v>4700</v>
      </c>
      <c r="G176" s="6">
        <f t="shared" si="12"/>
        <v>-243</v>
      </c>
      <c r="H176" s="6">
        <f t="shared" si="13"/>
        <v>100</v>
      </c>
      <c r="I176" s="6">
        <f t="shared" si="14"/>
        <v>-143</v>
      </c>
    </row>
    <row r="177" spans="6:9" x14ac:dyDescent="0.3">
      <c r="F177" s="19">
        <f t="shared" si="15"/>
        <v>4710</v>
      </c>
      <c r="G177" s="6">
        <f t="shared" si="12"/>
        <v>-253</v>
      </c>
      <c r="H177" s="6">
        <f t="shared" si="13"/>
        <v>110</v>
      </c>
      <c r="I177" s="6">
        <f t="shared" si="14"/>
        <v>-143</v>
      </c>
    </row>
    <row r="178" spans="6:9" x14ac:dyDescent="0.3">
      <c r="F178" s="19">
        <f t="shared" si="15"/>
        <v>4720</v>
      </c>
      <c r="G178" s="6">
        <f t="shared" si="12"/>
        <v>-263</v>
      </c>
      <c r="H178" s="6">
        <f t="shared" si="13"/>
        <v>120</v>
      </c>
      <c r="I178" s="6">
        <f t="shared" si="14"/>
        <v>-143</v>
      </c>
    </row>
    <row r="179" spans="6:9" x14ac:dyDescent="0.3">
      <c r="F179" s="19">
        <f t="shared" si="15"/>
        <v>4730</v>
      </c>
      <c r="G179" s="6">
        <f t="shared" si="12"/>
        <v>-273</v>
      </c>
      <c r="H179" s="6">
        <f t="shared" si="13"/>
        <v>130</v>
      </c>
      <c r="I179" s="6">
        <f t="shared" si="14"/>
        <v>-143</v>
      </c>
    </row>
    <row r="180" spans="6:9" x14ac:dyDescent="0.3">
      <c r="F180" s="19">
        <f t="shared" si="15"/>
        <v>4740</v>
      </c>
      <c r="G180" s="6">
        <f t="shared" si="12"/>
        <v>-283</v>
      </c>
      <c r="H180" s="6">
        <f t="shared" si="13"/>
        <v>140</v>
      </c>
      <c r="I180" s="6">
        <f t="shared" si="14"/>
        <v>-143</v>
      </c>
    </row>
    <row r="181" spans="6:9" x14ac:dyDescent="0.3">
      <c r="F181" s="19">
        <f t="shared" si="15"/>
        <v>4750</v>
      </c>
      <c r="G181" s="6">
        <f t="shared" si="12"/>
        <v>-293</v>
      </c>
      <c r="H181" s="6">
        <f t="shared" si="13"/>
        <v>150</v>
      </c>
      <c r="I181" s="6">
        <f t="shared" si="14"/>
        <v>-143</v>
      </c>
    </row>
    <row r="182" spans="6:9" x14ac:dyDescent="0.3">
      <c r="F182" s="19">
        <f t="shared" si="15"/>
        <v>4760</v>
      </c>
      <c r="G182" s="6">
        <f t="shared" si="12"/>
        <v>-303</v>
      </c>
      <c r="H182" s="6">
        <f t="shared" si="13"/>
        <v>160</v>
      </c>
      <c r="I182" s="6">
        <f t="shared" si="14"/>
        <v>-143</v>
      </c>
    </row>
    <row r="183" spans="6:9" x14ac:dyDescent="0.3">
      <c r="F183" s="19">
        <f t="shared" si="15"/>
        <v>4770</v>
      </c>
      <c r="G183" s="6">
        <f t="shared" si="12"/>
        <v>-313</v>
      </c>
      <c r="H183" s="6">
        <f t="shared" si="13"/>
        <v>170</v>
      </c>
      <c r="I183" s="6">
        <f t="shared" si="14"/>
        <v>-143</v>
      </c>
    </row>
    <row r="184" spans="6:9" x14ac:dyDescent="0.3">
      <c r="F184" s="19">
        <f t="shared" si="15"/>
        <v>4780</v>
      </c>
      <c r="G184" s="6">
        <f t="shared" si="12"/>
        <v>-323</v>
      </c>
      <c r="H184" s="6">
        <f t="shared" si="13"/>
        <v>180</v>
      </c>
      <c r="I184" s="6">
        <f t="shared" si="14"/>
        <v>-143</v>
      </c>
    </row>
    <row r="185" spans="6:9" x14ac:dyDescent="0.3">
      <c r="F185" s="19">
        <f t="shared" si="15"/>
        <v>4790</v>
      </c>
      <c r="G185" s="6">
        <f t="shared" ref="G185:G248" si="16">$H$3-F185</f>
        <v>-333</v>
      </c>
      <c r="H185" s="6">
        <f t="shared" ref="H185:H248" si="17">MAX(F185-$F$3,0)-$G$3</f>
        <v>190</v>
      </c>
      <c r="I185" s="6">
        <f t="shared" ref="I185:I248" si="18">G185+H185</f>
        <v>-143</v>
      </c>
    </row>
    <row r="186" spans="6:9" x14ac:dyDescent="0.3">
      <c r="F186" s="19">
        <f t="shared" ref="F186:F249" si="19">F185+10</f>
        <v>4800</v>
      </c>
      <c r="G186" s="6">
        <f t="shared" si="16"/>
        <v>-343</v>
      </c>
      <c r="H186" s="6">
        <f t="shared" si="17"/>
        <v>200</v>
      </c>
      <c r="I186" s="6">
        <f t="shared" si="18"/>
        <v>-143</v>
      </c>
    </row>
    <row r="187" spans="6:9" x14ac:dyDescent="0.3">
      <c r="F187" s="19">
        <f t="shared" si="19"/>
        <v>4810</v>
      </c>
      <c r="G187" s="6">
        <f t="shared" si="16"/>
        <v>-353</v>
      </c>
      <c r="H187" s="6">
        <f t="shared" si="17"/>
        <v>210</v>
      </c>
      <c r="I187" s="6">
        <f t="shared" si="18"/>
        <v>-143</v>
      </c>
    </row>
    <row r="188" spans="6:9" x14ac:dyDescent="0.3">
      <c r="F188" s="19">
        <f t="shared" si="19"/>
        <v>4820</v>
      </c>
      <c r="G188" s="6">
        <f t="shared" si="16"/>
        <v>-363</v>
      </c>
      <c r="H188" s="6">
        <f t="shared" si="17"/>
        <v>220</v>
      </c>
      <c r="I188" s="6">
        <f t="shared" si="18"/>
        <v>-143</v>
      </c>
    </row>
    <row r="189" spans="6:9" x14ac:dyDescent="0.3">
      <c r="F189" s="19">
        <f t="shared" si="19"/>
        <v>4830</v>
      </c>
      <c r="G189" s="6">
        <f t="shared" si="16"/>
        <v>-373</v>
      </c>
      <c r="H189" s="6">
        <f t="shared" si="17"/>
        <v>230</v>
      </c>
      <c r="I189" s="6">
        <f t="shared" si="18"/>
        <v>-143</v>
      </c>
    </row>
    <row r="190" spans="6:9" x14ac:dyDescent="0.3">
      <c r="F190" s="19">
        <f t="shared" si="19"/>
        <v>4840</v>
      </c>
      <c r="G190" s="6">
        <f t="shared" si="16"/>
        <v>-383</v>
      </c>
      <c r="H190" s="6">
        <f t="shared" si="17"/>
        <v>240</v>
      </c>
      <c r="I190" s="6">
        <f t="shared" si="18"/>
        <v>-143</v>
      </c>
    </row>
    <row r="191" spans="6:9" x14ac:dyDescent="0.3">
      <c r="F191" s="19">
        <f t="shared" si="19"/>
        <v>4850</v>
      </c>
      <c r="G191" s="6">
        <f t="shared" si="16"/>
        <v>-393</v>
      </c>
      <c r="H191" s="6">
        <f t="shared" si="17"/>
        <v>250</v>
      </c>
      <c r="I191" s="6">
        <f t="shared" si="18"/>
        <v>-143</v>
      </c>
    </row>
    <row r="192" spans="6:9" x14ac:dyDescent="0.3">
      <c r="F192" s="19">
        <f t="shared" si="19"/>
        <v>4860</v>
      </c>
      <c r="G192" s="6">
        <f t="shared" si="16"/>
        <v>-403</v>
      </c>
      <c r="H192" s="6">
        <f t="shared" si="17"/>
        <v>260</v>
      </c>
      <c r="I192" s="6">
        <f t="shared" si="18"/>
        <v>-143</v>
      </c>
    </row>
    <row r="193" spans="6:9" x14ac:dyDescent="0.3">
      <c r="F193" s="19">
        <f t="shared" si="19"/>
        <v>4870</v>
      </c>
      <c r="G193" s="6">
        <f t="shared" si="16"/>
        <v>-413</v>
      </c>
      <c r="H193" s="6">
        <f t="shared" si="17"/>
        <v>270</v>
      </c>
      <c r="I193" s="6">
        <f t="shared" si="18"/>
        <v>-143</v>
      </c>
    </row>
    <row r="194" spans="6:9" x14ac:dyDescent="0.3">
      <c r="F194" s="19">
        <f t="shared" si="19"/>
        <v>4880</v>
      </c>
      <c r="G194" s="6">
        <f t="shared" si="16"/>
        <v>-423</v>
      </c>
      <c r="H194" s="6">
        <f t="shared" si="17"/>
        <v>280</v>
      </c>
      <c r="I194" s="6">
        <f t="shared" si="18"/>
        <v>-143</v>
      </c>
    </row>
    <row r="195" spans="6:9" x14ac:dyDescent="0.3">
      <c r="F195" s="19">
        <f t="shared" si="19"/>
        <v>4890</v>
      </c>
      <c r="G195" s="6">
        <f t="shared" si="16"/>
        <v>-433</v>
      </c>
      <c r="H195" s="6">
        <f t="shared" si="17"/>
        <v>290</v>
      </c>
      <c r="I195" s="6">
        <f t="shared" si="18"/>
        <v>-143</v>
      </c>
    </row>
    <row r="196" spans="6:9" x14ac:dyDescent="0.3">
      <c r="F196" s="19">
        <f t="shared" si="19"/>
        <v>4900</v>
      </c>
      <c r="G196" s="6">
        <f t="shared" si="16"/>
        <v>-443</v>
      </c>
      <c r="H196" s="6">
        <f t="shared" si="17"/>
        <v>300</v>
      </c>
      <c r="I196" s="6">
        <f t="shared" si="18"/>
        <v>-143</v>
      </c>
    </row>
    <row r="197" spans="6:9" x14ac:dyDescent="0.3">
      <c r="F197" s="19">
        <f t="shared" si="19"/>
        <v>4910</v>
      </c>
      <c r="G197" s="6">
        <f t="shared" si="16"/>
        <v>-453</v>
      </c>
      <c r="H197" s="6">
        <f t="shared" si="17"/>
        <v>310</v>
      </c>
      <c r="I197" s="6">
        <f t="shared" si="18"/>
        <v>-143</v>
      </c>
    </row>
    <row r="198" spans="6:9" x14ac:dyDescent="0.3">
      <c r="F198" s="19">
        <f t="shared" si="19"/>
        <v>4920</v>
      </c>
      <c r="G198" s="6">
        <f t="shared" si="16"/>
        <v>-463</v>
      </c>
      <c r="H198" s="6">
        <f t="shared" si="17"/>
        <v>320</v>
      </c>
      <c r="I198" s="6">
        <f t="shared" si="18"/>
        <v>-143</v>
      </c>
    </row>
    <row r="199" spans="6:9" x14ac:dyDescent="0.3">
      <c r="F199" s="19">
        <f t="shared" si="19"/>
        <v>4930</v>
      </c>
      <c r="G199" s="6">
        <f t="shared" si="16"/>
        <v>-473</v>
      </c>
      <c r="H199" s="6">
        <f t="shared" si="17"/>
        <v>330</v>
      </c>
      <c r="I199" s="6">
        <f t="shared" si="18"/>
        <v>-143</v>
      </c>
    </row>
    <row r="200" spans="6:9" x14ac:dyDescent="0.3">
      <c r="F200" s="19">
        <f t="shared" si="19"/>
        <v>4940</v>
      </c>
      <c r="G200" s="6">
        <f t="shared" si="16"/>
        <v>-483</v>
      </c>
      <c r="H200" s="6">
        <f t="shared" si="17"/>
        <v>340</v>
      </c>
      <c r="I200" s="6">
        <f t="shared" si="18"/>
        <v>-143</v>
      </c>
    </row>
    <row r="201" spans="6:9" x14ac:dyDescent="0.3">
      <c r="F201" s="19">
        <f t="shared" si="19"/>
        <v>4950</v>
      </c>
      <c r="G201" s="6">
        <f t="shared" si="16"/>
        <v>-493</v>
      </c>
      <c r="H201" s="6">
        <f t="shared" si="17"/>
        <v>350</v>
      </c>
      <c r="I201" s="6">
        <f t="shared" si="18"/>
        <v>-143</v>
      </c>
    </row>
    <row r="202" spans="6:9" x14ac:dyDescent="0.3">
      <c r="F202" s="19">
        <f t="shared" si="19"/>
        <v>4960</v>
      </c>
      <c r="G202" s="6">
        <f t="shared" si="16"/>
        <v>-503</v>
      </c>
      <c r="H202" s="6">
        <f t="shared" si="17"/>
        <v>360</v>
      </c>
      <c r="I202" s="6">
        <f t="shared" si="18"/>
        <v>-143</v>
      </c>
    </row>
    <row r="203" spans="6:9" x14ac:dyDescent="0.3">
      <c r="F203" s="19">
        <f t="shared" si="19"/>
        <v>4970</v>
      </c>
      <c r="G203" s="6">
        <f t="shared" si="16"/>
        <v>-513</v>
      </c>
      <c r="H203" s="6">
        <f t="shared" si="17"/>
        <v>370</v>
      </c>
      <c r="I203" s="6">
        <f t="shared" si="18"/>
        <v>-143</v>
      </c>
    </row>
    <row r="204" spans="6:9" x14ac:dyDescent="0.3">
      <c r="F204" s="19">
        <f t="shared" si="19"/>
        <v>4980</v>
      </c>
      <c r="G204" s="6">
        <f t="shared" si="16"/>
        <v>-523</v>
      </c>
      <c r="H204" s="6">
        <f t="shared" si="17"/>
        <v>380</v>
      </c>
      <c r="I204" s="6">
        <f t="shared" si="18"/>
        <v>-143</v>
      </c>
    </row>
    <row r="205" spans="6:9" x14ac:dyDescent="0.3">
      <c r="F205" s="19">
        <f t="shared" si="19"/>
        <v>4990</v>
      </c>
      <c r="G205" s="6">
        <f t="shared" si="16"/>
        <v>-533</v>
      </c>
      <c r="H205" s="6">
        <f t="shared" si="17"/>
        <v>390</v>
      </c>
      <c r="I205" s="6">
        <f t="shared" si="18"/>
        <v>-143</v>
      </c>
    </row>
    <row r="206" spans="6:9" x14ac:dyDescent="0.3">
      <c r="F206" s="19">
        <f t="shared" si="19"/>
        <v>5000</v>
      </c>
      <c r="G206" s="6">
        <f t="shared" si="16"/>
        <v>-543</v>
      </c>
      <c r="H206" s="6">
        <f t="shared" si="17"/>
        <v>400</v>
      </c>
      <c r="I206" s="6">
        <f t="shared" si="18"/>
        <v>-143</v>
      </c>
    </row>
    <row r="207" spans="6:9" x14ac:dyDescent="0.3">
      <c r="F207" s="19">
        <f t="shared" si="19"/>
        <v>5010</v>
      </c>
      <c r="G207" s="6">
        <f t="shared" si="16"/>
        <v>-553</v>
      </c>
      <c r="H207" s="6">
        <f t="shared" si="17"/>
        <v>410</v>
      </c>
      <c r="I207" s="6">
        <f t="shared" si="18"/>
        <v>-143</v>
      </c>
    </row>
    <row r="208" spans="6:9" x14ac:dyDescent="0.3">
      <c r="F208" s="19">
        <f t="shared" si="19"/>
        <v>5020</v>
      </c>
      <c r="G208" s="6">
        <f t="shared" si="16"/>
        <v>-563</v>
      </c>
      <c r="H208" s="6">
        <f t="shared" si="17"/>
        <v>420</v>
      </c>
      <c r="I208" s="6">
        <f t="shared" si="18"/>
        <v>-143</v>
      </c>
    </row>
    <row r="209" spans="6:9" x14ac:dyDescent="0.3">
      <c r="F209" s="19">
        <f t="shared" si="19"/>
        <v>5030</v>
      </c>
      <c r="G209" s="6">
        <f t="shared" si="16"/>
        <v>-573</v>
      </c>
      <c r="H209" s="6">
        <f t="shared" si="17"/>
        <v>430</v>
      </c>
      <c r="I209" s="6">
        <f t="shared" si="18"/>
        <v>-143</v>
      </c>
    </row>
    <row r="210" spans="6:9" x14ac:dyDescent="0.3">
      <c r="F210" s="19">
        <f t="shared" si="19"/>
        <v>5040</v>
      </c>
      <c r="G210" s="6">
        <f t="shared" si="16"/>
        <v>-583</v>
      </c>
      <c r="H210" s="6">
        <f t="shared" si="17"/>
        <v>440</v>
      </c>
      <c r="I210" s="6">
        <f t="shared" si="18"/>
        <v>-143</v>
      </c>
    </row>
    <row r="211" spans="6:9" x14ac:dyDescent="0.3">
      <c r="F211" s="19">
        <f t="shared" si="19"/>
        <v>5050</v>
      </c>
      <c r="G211" s="6">
        <f t="shared" si="16"/>
        <v>-593</v>
      </c>
      <c r="H211" s="6">
        <f t="shared" si="17"/>
        <v>450</v>
      </c>
      <c r="I211" s="6">
        <f t="shared" si="18"/>
        <v>-143</v>
      </c>
    </row>
    <row r="212" spans="6:9" x14ac:dyDescent="0.3">
      <c r="F212" s="19">
        <f t="shared" si="19"/>
        <v>5060</v>
      </c>
      <c r="G212" s="6">
        <f t="shared" si="16"/>
        <v>-603</v>
      </c>
      <c r="H212" s="6">
        <f t="shared" si="17"/>
        <v>460</v>
      </c>
      <c r="I212" s="6">
        <f t="shared" si="18"/>
        <v>-143</v>
      </c>
    </row>
    <row r="213" spans="6:9" x14ac:dyDescent="0.3">
      <c r="F213" s="19">
        <f t="shared" si="19"/>
        <v>5070</v>
      </c>
      <c r="G213" s="6">
        <f t="shared" si="16"/>
        <v>-613</v>
      </c>
      <c r="H213" s="6">
        <f t="shared" si="17"/>
        <v>470</v>
      </c>
      <c r="I213" s="6">
        <f t="shared" si="18"/>
        <v>-143</v>
      </c>
    </row>
    <row r="214" spans="6:9" x14ac:dyDescent="0.3">
      <c r="F214" s="19">
        <f t="shared" si="19"/>
        <v>5080</v>
      </c>
      <c r="G214" s="6">
        <f t="shared" si="16"/>
        <v>-623</v>
      </c>
      <c r="H214" s="6">
        <f t="shared" si="17"/>
        <v>480</v>
      </c>
      <c r="I214" s="6">
        <f t="shared" si="18"/>
        <v>-143</v>
      </c>
    </row>
    <row r="215" spans="6:9" x14ac:dyDescent="0.3">
      <c r="F215" s="19">
        <f t="shared" si="19"/>
        <v>5090</v>
      </c>
      <c r="G215" s="6">
        <f t="shared" si="16"/>
        <v>-633</v>
      </c>
      <c r="H215" s="6">
        <f t="shared" si="17"/>
        <v>490</v>
      </c>
      <c r="I215" s="6">
        <f t="shared" si="18"/>
        <v>-143</v>
      </c>
    </row>
    <row r="216" spans="6:9" x14ac:dyDescent="0.3">
      <c r="F216" s="19">
        <f t="shared" si="19"/>
        <v>5100</v>
      </c>
      <c r="G216" s="6">
        <f t="shared" si="16"/>
        <v>-643</v>
      </c>
      <c r="H216" s="6">
        <f t="shared" si="17"/>
        <v>500</v>
      </c>
      <c r="I216" s="6">
        <f t="shared" si="18"/>
        <v>-143</v>
      </c>
    </row>
    <row r="217" spans="6:9" x14ac:dyDescent="0.3">
      <c r="F217" s="19">
        <f t="shared" si="19"/>
        <v>5110</v>
      </c>
      <c r="G217" s="6">
        <f t="shared" si="16"/>
        <v>-653</v>
      </c>
      <c r="H217" s="6">
        <f t="shared" si="17"/>
        <v>510</v>
      </c>
      <c r="I217" s="6">
        <f t="shared" si="18"/>
        <v>-143</v>
      </c>
    </row>
    <row r="218" spans="6:9" x14ac:dyDescent="0.3">
      <c r="F218" s="19">
        <f t="shared" si="19"/>
        <v>5120</v>
      </c>
      <c r="G218" s="6">
        <f t="shared" si="16"/>
        <v>-663</v>
      </c>
      <c r="H218" s="6">
        <f t="shared" si="17"/>
        <v>520</v>
      </c>
      <c r="I218" s="6">
        <f t="shared" si="18"/>
        <v>-143</v>
      </c>
    </row>
    <row r="219" spans="6:9" x14ac:dyDescent="0.3">
      <c r="F219" s="19">
        <f t="shared" si="19"/>
        <v>5130</v>
      </c>
      <c r="G219" s="6">
        <f t="shared" si="16"/>
        <v>-673</v>
      </c>
      <c r="H219" s="6">
        <f t="shared" si="17"/>
        <v>530</v>
      </c>
      <c r="I219" s="6">
        <f t="shared" si="18"/>
        <v>-143</v>
      </c>
    </row>
    <row r="220" spans="6:9" x14ac:dyDescent="0.3">
      <c r="F220" s="19">
        <f t="shared" si="19"/>
        <v>5140</v>
      </c>
      <c r="G220" s="6">
        <f t="shared" si="16"/>
        <v>-683</v>
      </c>
      <c r="H220" s="6">
        <f t="shared" si="17"/>
        <v>540</v>
      </c>
      <c r="I220" s="6">
        <f t="shared" si="18"/>
        <v>-143</v>
      </c>
    </row>
    <row r="221" spans="6:9" x14ac:dyDescent="0.3">
      <c r="F221" s="19">
        <f t="shared" si="19"/>
        <v>5150</v>
      </c>
      <c r="G221" s="6">
        <f t="shared" si="16"/>
        <v>-693</v>
      </c>
      <c r="H221" s="6">
        <f t="shared" si="17"/>
        <v>550</v>
      </c>
      <c r="I221" s="6">
        <f t="shared" si="18"/>
        <v>-143</v>
      </c>
    </row>
    <row r="222" spans="6:9" x14ac:dyDescent="0.3">
      <c r="F222" s="19">
        <f t="shared" si="19"/>
        <v>5160</v>
      </c>
      <c r="G222" s="6">
        <f t="shared" si="16"/>
        <v>-703</v>
      </c>
      <c r="H222" s="6">
        <f t="shared" si="17"/>
        <v>560</v>
      </c>
      <c r="I222" s="6">
        <f t="shared" si="18"/>
        <v>-143</v>
      </c>
    </row>
    <row r="223" spans="6:9" x14ac:dyDescent="0.3">
      <c r="F223" s="19">
        <f t="shared" si="19"/>
        <v>5170</v>
      </c>
      <c r="G223" s="6">
        <f t="shared" si="16"/>
        <v>-713</v>
      </c>
      <c r="H223" s="6">
        <f t="shared" si="17"/>
        <v>570</v>
      </c>
      <c r="I223" s="6">
        <f t="shared" si="18"/>
        <v>-143</v>
      </c>
    </row>
    <row r="224" spans="6:9" x14ac:dyDescent="0.3">
      <c r="F224" s="19">
        <f t="shared" si="19"/>
        <v>5180</v>
      </c>
      <c r="G224" s="6">
        <f t="shared" si="16"/>
        <v>-723</v>
      </c>
      <c r="H224" s="6">
        <f t="shared" si="17"/>
        <v>580</v>
      </c>
      <c r="I224" s="6">
        <f t="shared" si="18"/>
        <v>-143</v>
      </c>
    </row>
    <row r="225" spans="6:9" x14ac:dyDescent="0.3">
      <c r="F225" s="19">
        <f t="shared" si="19"/>
        <v>5190</v>
      </c>
      <c r="G225" s="6">
        <f t="shared" si="16"/>
        <v>-733</v>
      </c>
      <c r="H225" s="6">
        <f t="shared" si="17"/>
        <v>590</v>
      </c>
      <c r="I225" s="6">
        <f t="shared" si="18"/>
        <v>-143</v>
      </c>
    </row>
    <row r="226" spans="6:9" x14ac:dyDescent="0.3">
      <c r="F226" s="19">
        <f t="shared" si="19"/>
        <v>5200</v>
      </c>
      <c r="G226" s="6">
        <f t="shared" si="16"/>
        <v>-743</v>
      </c>
      <c r="H226" s="6">
        <f t="shared" si="17"/>
        <v>600</v>
      </c>
      <c r="I226" s="6">
        <f t="shared" si="18"/>
        <v>-143</v>
      </c>
    </row>
    <row r="227" spans="6:9" x14ac:dyDescent="0.3">
      <c r="F227" s="19">
        <f t="shared" si="19"/>
        <v>5210</v>
      </c>
      <c r="G227" s="6">
        <f t="shared" si="16"/>
        <v>-753</v>
      </c>
      <c r="H227" s="6">
        <f t="shared" si="17"/>
        <v>610</v>
      </c>
      <c r="I227" s="6">
        <f t="shared" si="18"/>
        <v>-143</v>
      </c>
    </row>
    <row r="228" spans="6:9" x14ac:dyDescent="0.3">
      <c r="F228" s="19">
        <f t="shared" si="19"/>
        <v>5220</v>
      </c>
      <c r="G228" s="6">
        <f t="shared" si="16"/>
        <v>-763</v>
      </c>
      <c r="H228" s="6">
        <f t="shared" si="17"/>
        <v>620</v>
      </c>
      <c r="I228" s="6">
        <f t="shared" si="18"/>
        <v>-143</v>
      </c>
    </row>
    <row r="229" spans="6:9" x14ac:dyDescent="0.3">
      <c r="F229" s="19">
        <f t="shared" si="19"/>
        <v>5230</v>
      </c>
      <c r="G229" s="6">
        <f t="shared" si="16"/>
        <v>-773</v>
      </c>
      <c r="H229" s="6">
        <f t="shared" si="17"/>
        <v>630</v>
      </c>
      <c r="I229" s="6">
        <f t="shared" si="18"/>
        <v>-143</v>
      </c>
    </row>
    <row r="230" spans="6:9" x14ac:dyDescent="0.3">
      <c r="F230" s="19">
        <f t="shared" si="19"/>
        <v>5240</v>
      </c>
      <c r="G230" s="6">
        <f t="shared" si="16"/>
        <v>-783</v>
      </c>
      <c r="H230" s="6">
        <f t="shared" si="17"/>
        <v>640</v>
      </c>
      <c r="I230" s="6">
        <f t="shared" si="18"/>
        <v>-143</v>
      </c>
    </row>
    <row r="231" spans="6:9" x14ac:dyDescent="0.3">
      <c r="F231" s="19">
        <f t="shared" si="19"/>
        <v>5250</v>
      </c>
      <c r="G231" s="6">
        <f t="shared" si="16"/>
        <v>-793</v>
      </c>
      <c r="H231" s="6">
        <f t="shared" si="17"/>
        <v>650</v>
      </c>
      <c r="I231" s="6">
        <f t="shared" si="18"/>
        <v>-143</v>
      </c>
    </row>
    <row r="232" spans="6:9" x14ac:dyDescent="0.3">
      <c r="F232" s="19">
        <f t="shared" si="19"/>
        <v>5260</v>
      </c>
      <c r="G232" s="6">
        <f t="shared" si="16"/>
        <v>-803</v>
      </c>
      <c r="H232" s="6">
        <f t="shared" si="17"/>
        <v>660</v>
      </c>
      <c r="I232" s="6">
        <f t="shared" si="18"/>
        <v>-143</v>
      </c>
    </row>
    <row r="233" spans="6:9" x14ac:dyDescent="0.3">
      <c r="F233" s="19">
        <f t="shared" si="19"/>
        <v>5270</v>
      </c>
      <c r="G233" s="6">
        <f t="shared" si="16"/>
        <v>-813</v>
      </c>
      <c r="H233" s="6">
        <f t="shared" si="17"/>
        <v>670</v>
      </c>
      <c r="I233" s="6">
        <f t="shared" si="18"/>
        <v>-143</v>
      </c>
    </row>
    <row r="234" spans="6:9" x14ac:dyDescent="0.3">
      <c r="F234" s="19">
        <f t="shared" si="19"/>
        <v>5280</v>
      </c>
      <c r="G234" s="6">
        <f t="shared" si="16"/>
        <v>-823</v>
      </c>
      <c r="H234" s="6">
        <f t="shared" si="17"/>
        <v>680</v>
      </c>
      <c r="I234" s="6">
        <f t="shared" si="18"/>
        <v>-143</v>
      </c>
    </row>
    <row r="235" spans="6:9" x14ac:dyDescent="0.3">
      <c r="F235" s="19">
        <f t="shared" si="19"/>
        <v>5290</v>
      </c>
      <c r="G235" s="6">
        <f t="shared" si="16"/>
        <v>-833</v>
      </c>
      <c r="H235" s="6">
        <f t="shared" si="17"/>
        <v>690</v>
      </c>
      <c r="I235" s="6">
        <f t="shared" si="18"/>
        <v>-143</v>
      </c>
    </row>
    <row r="236" spans="6:9" x14ac:dyDescent="0.3">
      <c r="F236" s="19">
        <f t="shared" si="19"/>
        <v>5300</v>
      </c>
      <c r="G236" s="6">
        <f t="shared" si="16"/>
        <v>-843</v>
      </c>
      <c r="H236" s="6">
        <f t="shared" si="17"/>
        <v>700</v>
      </c>
      <c r="I236" s="6">
        <f t="shared" si="18"/>
        <v>-143</v>
      </c>
    </row>
    <row r="237" spans="6:9" x14ac:dyDescent="0.3">
      <c r="F237" s="19">
        <f t="shared" si="19"/>
        <v>5310</v>
      </c>
      <c r="G237" s="6">
        <f t="shared" si="16"/>
        <v>-853</v>
      </c>
      <c r="H237" s="6">
        <f t="shared" si="17"/>
        <v>710</v>
      </c>
      <c r="I237" s="6">
        <f t="shared" si="18"/>
        <v>-143</v>
      </c>
    </row>
    <row r="238" spans="6:9" x14ac:dyDescent="0.3">
      <c r="F238" s="19">
        <f t="shared" si="19"/>
        <v>5320</v>
      </c>
      <c r="G238" s="6">
        <f t="shared" si="16"/>
        <v>-863</v>
      </c>
      <c r="H238" s="6">
        <f t="shared" si="17"/>
        <v>720</v>
      </c>
      <c r="I238" s="6">
        <f t="shared" si="18"/>
        <v>-143</v>
      </c>
    </row>
    <row r="239" spans="6:9" x14ac:dyDescent="0.3">
      <c r="F239" s="19">
        <f t="shared" si="19"/>
        <v>5330</v>
      </c>
      <c r="G239" s="6">
        <f t="shared" si="16"/>
        <v>-873</v>
      </c>
      <c r="H239" s="6">
        <f t="shared" si="17"/>
        <v>730</v>
      </c>
      <c r="I239" s="6">
        <f t="shared" si="18"/>
        <v>-143</v>
      </c>
    </row>
    <row r="240" spans="6:9" x14ac:dyDescent="0.3">
      <c r="F240" s="19">
        <f t="shared" si="19"/>
        <v>5340</v>
      </c>
      <c r="G240" s="6">
        <f t="shared" si="16"/>
        <v>-883</v>
      </c>
      <c r="H240" s="6">
        <f t="shared" si="17"/>
        <v>740</v>
      </c>
      <c r="I240" s="6">
        <f t="shared" si="18"/>
        <v>-143</v>
      </c>
    </row>
    <row r="241" spans="6:9" x14ac:dyDescent="0.3">
      <c r="F241" s="19">
        <f t="shared" si="19"/>
        <v>5350</v>
      </c>
      <c r="G241" s="6">
        <f t="shared" si="16"/>
        <v>-893</v>
      </c>
      <c r="H241" s="6">
        <f t="shared" si="17"/>
        <v>750</v>
      </c>
      <c r="I241" s="6">
        <f t="shared" si="18"/>
        <v>-143</v>
      </c>
    </row>
    <row r="242" spans="6:9" x14ac:dyDescent="0.3">
      <c r="F242" s="19">
        <f t="shared" si="19"/>
        <v>5360</v>
      </c>
      <c r="G242" s="6">
        <f t="shared" si="16"/>
        <v>-903</v>
      </c>
      <c r="H242" s="6">
        <f t="shared" si="17"/>
        <v>760</v>
      </c>
      <c r="I242" s="6">
        <f t="shared" si="18"/>
        <v>-143</v>
      </c>
    </row>
    <row r="243" spans="6:9" x14ac:dyDescent="0.3">
      <c r="F243" s="19">
        <f t="shared" si="19"/>
        <v>5370</v>
      </c>
      <c r="G243" s="6">
        <f t="shared" si="16"/>
        <v>-913</v>
      </c>
      <c r="H243" s="6">
        <f t="shared" si="17"/>
        <v>770</v>
      </c>
      <c r="I243" s="6">
        <f t="shared" si="18"/>
        <v>-143</v>
      </c>
    </row>
    <row r="244" spans="6:9" x14ac:dyDescent="0.3">
      <c r="F244" s="19">
        <f t="shared" si="19"/>
        <v>5380</v>
      </c>
      <c r="G244" s="6">
        <f t="shared" si="16"/>
        <v>-923</v>
      </c>
      <c r="H244" s="6">
        <f t="shared" si="17"/>
        <v>780</v>
      </c>
      <c r="I244" s="6">
        <f t="shared" si="18"/>
        <v>-143</v>
      </c>
    </row>
    <row r="245" spans="6:9" x14ac:dyDescent="0.3">
      <c r="F245" s="19">
        <f t="shared" si="19"/>
        <v>5390</v>
      </c>
      <c r="G245" s="6">
        <f t="shared" si="16"/>
        <v>-933</v>
      </c>
      <c r="H245" s="6">
        <f t="shared" si="17"/>
        <v>790</v>
      </c>
      <c r="I245" s="6">
        <f t="shared" si="18"/>
        <v>-143</v>
      </c>
    </row>
    <row r="246" spans="6:9" x14ac:dyDescent="0.3">
      <c r="F246" s="19">
        <f t="shared" si="19"/>
        <v>5400</v>
      </c>
      <c r="G246" s="6">
        <f t="shared" si="16"/>
        <v>-943</v>
      </c>
      <c r="H246" s="6">
        <f t="shared" si="17"/>
        <v>800</v>
      </c>
      <c r="I246" s="6">
        <f t="shared" si="18"/>
        <v>-143</v>
      </c>
    </row>
    <row r="247" spans="6:9" x14ac:dyDescent="0.3">
      <c r="F247" s="19">
        <f t="shared" si="19"/>
        <v>5410</v>
      </c>
      <c r="G247" s="6">
        <f t="shared" si="16"/>
        <v>-953</v>
      </c>
      <c r="H247" s="6">
        <f t="shared" si="17"/>
        <v>810</v>
      </c>
      <c r="I247" s="6">
        <f t="shared" si="18"/>
        <v>-143</v>
      </c>
    </row>
    <row r="248" spans="6:9" x14ac:dyDescent="0.3">
      <c r="F248" s="19">
        <f t="shared" si="19"/>
        <v>5420</v>
      </c>
      <c r="G248" s="6">
        <f t="shared" si="16"/>
        <v>-963</v>
      </c>
      <c r="H248" s="6">
        <f t="shared" si="17"/>
        <v>820</v>
      </c>
      <c r="I248" s="6">
        <f t="shared" si="18"/>
        <v>-143</v>
      </c>
    </row>
    <row r="249" spans="6:9" x14ac:dyDescent="0.3">
      <c r="F249" s="19">
        <f t="shared" si="19"/>
        <v>5430</v>
      </c>
      <c r="G249" s="6">
        <f t="shared" ref="G249:G306" si="20">$H$3-F249</f>
        <v>-973</v>
      </c>
      <c r="H249" s="6">
        <f t="shared" ref="H249:H306" si="21">MAX(F249-$F$3,0)-$G$3</f>
        <v>830</v>
      </c>
      <c r="I249" s="6">
        <f t="shared" ref="I249:I306" si="22">G249+H249</f>
        <v>-143</v>
      </c>
    </row>
    <row r="250" spans="6:9" x14ac:dyDescent="0.3">
      <c r="F250" s="19">
        <f t="shared" ref="F250:F281" si="23">F249+10</f>
        <v>5440</v>
      </c>
      <c r="G250" s="6">
        <f t="shared" si="20"/>
        <v>-983</v>
      </c>
      <c r="H250" s="6">
        <f t="shared" si="21"/>
        <v>840</v>
      </c>
      <c r="I250" s="6">
        <f t="shared" si="22"/>
        <v>-143</v>
      </c>
    </row>
    <row r="251" spans="6:9" x14ac:dyDescent="0.3">
      <c r="F251" s="19">
        <f t="shared" si="23"/>
        <v>5450</v>
      </c>
      <c r="G251" s="6">
        <f t="shared" si="20"/>
        <v>-993</v>
      </c>
      <c r="H251" s="6">
        <f t="shared" si="21"/>
        <v>850</v>
      </c>
      <c r="I251" s="6">
        <f t="shared" si="22"/>
        <v>-143</v>
      </c>
    </row>
    <row r="252" spans="6:9" x14ac:dyDescent="0.3">
      <c r="F252" s="19">
        <f t="shared" si="23"/>
        <v>5460</v>
      </c>
      <c r="G252" s="6">
        <f t="shared" si="20"/>
        <v>-1003</v>
      </c>
      <c r="H252" s="6">
        <f t="shared" si="21"/>
        <v>860</v>
      </c>
      <c r="I252" s="6">
        <f t="shared" si="22"/>
        <v>-143</v>
      </c>
    </row>
    <row r="253" spans="6:9" x14ac:dyDescent="0.3">
      <c r="F253" s="19">
        <f t="shared" si="23"/>
        <v>5470</v>
      </c>
      <c r="G253" s="6">
        <f t="shared" si="20"/>
        <v>-1013</v>
      </c>
      <c r="H253" s="6">
        <f t="shared" si="21"/>
        <v>870</v>
      </c>
      <c r="I253" s="6">
        <f t="shared" si="22"/>
        <v>-143</v>
      </c>
    </row>
    <row r="254" spans="6:9" x14ac:dyDescent="0.3">
      <c r="F254" s="19">
        <f t="shared" si="23"/>
        <v>5480</v>
      </c>
      <c r="G254" s="6">
        <f t="shared" si="20"/>
        <v>-1023</v>
      </c>
      <c r="H254" s="6">
        <f t="shared" si="21"/>
        <v>880</v>
      </c>
      <c r="I254" s="6">
        <f t="shared" si="22"/>
        <v>-143</v>
      </c>
    </row>
    <row r="255" spans="6:9" x14ac:dyDescent="0.3">
      <c r="F255" s="19">
        <f t="shared" si="23"/>
        <v>5490</v>
      </c>
      <c r="G255" s="6">
        <f t="shared" si="20"/>
        <v>-1033</v>
      </c>
      <c r="H255" s="6">
        <f t="shared" si="21"/>
        <v>890</v>
      </c>
      <c r="I255" s="6">
        <f t="shared" si="22"/>
        <v>-143</v>
      </c>
    </row>
    <row r="256" spans="6:9" x14ac:dyDescent="0.3">
      <c r="F256" s="19">
        <f t="shared" si="23"/>
        <v>5500</v>
      </c>
      <c r="G256" s="6">
        <f t="shared" si="20"/>
        <v>-1043</v>
      </c>
      <c r="H256" s="6">
        <f t="shared" si="21"/>
        <v>900</v>
      </c>
      <c r="I256" s="6">
        <f t="shared" si="22"/>
        <v>-143</v>
      </c>
    </row>
    <row r="257" spans="6:9" x14ac:dyDescent="0.3">
      <c r="F257" s="19">
        <f t="shared" si="23"/>
        <v>5510</v>
      </c>
      <c r="G257" s="6">
        <f t="shared" si="20"/>
        <v>-1053</v>
      </c>
      <c r="H257" s="6">
        <f t="shared" si="21"/>
        <v>910</v>
      </c>
      <c r="I257" s="6">
        <f t="shared" si="22"/>
        <v>-143</v>
      </c>
    </row>
    <row r="258" spans="6:9" x14ac:dyDescent="0.3">
      <c r="F258" s="19">
        <f t="shared" si="23"/>
        <v>5520</v>
      </c>
      <c r="G258" s="6">
        <f t="shared" si="20"/>
        <v>-1063</v>
      </c>
      <c r="H258" s="6">
        <f t="shared" si="21"/>
        <v>920</v>
      </c>
      <c r="I258" s="6">
        <f t="shared" si="22"/>
        <v>-143</v>
      </c>
    </row>
    <row r="259" spans="6:9" x14ac:dyDescent="0.3">
      <c r="F259" s="19">
        <f t="shared" si="23"/>
        <v>5530</v>
      </c>
      <c r="G259" s="6">
        <f t="shared" si="20"/>
        <v>-1073</v>
      </c>
      <c r="H259" s="6">
        <f t="shared" si="21"/>
        <v>930</v>
      </c>
      <c r="I259" s="6">
        <f t="shared" si="22"/>
        <v>-143</v>
      </c>
    </row>
    <row r="260" spans="6:9" x14ac:dyDescent="0.3">
      <c r="F260" s="19">
        <f t="shared" si="23"/>
        <v>5540</v>
      </c>
      <c r="G260" s="6">
        <f t="shared" si="20"/>
        <v>-1083</v>
      </c>
      <c r="H260" s="6">
        <f t="shared" si="21"/>
        <v>940</v>
      </c>
      <c r="I260" s="6">
        <f t="shared" si="22"/>
        <v>-143</v>
      </c>
    </row>
    <row r="261" spans="6:9" x14ac:dyDescent="0.3">
      <c r="F261" s="19">
        <f t="shared" si="23"/>
        <v>5550</v>
      </c>
      <c r="G261" s="6">
        <f t="shared" si="20"/>
        <v>-1093</v>
      </c>
      <c r="H261" s="6">
        <f t="shared" si="21"/>
        <v>950</v>
      </c>
      <c r="I261" s="6">
        <f t="shared" si="22"/>
        <v>-143</v>
      </c>
    </row>
    <row r="262" spans="6:9" x14ac:dyDescent="0.3">
      <c r="F262" s="19">
        <f t="shared" si="23"/>
        <v>5560</v>
      </c>
      <c r="G262" s="6">
        <f t="shared" si="20"/>
        <v>-1103</v>
      </c>
      <c r="H262" s="6">
        <f t="shared" si="21"/>
        <v>960</v>
      </c>
      <c r="I262" s="6">
        <f t="shared" si="22"/>
        <v>-143</v>
      </c>
    </row>
    <row r="263" spans="6:9" x14ac:dyDescent="0.3">
      <c r="F263" s="19">
        <f t="shared" si="23"/>
        <v>5570</v>
      </c>
      <c r="G263" s="6">
        <f t="shared" si="20"/>
        <v>-1113</v>
      </c>
      <c r="H263" s="6">
        <f t="shared" si="21"/>
        <v>970</v>
      </c>
      <c r="I263" s="6">
        <f t="shared" si="22"/>
        <v>-143</v>
      </c>
    </row>
    <row r="264" spans="6:9" x14ac:dyDescent="0.3">
      <c r="F264" s="19">
        <f t="shared" si="23"/>
        <v>5580</v>
      </c>
      <c r="G264" s="6">
        <f t="shared" si="20"/>
        <v>-1123</v>
      </c>
      <c r="H264" s="6">
        <f t="shared" si="21"/>
        <v>980</v>
      </c>
      <c r="I264" s="6">
        <f t="shared" si="22"/>
        <v>-143</v>
      </c>
    </row>
    <row r="265" spans="6:9" x14ac:dyDescent="0.3">
      <c r="F265" s="19">
        <f t="shared" si="23"/>
        <v>5590</v>
      </c>
      <c r="G265" s="6">
        <f t="shared" si="20"/>
        <v>-1133</v>
      </c>
      <c r="H265" s="6">
        <f t="shared" si="21"/>
        <v>990</v>
      </c>
      <c r="I265" s="6">
        <f t="shared" si="22"/>
        <v>-143</v>
      </c>
    </row>
    <row r="266" spans="6:9" x14ac:dyDescent="0.3">
      <c r="F266" s="19">
        <f t="shared" si="23"/>
        <v>5600</v>
      </c>
      <c r="G266" s="6">
        <f t="shared" si="20"/>
        <v>-1143</v>
      </c>
      <c r="H266" s="6">
        <f t="shared" si="21"/>
        <v>1000</v>
      </c>
      <c r="I266" s="6">
        <f t="shared" si="22"/>
        <v>-143</v>
      </c>
    </row>
    <row r="267" spans="6:9" x14ac:dyDescent="0.3">
      <c r="F267" s="19">
        <f t="shared" si="23"/>
        <v>5610</v>
      </c>
      <c r="G267" s="6">
        <f t="shared" si="20"/>
        <v>-1153</v>
      </c>
      <c r="H267" s="6">
        <f t="shared" si="21"/>
        <v>1010</v>
      </c>
      <c r="I267" s="6">
        <f t="shared" si="22"/>
        <v>-143</v>
      </c>
    </row>
    <row r="268" spans="6:9" x14ac:dyDescent="0.3">
      <c r="F268" s="19">
        <f t="shared" si="23"/>
        <v>5620</v>
      </c>
      <c r="G268" s="6">
        <f t="shared" si="20"/>
        <v>-1163</v>
      </c>
      <c r="H268" s="6">
        <f t="shared" si="21"/>
        <v>1020</v>
      </c>
      <c r="I268" s="6">
        <f t="shared" si="22"/>
        <v>-143</v>
      </c>
    </row>
    <row r="269" spans="6:9" x14ac:dyDescent="0.3">
      <c r="F269" s="19">
        <f t="shared" si="23"/>
        <v>5630</v>
      </c>
      <c r="G269" s="6">
        <f t="shared" si="20"/>
        <v>-1173</v>
      </c>
      <c r="H269" s="6">
        <f t="shared" si="21"/>
        <v>1030</v>
      </c>
      <c r="I269" s="6">
        <f t="shared" si="22"/>
        <v>-143</v>
      </c>
    </row>
    <row r="270" spans="6:9" x14ac:dyDescent="0.3">
      <c r="F270" s="19">
        <f t="shared" si="23"/>
        <v>5640</v>
      </c>
      <c r="G270" s="6">
        <f t="shared" si="20"/>
        <v>-1183</v>
      </c>
      <c r="H270" s="6">
        <f t="shared" si="21"/>
        <v>1040</v>
      </c>
      <c r="I270" s="6">
        <f t="shared" si="22"/>
        <v>-143</v>
      </c>
    </row>
    <row r="271" spans="6:9" x14ac:dyDescent="0.3">
      <c r="F271" s="19">
        <f t="shared" si="23"/>
        <v>5650</v>
      </c>
      <c r="G271" s="6">
        <f t="shared" si="20"/>
        <v>-1193</v>
      </c>
      <c r="H271" s="6">
        <f t="shared" si="21"/>
        <v>1050</v>
      </c>
      <c r="I271" s="6">
        <f t="shared" si="22"/>
        <v>-143</v>
      </c>
    </row>
    <row r="272" spans="6:9" x14ac:dyDescent="0.3">
      <c r="F272" s="19">
        <f t="shared" si="23"/>
        <v>5660</v>
      </c>
      <c r="G272" s="6">
        <f t="shared" si="20"/>
        <v>-1203</v>
      </c>
      <c r="H272" s="6">
        <f t="shared" si="21"/>
        <v>1060</v>
      </c>
      <c r="I272" s="6">
        <f t="shared" si="22"/>
        <v>-143</v>
      </c>
    </row>
    <row r="273" spans="6:9" x14ac:dyDescent="0.3">
      <c r="F273" s="19">
        <f t="shared" si="23"/>
        <v>5670</v>
      </c>
      <c r="G273" s="6">
        <f t="shared" si="20"/>
        <v>-1213</v>
      </c>
      <c r="H273" s="6">
        <f t="shared" si="21"/>
        <v>1070</v>
      </c>
      <c r="I273" s="6">
        <f t="shared" si="22"/>
        <v>-143</v>
      </c>
    </row>
    <row r="274" spans="6:9" x14ac:dyDescent="0.3">
      <c r="F274" s="19">
        <f t="shared" si="23"/>
        <v>5680</v>
      </c>
      <c r="G274" s="6">
        <f t="shared" si="20"/>
        <v>-1223</v>
      </c>
      <c r="H274" s="6">
        <f t="shared" si="21"/>
        <v>1080</v>
      </c>
      <c r="I274" s="6">
        <f t="shared" si="22"/>
        <v>-143</v>
      </c>
    </row>
    <row r="275" spans="6:9" x14ac:dyDescent="0.3">
      <c r="F275" s="19">
        <f t="shared" si="23"/>
        <v>5690</v>
      </c>
      <c r="G275" s="6">
        <f t="shared" si="20"/>
        <v>-1233</v>
      </c>
      <c r="H275" s="6">
        <f t="shared" si="21"/>
        <v>1090</v>
      </c>
      <c r="I275" s="6">
        <f t="shared" si="22"/>
        <v>-143</v>
      </c>
    </row>
    <row r="276" spans="6:9" x14ac:dyDescent="0.3">
      <c r="F276" s="19">
        <f t="shared" si="23"/>
        <v>5700</v>
      </c>
      <c r="G276" s="6">
        <f t="shared" si="20"/>
        <v>-1243</v>
      </c>
      <c r="H276" s="6">
        <f t="shared" si="21"/>
        <v>1100</v>
      </c>
      <c r="I276" s="6">
        <f t="shared" si="22"/>
        <v>-143</v>
      </c>
    </row>
    <row r="277" spans="6:9" x14ac:dyDescent="0.3">
      <c r="F277" s="19">
        <f t="shared" si="23"/>
        <v>5710</v>
      </c>
      <c r="G277" s="6">
        <f t="shared" si="20"/>
        <v>-1253</v>
      </c>
      <c r="H277" s="6">
        <f t="shared" si="21"/>
        <v>1110</v>
      </c>
      <c r="I277" s="6">
        <f t="shared" si="22"/>
        <v>-143</v>
      </c>
    </row>
    <row r="278" spans="6:9" x14ac:dyDescent="0.3">
      <c r="F278" s="19">
        <f t="shared" si="23"/>
        <v>5720</v>
      </c>
      <c r="G278" s="6">
        <f t="shared" si="20"/>
        <v>-1263</v>
      </c>
      <c r="H278" s="6">
        <f t="shared" si="21"/>
        <v>1120</v>
      </c>
      <c r="I278" s="6">
        <f t="shared" si="22"/>
        <v>-143</v>
      </c>
    </row>
    <row r="279" spans="6:9" x14ac:dyDescent="0.3">
      <c r="F279" s="19">
        <f t="shared" si="23"/>
        <v>5730</v>
      </c>
      <c r="G279" s="6">
        <f t="shared" si="20"/>
        <v>-1273</v>
      </c>
      <c r="H279" s="6">
        <f t="shared" si="21"/>
        <v>1130</v>
      </c>
      <c r="I279" s="6">
        <f t="shared" si="22"/>
        <v>-143</v>
      </c>
    </row>
    <row r="280" spans="6:9" x14ac:dyDescent="0.3">
      <c r="F280" s="19">
        <f t="shared" si="23"/>
        <v>5740</v>
      </c>
      <c r="G280" s="6">
        <f t="shared" si="20"/>
        <v>-1283</v>
      </c>
      <c r="H280" s="6">
        <f t="shared" si="21"/>
        <v>1140</v>
      </c>
      <c r="I280" s="6">
        <f t="shared" si="22"/>
        <v>-143</v>
      </c>
    </row>
    <row r="281" spans="6:9" x14ac:dyDescent="0.3">
      <c r="F281" s="19">
        <f t="shared" si="23"/>
        <v>5750</v>
      </c>
      <c r="G281" s="6">
        <f t="shared" si="20"/>
        <v>-1293</v>
      </c>
      <c r="H281" s="6">
        <f t="shared" si="21"/>
        <v>1150</v>
      </c>
      <c r="I281" s="6">
        <f t="shared" si="22"/>
        <v>-143</v>
      </c>
    </row>
    <row r="282" spans="6:9" x14ac:dyDescent="0.3">
      <c r="F282" s="19">
        <f t="shared" ref="F282:F306" si="24">F281+10</f>
        <v>5760</v>
      </c>
      <c r="G282" s="6">
        <f t="shared" si="20"/>
        <v>-1303</v>
      </c>
      <c r="H282" s="6">
        <f t="shared" si="21"/>
        <v>1160</v>
      </c>
      <c r="I282" s="6">
        <f t="shared" si="22"/>
        <v>-143</v>
      </c>
    </row>
    <row r="283" spans="6:9" x14ac:dyDescent="0.3">
      <c r="F283" s="19">
        <f t="shared" si="24"/>
        <v>5770</v>
      </c>
      <c r="G283" s="6">
        <f t="shared" si="20"/>
        <v>-1313</v>
      </c>
      <c r="H283" s="6">
        <f t="shared" si="21"/>
        <v>1170</v>
      </c>
      <c r="I283" s="6">
        <f t="shared" si="22"/>
        <v>-143</v>
      </c>
    </row>
    <row r="284" spans="6:9" x14ac:dyDescent="0.3">
      <c r="F284" s="19">
        <f t="shared" si="24"/>
        <v>5780</v>
      </c>
      <c r="G284" s="6">
        <f t="shared" si="20"/>
        <v>-1323</v>
      </c>
      <c r="H284" s="6">
        <f t="shared" si="21"/>
        <v>1180</v>
      </c>
      <c r="I284" s="6">
        <f t="shared" si="22"/>
        <v>-143</v>
      </c>
    </row>
    <row r="285" spans="6:9" x14ac:dyDescent="0.3">
      <c r="F285" s="19">
        <f t="shared" si="24"/>
        <v>5790</v>
      </c>
      <c r="G285" s="6">
        <f t="shared" si="20"/>
        <v>-1333</v>
      </c>
      <c r="H285" s="6">
        <f t="shared" si="21"/>
        <v>1190</v>
      </c>
      <c r="I285" s="6">
        <f t="shared" si="22"/>
        <v>-143</v>
      </c>
    </row>
    <row r="286" spans="6:9" x14ac:dyDescent="0.3">
      <c r="F286" s="19">
        <f t="shared" si="24"/>
        <v>5800</v>
      </c>
      <c r="G286" s="6">
        <f t="shared" si="20"/>
        <v>-1343</v>
      </c>
      <c r="H286" s="6">
        <f t="shared" si="21"/>
        <v>1200</v>
      </c>
      <c r="I286" s="6">
        <f t="shared" si="22"/>
        <v>-143</v>
      </c>
    </row>
    <row r="287" spans="6:9" x14ac:dyDescent="0.3">
      <c r="F287" s="19">
        <f t="shared" si="24"/>
        <v>5810</v>
      </c>
      <c r="G287" s="6">
        <f t="shared" si="20"/>
        <v>-1353</v>
      </c>
      <c r="H287" s="6">
        <f t="shared" si="21"/>
        <v>1210</v>
      </c>
      <c r="I287" s="6">
        <f t="shared" si="22"/>
        <v>-143</v>
      </c>
    </row>
    <row r="288" spans="6:9" x14ac:dyDescent="0.3">
      <c r="F288" s="19">
        <f t="shared" si="24"/>
        <v>5820</v>
      </c>
      <c r="G288" s="6">
        <f t="shared" si="20"/>
        <v>-1363</v>
      </c>
      <c r="H288" s="6">
        <f t="shared" si="21"/>
        <v>1220</v>
      </c>
      <c r="I288" s="6">
        <f t="shared" si="22"/>
        <v>-143</v>
      </c>
    </row>
    <row r="289" spans="6:9" x14ac:dyDescent="0.3">
      <c r="F289" s="19">
        <f t="shared" si="24"/>
        <v>5830</v>
      </c>
      <c r="G289" s="6">
        <f t="shared" si="20"/>
        <v>-1373</v>
      </c>
      <c r="H289" s="6">
        <f t="shared" si="21"/>
        <v>1230</v>
      </c>
      <c r="I289" s="6">
        <f t="shared" si="22"/>
        <v>-143</v>
      </c>
    </row>
    <row r="290" spans="6:9" x14ac:dyDescent="0.3">
      <c r="F290" s="19">
        <f t="shared" si="24"/>
        <v>5840</v>
      </c>
      <c r="G290" s="6">
        <f t="shared" si="20"/>
        <v>-1383</v>
      </c>
      <c r="H290" s="6">
        <f t="shared" si="21"/>
        <v>1240</v>
      </c>
      <c r="I290" s="6">
        <f t="shared" si="22"/>
        <v>-143</v>
      </c>
    </row>
    <row r="291" spans="6:9" x14ac:dyDescent="0.3">
      <c r="F291" s="19">
        <f t="shared" si="24"/>
        <v>5850</v>
      </c>
      <c r="G291" s="6">
        <f t="shared" si="20"/>
        <v>-1393</v>
      </c>
      <c r="H291" s="6">
        <f t="shared" si="21"/>
        <v>1250</v>
      </c>
      <c r="I291" s="6">
        <f t="shared" si="22"/>
        <v>-143</v>
      </c>
    </row>
    <row r="292" spans="6:9" x14ac:dyDescent="0.3">
      <c r="F292" s="19">
        <f t="shared" si="24"/>
        <v>5860</v>
      </c>
      <c r="G292" s="6">
        <f t="shared" si="20"/>
        <v>-1403</v>
      </c>
      <c r="H292" s="6">
        <f t="shared" si="21"/>
        <v>1260</v>
      </c>
      <c r="I292" s="6">
        <f t="shared" si="22"/>
        <v>-143</v>
      </c>
    </row>
    <row r="293" spans="6:9" x14ac:dyDescent="0.3">
      <c r="F293" s="19">
        <f t="shared" si="24"/>
        <v>5870</v>
      </c>
      <c r="G293" s="6">
        <f t="shared" si="20"/>
        <v>-1413</v>
      </c>
      <c r="H293" s="6">
        <f t="shared" si="21"/>
        <v>1270</v>
      </c>
      <c r="I293" s="6">
        <f t="shared" si="22"/>
        <v>-143</v>
      </c>
    </row>
    <row r="294" spans="6:9" x14ac:dyDescent="0.3">
      <c r="F294" s="19">
        <f t="shared" si="24"/>
        <v>5880</v>
      </c>
      <c r="G294" s="6">
        <f t="shared" si="20"/>
        <v>-1423</v>
      </c>
      <c r="H294" s="6">
        <f t="shared" si="21"/>
        <v>1280</v>
      </c>
      <c r="I294" s="6">
        <f t="shared" si="22"/>
        <v>-143</v>
      </c>
    </row>
    <row r="295" spans="6:9" x14ac:dyDescent="0.3">
      <c r="F295" s="19">
        <f t="shared" si="24"/>
        <v>5890</v>
      </c>
      <c r="G295" s="6">
        <f t="shared" si="20"/>
        <v>-1433</v>
      </c>
      <c r="H295" s="6">
        <f t="shared" si="21"/>
        <v>1290</v>
      </c>
      <c r="I295" s="6">
        <f t="shared" si="22"/>
        <v>-143</v>
      </c>
    </row>
    <row r="296" spans="6:9" x14ac:dyDescent="0.3">
      <c r="F296" s="19">
        <f t="shared" si="24"/>
        <v>5900</v>
      </c>
      <c r="G296" s="6">
        <f t="shared" si="20"/>
        <v>-1443</v>
      </c>
      <c r="H296" s="6">
        <f t="shared" si="21"/>
        <v>1300</v>
      </c>
      <c r="I296" s="6">
        <f t="shared" si="22"/>
        <v>-143</v>
      </c>
    </row>
    <row r="297" spans="6:9" x14ac:dyDescent="0.3">
      <c r="F297" s="19">
        <f t="shared" si="24"/>
        <v>5910</v>
      </c>
      <c r="G297" s="6">
        <f t="shared" si="20"/>
        <v>-1453</v>
      </c>
      <c r="H297" s="6">
        <f t="shared" si="21"/>
        <v>1310</v>
      </c>
      <c r="I297" s="6">
        <f t="shared" si="22"/>
        <v>-143</v>
      </c>
    </row>
    <row r="298" spans="6:9" x14ac:dyDescent="0.3">
      <c r="F298" s="19">
        <f t="shared" si="24"/>
        <v>5920</v>
      </c>
      <c r="G298" s="6">
        <f t="shared" si="20"/>
        <v>-1463</v>
      </c>
      <c r="H298" s="6">
        <f t="shared" si="21"/>
        <v>1320</v>
      </c>
      <c r="I298" s="6">
        <f t="shared" si="22"/>
        <v>-143</v>
      </c>
    </row>
    <row r="299" spans="6:9" x14ac:dyDescent="0.3">
      <c r="F299" s="19">
        <f t="shared" si="24"/>
        <v>5930</v>
      </c>
      <c r="G299" s="6">
        <f t="shared" si="20"/>
        <v>-1473</v>
      </c>
      <c r="H299" s="6">
        <f t="shared" si="21"/>
        <v>1330</v>
      </c>
      <c r="I299" s="6">
        <f t="shared" si="22"/>
        <v>-143</v>
      </c>
    </row>
    <row r="300" spans="6:9" x14ac:dyDescent="0.3">
      <c r="F300" s="19">
        <f t="shared" si="24"/>
        <v>5940</v>
      </c>
      <c r="G300" s="6">
        <f t="shared" si="20"/>
        <v>-1483</v>
      </c>
      <c r="H300" s="6">
        <f t="shared" si="21"/>
        <v>1340</v>
      </c>
      <c r="I300" s="6">
        <f t="shared" si="22"/>
        <v>-143</v>
      </c>
    </row>
    <row r="301" spans="6:9" x14ac:dyDescent="0.3">
      <c r="F301" s="19">
        <f t="shared" si="24"/>
        <v>5950</v>
      </c>
      <c r="G301" s="6">
        <f t="shared" si="20"/>
        <v>-1493</v>
      </c>
      <c r="H301" s="6">
        <f t="shared" si="21"/>
        <v>1350</v>
      </c>
      <c r="I301" s="6">
        <f t="shared" si="22"/>
        <v>-143</v>
      </c>
    </row>
    <row r="302" spans="6:9" x14ac:dyDescent="0.3">
      <c r="F302" s="19">
        <f t="shared" si="24"/>
        <v>5960</v>
      </c>
      <c r="G302" s="6">
        <f t="shared" si="20"/>
        <v>-1503</v>
      </c>
      <c r="H302" s="6">
        <f t="shared" si="21"/>
        <v>1360</v>
      </c>
      <c r="I302" s="6">
        <f t="shared" si="22"/>
        <v>-143</v>
      </c>
    </row>
    <row r="303" spans="6:9" x14ac:dyDescent="0.3">
      <c r="F303" s="19">
        <f t="shared" si="24"/>
        <v>5970</v>
      </c>
      <c r="G303" s="6">
        <f t="shared" si="20"/>
        <v>-1513</v>
      </c>
      <c r="H303" s="6">
        <f t="shared" si="21"/>
        <v>1370</v>
      </c>
      <c r="I303" s="6">
        <f t="shared" si="22"/>
        <v>-143</v>
      </c>
    </row>
    <row r="304" spans="6:9" x14ac:dyDescent="0.3">
      <c r="F304" s="19">
        <f t="shared" si="24"/>
        <v>5980</v>
      </c>
      <c r="G304" s="6">
        <f t="shared" si="20"/>
        <v>-1523</v>
      </c>
      <c r="H304" s="6">
        <f t="shared" si="21"/>
        <v>1380</v>
      </c>
      <c r="I304" s="6">
        <f t="shared" si="22"/>
        <v>-143</v>
      </c>
    </row>
    <row r="305" spans="6:9" x14ac:dyDescent="0.3">
      <c r="F305" s="19">
        <f t="shared" si="24"/>
        <v>5990</v>
      </c>
      <c r="G305" s="6">
        <f t="shared" si="20"/>
        <v>-1533</v>
      </c>
      <c r="H305" s="6">
        <f t="shared" si="21"/>
        <v>1390</v>
      </c>
      <c r="I305" s="6">
        <f t="shared" si="22"/>
        <v>-143</v>
      </c>
    </row>
    <row r="306" spans="6:9" x14ac:dyDescent="0.3">
      <c r="F306" s="19">
        <f t="shared" si="24"/>
        <v>6000</v>
      </c>
      <c r="G306" s="6">
        <f t="shared" si="20"/>
        <v>-1543</v>
      </c>
      <c r="H306" s="6">
        <f t="shared" si="21"/>
        <v>1400</v>
      </c>
      <c r="I306" s="6">
        <f t="shared" si="22"/>
        <v>-143</v>
      </c>
    </row>
  </sheetData>
  <sheetProtection algorithmName="SHA-512" hashValue="zN+JOaIaFAJToh6BKetaHZX2sii1gEeqoVTUpViVQclzzD8ZAqN34w2TsJbEAeSRBmiWd2KqKdyvydozGZFOkQ==" saltValue="X0yqZLzJZh8Do8TEBtyVag==" spinCount="100000" sheet="1" objects="1" scenarios="1"/>
  <mergeCells count="7">
    <mergeCell ref="B2:E6"/>
    <mergeCell ref="J141:L141"/>
    <mergeCell ref="K3:N7"/>
    <mergeCell ref="K2:N2"/>
    <mergeCell ref="K9:N10"/>
    <mergeCell ref="K12:N13"/>
    <mergeCell ref="B8:E9"/>
  </mergeCells>
  <conditionalFormatting sqref="G5:G306">
    <cfRule type="cellIs" dxfId="91" priority="1" operator="greaterThan">
      <formula>0</formula>
    </cfRule>
  </conditionalFormatting>
  <conditionalFormatting sqref="G5:I306">
    <cfRule type="cellIs" dxfId="90" priority="2" operator="lessThan">
      <formula>0</formula>
    </cfRule>
  </conditionalFormatting>
  <conditionalFormatting sqref="H5:I306">
    <cfRule type="cellIs" dxfId="89" priority="4" operator="lessThan">
      <formula>#REF!</formula>
    </cfRule>
    <cfRule type="cellIs" dxfId="88" priority="5" operator="greaterThan">
      <formula>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0EDE-A1F4-4E42-B03B-6A93C803E136}">
  <sheetPr codeName="Sheet8"/>
  <dimension ref="B1:O212"/>
  <sheetViews>
    <sheetView workbookViewId="0">
      <selection activeCell="R33" sqref="R33"/>
    </sheetView>
  </sheetViews>
  <sheetFormatPr defaultRowHeight="14.4" x14ac:dyDescent="0.3"/>
  <cols>
    <col min="8" max="8" width="11.21875" bestFit="1" customWidth="1"/>
    <col min="9" max="9" width="9.44140625" bestFit="1" customWidth="1"/>
    <col min="10" max="10" width="9.77734375" bestFit="1" customWidth="1"/>
    <col min="11" max="11" width="11.5546875" bestFit="1" customWidth="1"/>
  </cols>
  <sheetData>
    <row r="1" spans="2:15" ht="15" thickBot="1" x14ac:dyDescent="0.35"/>
    <row r="2" spans="2:15" x14ac:dyDescent="0.3">
      <c r="B2" s="136" t="s">
        <v>66</v>
      </c>
      <c r="C2" s="137"/>
      <c r="D2" s="137"/>
      <c r="E2" s="137"/>
      <c r="F2" s="138"/>
      <c r="H2" s="1" t="s">
        <v>67</v>
      </c>
      <c r="I2" s="26"/>
      <c r="J2" s="1" t="s">
        <v>52</v>
      </c>
      <c r="K2" s="1" t="s">
        <v>42</v>
      </c>
      <c r="M2" s="132" t="s">
        <v>71</v>
      </c>
      <c r="N2" s="133"/>
      <c r="O2" s="134"/>
    </row>
    <row r="3" spans="2:15" x14ac:dyDescent="0.3">
      <c r="B3" s="105"/>
      <c r="C3" s="106"/>
      <c r="D3" s="106"/>
      <c r="E3" s="106"/>
      <c r="F3" s="107"/>
      <c r="H3" s="19">
        <v>4500</v>
      </c>
      <c r="I3" s="19"/>
      <c r="J3" s="19">
        <v>4300</v>
      </c>
      <c r="K3" s="19">
        <v>24</v>
      </c>
      <c r="M3" s="54" t="s">
        <v>70</v>
      </c>
      <c r="N3" s="55"/>
      <c r="O3" s="56"/>
    </row>
    <row r="4" spans="2:15" x14ac:dyDescent="0.3">
      <c r="B4" s="105"/>
      <c r="C4" s="106"/>
      <c r="D4" s="106"/>
      <c r="E4" s="106"/>
      <c r="F4" s="107"/>
      <c r="H4" s="1" t="s">
        <v>4</v>
      </c>
      <c r="I4" s="17" t="s">
        <v>53</v>
      </c>
      <c r="J4" s="1" t="s">
        <v>68</v>
      </c>
      <c r="K4" s="1" t="s">
        <v>37</v>
      </c>
      <c r="M4" s="54"/>
      <c r="N4" s="55"/>
      <c r="O4" s="56"/>
    </row>
    <row r="5" spans="2:15" ht="15" thickBot="1" x14ac:dyDescent="0.35">
      <c r="B5" s="105"/>
      <c r="C5" s="106"/>
      <c r="D5" s="106"/>
      <c r="E5" s="106"/>
      <c r="F5" s="107"/>
      <c r="H5" s="19">
        <v>3500</v>
      </c>
      <c r="I5" s="6">
        <f>(MAX($J$3-H5,0)-$K$3)*-1</f>
        <v>-776</v>
      </c>
      <c r="J5" s="6">
        <f>$H$3-H5</f>
        <v>1000</v>
      </c>
      <c r="K5" s="6">
        <f>I5+J5</f>
        <v>224</v>
      </c>
      <c r="M5" s="57"/>
      <c r="N5" s="58"/>
      <c r="O5" s="59"/>
    </row>
    <row r="6" spans="2:15" ht="15" thickBot="1" x14ac:dyDescent="0.35">
      <c r="B6" s="105"/>
      <c r="C6" s="106"/>
      <c r="D6" s="106"/>
      <c r="E6" s="106"/>
      <c r="F6" s="107"/>
      <c r="H6" s="19">
        <f>H5+10</f>
        <v>3510</v>
      </c>
      <c r="I6" s="6">
        <f t="shared" ref="I6:I69" si="0">(MAX($J$3-H6,0)-$K$3)*-1</f>
        <v>-766</v>
      </c>
      <c r="J6" s="6">
        <f t="shared" ref="J6:J69" si="1">$H$3-H6</f>
        <v>990</v>
      </c>
      <c r="K6" s="6">
        <f t="shared" ref="K6:K69" si="2">I6+J6</f>
        <v>224</v>
      </c>
    </row>
    <row r="7" spans="2:15" ht="15" thickBot="1" x14ac:dyDescent="0.35">
      <c r="B7" s="108"/>
      <c r="C7" s="109"/>
      <c r="D7" s="109"/>
      <c r="E7" s="109"/>
      <c r="F7" s="110"/>
      <c r="H7" s="19">
        <f t="shared" ref="H7:H70" si="3">H6+10</f>
        <v>3520</v>
      </c>
      <c r="I7" s="6">
        <f t="shared" si="0"/>
        <v>-756</v>
      </c>
      <c r="J7" s="6">
        <f t="shared" si="1"/>
        <v>980</v>
      </c>
      <c r="K7" s="6">
        <f t="shared" si="2"/>
        <v>224</v>
      </c>
      <c r="M7" s="139" t="s">
        <v>72</v>
      </c>
      <c r="N7" s="140"/>
      <c r="O7" s="141"/>
    </row>
    <row r="8" spans="2:15" x14ac:dyDescent="0.3">
      <c r="H8" s="19">
        <f t="shared" si="3"/>
        <v>3530</v>
      </c>
      <c r="I8" s="6">
        <f t="shared" si="0"/>
        <v>-746</v>
      </c>
      <c r="J8" s="6">
        <f t="shared" si="1"/>
        <v>970</v>
      </c>
      <c r="K8" s="6">
        <f t="shared" si="2"/>
        <v>224</v>
      </c>
      <c r="M8" s="142"/>
      <c r="N8" s="143"/>
      <c r="O8" s="144"/>
    </row>
    <row r="9" spans="2:15" ht="15" thickBot="1" x14ac:dyDescent="0.35">
      <c r="H9" s="19">
        <f t="shared" si="3"/>
        <v>3540</v>
      </c>
      <c r="I9" s="6">
        <f t="shared" si="0"/>
        <v>-736</v>
      </c>
      <c r="J9" s="6">
        <f t="shared" si="1"/>
        <v>960</v>
      </c>
      <c r="K9" s="6">
        <f t="shared" si="2"/>
        <v>224</v>
      </c>
      <c r="M9" s="145"/>
      <c r="N9" s="146"/>
      <c r="O9" s="147"/>
    </row>
    <row r="10" spans="2:15" ht="15" thickBot="1" x14ac:dyDescent="0.35">
      <c r="H10" s="19">
        <f t="shared" si="3"/>
        <v>3550</v>
      </c>
      <c r="I10" s="6">
        <f t="shared" si="0"/>
        <v>-726</v>
      </c>
      <c r="J10" s="6">
        <f t="shared" si="1"/>
        <v>950</v>
      </c>
      <c r="K10" s="6">
        <f t="shared" si="2"/>
        <v>224</v>
      </c>
    </row>
    <row r="11" spans="2:15" x14ac:dyDescent="0.3">
      <c r="H11" s="19">
        <f t="shared" si="3"/>
        <v>3560</v>
      </c>
      <c r="I11" s="6">
        <f t="shared" si="0"/>
        <v>-716</v>
      </c>
      <c r="J11" s="6">
        <f t="shared" si="1"/>
        <v>940</v>
      </c>
      <c r="K11" s="6">
        <f t="shared" si="2"/>
        <v>224</v>
      </c>
      <c r="M11" s="139" t="s">
        <v>73</v>
      </c>
      <c r="N11" s="140"/>
      <c r="O11" s="141"/>
    </row>
    <row r="12" spans="2:15" x14ac:dyDescent="0.3">
      <c r="H12" s="19">
        <f t="shared" si="3"/>
        <v>3570</v>
      </c>
      <c r="I12" s="6">
        <f t="shared" si="0"/>
        <v>-706</v>
      </c>
      <c r="J12" s="6">
        <f t="shared" si="1"/>
        <v>930</v>
      </c>
      <c r="K12" s="6">
        <f t="shared" si="2"/>
        <v>224</v>
      </c>
      <c r="M12" s="142"/>
      <c r="N12" s="143"/>
      <c r="O12" s="144"/>
    </row>
    <row r="13" spans="2:15" ht="15" thickBot="1" x14ac:dyDescent="0.35">
      <c r="H13" s="19">
        <f t="shared" si="3"/>
        <v>3580</v>
      </c>
      <c r="I13" s="6">
        <f t="shared" si="0"/>
        <v>-696</v>
      </c>
      <c r="J13" s="6">
        <f t="shared" si="1"/>
        <v>920</v>
      </c>
      <c r="K13" s="6">
        <f t="shared" si="2"/>
        <v>224</v>
      </c>
      <c r="M13" s="145"/>
      <c r="N13" s="146"/>
      <c r="O13" s="147"/>
    </row>
    <row r="14" spans="2:15" x14ac:dyDescent="0.3">
      <c r="H14" s="19">
        <f t="shared" si="3"/>
        <v>3590</v>
      </c>
      <c r="I14" s="6">
        <f t="shared" si="0"/>
        <v>-686</v>
      </c>
      <c r="J14" s="6">
        <f t="shared" si="1"/>
        <v>910</v>
      </c>
      <c r="K14" s="6">
        <f t="shared" si="2"/>
        <v>224</v>
      </c>
    </row>
    <row r="15" spans="2:15" x14ac:dyDescent="0.3">
      <c r="H15" s="19">
        <f t="shared" si="3"/>
        <v>3600</v>
      </c>
      <c r="I15" s="6">
        <f t="shared" si="0"/>
        <v>-676</v>
      </c>
      <c r="J15" s="6">
        <f t="shared" si="1"/>
        <v>900</v>
      </c>
      <c r="K15" s="6">
        <f t="shared" si="2"/>
        <v>224</v>
      </c>
    </row>
    <row r="16" spans="2:15" x14ac:dyDescent="0.3">
      <c r="H16" s="19">
        <f t="shared" si="3"/>
        <v>3610</v>
      </c>
      <c r="I16" s="6">
        <f t="shared" si="0"/>
        <v>-666</v>
      </c>
      <c r="J16" s="6">
        <f t="shared" si="1"/>
        <v>890</v>
      </c>
      <c r="K16" s="6">
        <f t="shared" si="2"/>
        <v>224</v>
      </c>
    </row>
    <row r="17" spans="8:11" x14ac:dyDescent="0.3">
      <c r="H17" s="19">
        <f t="shared" si="3"/>
        <v>3620</v>
      </c>
      <c r="I17" s="6">
        <f t="shared" si="0"/>
        <v>-656</v>
      </c>
      <c r="J17" s="6">
        <f t="shared" si="1"/>
        <v>880</v>
      </c>
      <c r="K17" s="6">
        <f t="shared" si="2"/>
        <v>224</v>
      </c>
    </row>
    <row r="18" spans="8:11" x14ac:dyDescent="0.3">
      <c r="H18" s="19">
        <f t="shared" si="3"/>
        <v>3630</v>
      </c>
      <c r="I18" s="6">
        <f t="shared" si="0"/>
        <v>-646</v>
      </c>
      <c r="J18" s="6">
        <f t="shared" si="1"/>
        <v>870</v>
      </c>
      <c r="K18" s="6">
        <f t="shared" si="2"/>
        <v>224</v>
      </c>
    </row>
    <row r="19" spans="8:11" x14ac:dyDescent="0.3">
      <c r="H19" s="19">
        <f t="shared" si="3"/>
        <v>3640</v>
      </c>
      <c r="I19" s="6">
        <f t="shared" si="0"/>
        <v>-636</v>
      </c>
      <c r="J19" s="6">
        <f t="shared" si="1"/>
        <v>860</v>
      </c>
      <c r="K19" s="6">
        <f t="shared" si="2"/>
        <v>224</v>
      </c>
    </row>
    <row r="20" spans="8:11" x14ac:dyDescent="0.3">
      <c r="H20" s="19">
        <f t="shared" si="3"/>
        <v>3650</v>
      </c>
      <c r="I20" s="6">
        <f t="shared" si="0"/>
        <v>-626</v>
      </c>
      <c r="J20" s="6">
        <f t="shared" si="1"/>
        <v>850</v>
      </c>
      <c r="K20" s="6">
        <f t="shared" si="2"/>
        <v>224</v>
      </c>
    </row>
    <row r="21" spans="8:11" x14ac:dyDescent="0.3">
      <c r="H21" s="19">
        <f t="shared" si="3"/>
        <v>3660</v>
      </c>
      <c r="I21" s="6">
        <f t="shared" si="0"/>
        <v>-616</v>
      </c>
      <c r="J21" s="6">
        <f t="shared" si="1"/>
        <v>840</v>
      </c>
      <c r="K21" s="6">
        <f t="shared" si="2"/>
        <v>224</v>
      </c>
    </row>
    <row r="22" spans="8:11" x14ac:dyDescent="0.3">
      <c r="H22" s="19">
        <f t="shared" si="3"/>
        <v>3670</v>
      </c>
      <c r="I22" s="6">
        <f t="shared" si="0"/>
        <v>-606</v>
      </c>
      <c r="J22" s="6">
        <f t="shared" si="1"/>
        <v>830</v>
      </c>
      <c r="K22" s="6">
        <f t="shared" si="2"/>
        <v>224</v>
      </c>
    </row>
    <row r="23" spans="8:11" x14ac:dyDescent="0.3">
      <c r="H23" s="19">
        <f t="shared" si="3"/>
        <v>3680</v>
      </c>
      <c r="I23" s="6">
        <f t="shared" si="0"/>
        <v>-596</v>
      </c>
      <c r="J23" s="6">
        <f t="shared" si="1"/>
        <v>820</v>
      </c>
      <c r="K23" s="6">
        <f t="shared" si="2"/>
        <v>224</v>
      </c>
    </row>
    <row r="24" spans="8:11" x14ac:dyDescent="0.3">
      <c r="H24" s="19">
        <f t="shared" si="3"/>
        <v>3690</v>
      </c>
      <c r="I24" s="6">
        <f t="shared" si="0"/>
        <v>-586</v>
      </c>
      <c r="J24" s="6">
        <f t="shared" si="1"/>
        <v>810</v>
      </c>
      <c r="K24" s="6">
        <f t="shared" si="2"/>
        <v>224</v>
      </c>
    </row>
    <row r="25" spans="8:11" x14ac:dyDescent="0.3">
      <c r="H25" s="19">
        <f t="shared" si="3"/>
        <v>3700</v>
      </c>
      <c r="I25" s="6">
        <f t="shared" si="0"/>
        <v>-576</v>
      </c>
      <c r="J25" s="6">
        <f t="shared" si="1"/>
        <v>800</v>
      </c>
      <c r="K25" s="6">
        <f t="shared" si="2"/>
        <v>224</v>
      </c>
    </row>
    <row r="26" spans="8:11" x14ac:dyDescent="0.3">
      <c r="H26" s="19">
        <f t="shared" si="3"/>
        <v>3710</v>
      </c>
      <c r="I26" s="6">
        <f t="shared" si="0"/>
        <v>-566</v>
      </c>
      <c r="J26" s="6">
        <f t="shared" si="1"/>
        <v>790</v>
      </c>
      <c r="K26" s="6">
        <f t="shared" si="2"/>
        <v>224</v>
      </c>
    </row>
    <row r="27" spans="8:11" x14ac:dyDescent="0.3">
      <c r="H27" s="19">
        <f t="shared" si="3"/>
        <v>3720</v>
      </c>
      <c r="I27" s="6">
        <f t="shared" si="0"/>
        <v>-556</v>
      </c>
      <c r="J27" s="6">
        <f t="shared" si="1"/>
        <v>780</v>
      </c>
      <c r="K27" s="6">
        <f t="shared" si="2"/>
        <v>224</v>
      </c>
    </row>
    <row r="28" spans="8:11" x14ac:dyDescent="0.3">
      <c r="H28" s="19">
        <f t="shared" si="3"/>
        <v>3730</v>
      </c>
      <c r="I28" s="6">
        <f t="shared" si="0"/>
        <v>-546</v>
      </c>
      <c r="J28" s="6">
        <f t="shared" si="1"/>
        <v>770</v>
      </c>
      <c r="K28" s="6">
        <f t="shared" si="2"/>
        <v>224</v>
      </c>
    </row>
    <row r="29" spans="8:11" x14ac:dyDescent="0.3">
      <c r="H29" s="19">
        <f t="shared" si="3"/>
        <v>3740</v>
      </c>
      <c r="I29" s="6">
        <f t="shared" si="0"/>
        <v>-536</v>
      </c>
      <c r="J29" s="6">
        <f t="shared" si="1"/>
        <v>760</v>
      </c>
      <c r="K29" s="6">
        <f t="shared" si="2"/>
        <v>224</v>
      </c>
    </row>
    <row r="30" spans="8:11" x14ac:dyDescent="0.3">
      <c r="H30" s="19">
        <f t="shared" si="3"/>
        <v>3750</v>
      </c>
      <c r="I30" s="6">
        <f t="shared" si="0"/>
        <v>-526</v>
      </c>
      <c r="J30" s="6">
        <f t="shared" si="1"/>
        <v>750</v>
      </c>
      <c r="K30" s="6">
        <f t="shared" si="2"/>
        <v>224</v>
      </c>
    </row>
    <row r="31" spans="8:11" x14ac:dyDescent="0.3">
      <c r="H31" s="19">
        <f t="shared" si="3"/>
        <v>3760</v>
      </c>
      <c r="I31" s="6">
        <f t="shared" si="0"/>
        <v>-516</v>
      </c>
      <c r="J31" s="6">
        <f t="shared" si="1"/>
        <v>740</v>
      </c>
      <c r="K31" s="6">
        <f t="shared" si="2"/>
        <v>224</v>
      </c>
    </row>
    <row r="32" spans="8:11" x14ac:dyDescent="0.3">
      <c r="H32" s="19">
        <f t="shared" si="3"/>
        <v>3770</v>
      </c>
      <c r="I32" s="6">
        <f t="shared" si="0"/>
        <v>-506</v>
      </c>
      <c r="J32" s="6">
        <f t="shared" si="1"/>
        <v>730</v>
      </c>
      <c r="K32" s="6">
        <f t="shared" si="2"/>
        <v>224</v>
      </c>
    </row>
    <row r="33" spans="8:11" x14ac:dyDescent="0.3">
      <c r="H33" s="19">
        <f t="shared" si="3"/>
        <v>3780</v>
      </c>
      <c r="I33" s="6">
        <f t="shared" si="0"/>
        <v>-496</v>
      </c>
      <c r="J33" s="6">
        <f t="shared" si="1"/>
        <v>720</v>
      </c>
      <c r="K33" s="6">
        <f t="shared" si="2"/>
        <v>224</v>
      </c>
    </row>
    <row r="34" spans="8:11" x14ac:dyDescent="0.3">
      <c r="H34" s="19">
        <f t="shared" si="3"/>
        <v>3790</v>
      </c>
      <c r="I34" s="6">
        <f t="shared" si="0"/>
        <v>-486</v>
      </c>
      <c r="J34" s="6">
        <f t="shared" si="1"/>
        <v>710</v>
      </c>
      <c r="K34" s="6">
        <f t="shared" si="2"/>
        <v>224</v>
      </c>
    </row>
    <row r="35" spans="8:11" x14ac:dyDescent="0.3">
      <c r="H35" s="19">
        <f t="shared" si="3"/>
        <v>3800</v>
      </c>
      <c r="I35" s="6">
        <f t="shared" si="0"/>
        <v>-476</v>
      </c>
      <c r="J35" s="6">
        <f t="shared" si="1"/>
        <v>700</v>
      </c>
      <c r="K35" s="6">
        <f t="shared" si="2"/>
        <v>224</v>
      </c>
    </row>
    <row r="36" spans="8:11" x14ac:dyDescent="0.3">
      <c r="H36" s="19">
        <f t="shared" si="3"/>
        <v>3810</v>
      </c>
      <c r="I36" s="6">
        <f t="shared" si="0"/>
        <v>-466</v>
      </c>
      <c r="J36" s="6">
        <f t="shared" si="1"/>
        <v>690</v>
      </c>
      <c r="K36" s="6">
        <f t="shared" si="2"/>
        <v>224</v>
      </c>
    </row>
    <row r="37" spans="8:11" x14ac:dyDescent="0.3">
      <c r="H37" s="19">
        <f t="shared" si="3"/>
        <v>3820</v>
      </c>
      <c r="I37" s="6">
        <f t="shared" si="0"/>
        <v>-456</v>
      </c>
      <c r="J37" s="6">
        <f t="shared" si="1"/>
        <v>680</v>
      </c>
      <c r="K37" s="6">
        <f t="shared" si="2"/>
        <v>224</v>
      </c>
    </row>
    <row r="38" spans="8:11" x14ac:dyDescent="0.3">
      <c r="H38" s="19">
        <f t="shared" si="3"/>
        <v>3830</v>
      </c>
      <c r="I38" s="6">
        <f t="shared" si="0"/>
        <v>-446</v>
      </c>
      <c r="J38" s="6">
        <f t="shared" si="1"/>
        <v>670</v>
      </c>
      <c r="K38" s="6">
        <f t="shared" si="2"/>
        <v>224</v>
      </c>
    </row>
    <row r="39" spans="8:11" x14ac:dyDescent="0.3">
      <c r="H39" s="19">
        <f t="shared" si="3"/>
        <v>3840</v>
      </c>
      <c r="I39" s="6">
        <f t="shared" si="0"/>
        <v>-436</v>
      </c>
      <c r="J39" s="6">
        <f t="shared" si="1"/>
        <v>660</v>
      </c>
      <c r="K39" s="6">
        <f t="shared" si="2"/>
        <v>224</v>
      </c>
    </row>
    <row r="40" spans="8:11" x14ac:dyDescent="0.3">
      <c r="H40" s="19">
        <f t="shared" si="3"/>
        <v>3850</v>
      </c>
      <c r="I40" s="6">
        <f t="shared" si="0"/>
        <v>-426</v>
      </c>
      <c r="J40" s="6">
        <f t="shared" si="1"/>
        <v>650</v>
      </c>
      <c r="K40" s="6">
        <f t="shared" si="2"/>
        <v>224</v>
      </c>
    </row>
    <row r="41" spans="8:11" x14ac:dyDescent="0.3">
      <c r="H41" s="19">
        <f t="shared" si="3"/>
        <v>3860</v>
      </c>
      <c r="I41" s="6">
        <f t="shared" si="0"/>
        <v>-416</v>
      </c>
      <c r="J41" s="6">
        <f t="shared" si="1"/>
        <v>640</v>
      </c>
      <c r="K41" s="6">
        <f t="shared" si="2"/>
        <v>224</v>
      </c>
    </row>
    <row r="42" spans="8:11" x14ac:dyDescent="0.3">
      <c r="H42" s="19">
        <f t="shared" si="3"/>
        <v>3870</v>
      </c>
      <c r="I42" s="6">
        <f t="shared" si="0"/>
        <v>-406</v>
      </c>
      <c r="J42" s="6">
        <f t="shared" si="1"/>
        <v>630</v>
      </c>
      <c r="K42" s="6">
        <f t="shared" si="2"/>
        <v>224</v>
      </c>
    </row>
    <row r="43" spans="8:11" x14ac:dyDescent="0.3">
      <c r="H43" s="19">
        <f t="shared" si="3"/>
        <v>3880</v>
      </c>
      <c r="I43" s="6">
        <f t="shared" si="0"/>
        <v>-396</v>
      </c>
      <c r="J43" s="6">
        <f t="shared" si="1"/>
        <v>620</v>
      </c>
      <c r="K43" s="6">
        <f t="shared" si="2"/>
        <v>224</v>
      </c>
    </row>
    <row r="44" spans="8:11" x14ac:dyDescent="0.3">
      <c r="H44" s="19">
        <f t="shared" si="3"/>
        <v>3890</v>
      </c>
      <c r="I44" s="6">
        <f t="shared" si="0"/>
        <v>-386</v>
      </c>
      <c r="J44" s="6">
        <f t="shared" si="1"/>
        <v>610</v>
      </c>
      <c r="K44" s="6">
        <f t="shared" si="2"/>
        <v>224</v>
      </c>
    </row>
    <row r="45" spans="8:11" x14ac:dyDescent="0.3">
      <c r="H45" s="19">
        <f t="shared" si="3"/>
        <v>3900</v>
      </c>
      <c r="I45" s="6">
        <f t="shared" si="0"/>
        <v>-376</v>
      </c>
      <c r="J45" s="6">
        <f t="shared" si="1"/>
        <v>600</v>
      </c>
      <c r="K45" s="6">
        <f t="shared" si="2"/>
        <v>224</v>
      </c>
    </row>
    <row r="46" spans="8:11" x14ac:dyDescent="0.3">
      <c r="H46" s="19">
        <f t="shared" si="3"/>
        <v>3910</v>
      </c>
      <c r="I46" s="6">
        <f t="shared" si="0"/>
        <v>-366</v>
      </c>
      <c r="J46" s="6">
        <f t="shared" si="1"/>
        <v>590</v>
      </c>
      <c r="K46" s="6">
        <f t="shared" si="2"/>
        <v>224</v>
      </c>
    </row>
    <row r="47" spans="8:11" x14ac:dyDescent="0.3">
      <c r="H47" s="19">
        <f t="shared" si="3"/>
        <v>3920</v>
      </c>
      <c r="I47" s="6">
        <f t="shared" si="0"/>
        <v>-356</v>
      </c>
      <c r="J47" s="6">
        <f t="shared" si="1"/>
        <v>580</v>
      </c>
      <c r="K47" s="6">
        <f t="shared" si="2"/>
        <v>224</v>
      </c>
    </row>
    <row r="48" spans="8:11" x14ac:dyDescent="0.3">
      <c r="H48" s="19">
        <f t="shared" si="3"/>
        <v>3930</v>
      </c>
      <c r="I48" s="6">
        <f t="shared" si="0"/>
        <v>-346</v>
      </c>
      <c r="J48" s="6">
        <f t="shared" si="1"/>
        <v>570</v>
      </c>
      <c r="K48" s="6">
        <f t="shared" si="2"/>
        <v>224</v>
      </c>
    </row>
    <row r="49" spans="8:11" x14ac:dyDescent="0.3">
      <c r="H49" s="19">
        <f t="shared" si="3"/>
        <v>3940</v>
      </c>
      <c r="I49" s="6">
        <f t="shared" si="0"/>
        <v>-336</v>
      </c>
      <c r="J49" s="6">
        <f t="shared" si="1"/>
        <v>560</v>
      </c>
      <c r="K49" s="6">
        <f t="shared" si="2"/>
        <v>224</v>
      </c>
    </row>
    <row r="50" spans="8:11" x14ac:dyDescent="0.3">
      <c r="H50" s="19">
        <f t="shared" si="3"/>
        <v>3950</v>
      </c>
      <c r="I50" s="6">
        <f t="shared" si="0"/>
        <v>-326</v>
      </c>
      <c r="J50" s="6">
        <f t="shared" si="1"/>
        <v>550</v>
      </c>
      <c r="K50" s="6">
        <f t="shared" si="2"/>
        <v>224</v>
      </c>
    </row>
    <row r="51" spans="8:11" x14ac:dyDescent="0.3">
      <c r="H51" s="19">
        <f t="shared" si="3"/>
        <v>3960</v>
      </c>
      <c r="I51" s="6">
        <f t="shared" si="0"/>
        <v>-316</v>
      </c>
      <c r="J51" s="6">
        <f t="shared" si="1"/>
        <v>540</v>
      </c>
      <c r="K51" s="6">
        <f t="shared" si="2"/>
        <v>224</v>
      </c>
    </row>
    <row r="52" spans="8:11" x14ac:dyDescent="0.3">
      <c r="H52" s="19">
        <f t="shared" si="3"/>
        <v>3970</v>
      </c>
      <c r="I52" s="6">
        <f t="shared" si="0"/>
        <v>-306</v>
      </c>
      <c r="J52" s="6">
        <f t="shared" si="1"/>
        <v>530</v>
      </c>
      <c r="K52" s="6">
        <f t="shared" si="2"/>
        <v>224</v>
      </c>
    </row>
    <row r="53" spans="8:11" x14ac:dyDescent="0.3">
      <c r="H53" s="19">
        <f t="shared" si="3"/>
        <v>3980</v>
      </c>
      <c r="I53" s="6">
        <f t="shared" si="0"/>
        <v>-296</v>
      </c>
      <c r="J53" s="6">
        <f t="shared" si="1"/>
        <v>520</v>
      </c>
      <c r="K53" s="6">
        <f t="shared" si="2"/>
        <v>224</v>
      </c>
    </row>
    <row r="54" spans="8:11" x14ac:dyDescent="0.3">
      <c r="H54" s="19">
        <f t="shared" si="3"/>
        <v>3990</v>
      </c>
      <c r="I54" s="6">
        <f t="shared" si="0"/>
        <v>-286</v>
      </c>
      <c r="J54" s="6">
        <f t="shared" si="1"/>
        <v>510</v>
      </c>
      <c r="K54" s="6">
        <f t="shared" si="2"/>
        <v>224</v>
      </c>
    </row>
    <row r="55" spans="8:11" x14ac:dyDescent="0.3">
      <c r="H55" s="19">
        <f t="shared" si="3"/>
        <v>4000</v>
      </c>
      <c r="I55" s="6">
        <f t="shared" si="0"/>
        <v>-276</v>
      </c>
      <c r="J55" s="6">
        <f t="shared" si="1"/>
        <v>500</v>
      </c>
      <c r="K55" s="6">
        <f t="shared" si="2"/>
        <v>224</v>
      </c>
    </row>
    <row r="56" spans="8:11" x14ac:dyDescent="0.3">
      <c r="H56" s="19">
        <f t="shared" si="3"/>
        <v>4010</v>
      </c>
      <c r="I56" s="6">
        <f t="shared" si="0"/>
        <v>-266</v>
      </c>
      <c r="J56" s="6">
        <f t="shared" si="1"/>
        <v>490</v>
      </c>
      <c r="K56" s="6">
        <f t="shared" si="2"/>
        <v>224</v>
      </c>
    </row>
    <row r="57" spans="8:11" x14ac:dyDescent="0.3">
      <c r="H57" s="19">
        <f t="shared" si="3"/>
        <v>4020</v>
      </c>
      <c r="I57" s="6">
        <f t="shared" si="0"/>
        <v>-256</v>
      </c>
      <c r="J57" s="6">
        <f t="shared" si="1"/>
        <v>480</v>
      </c>
      <c r="K57" s="6">
        <f t="shared" si="2"/>
        <v>224</v>
      </c>
    </row>
    <row r="58" spans="8:11" x14ac:dyDescent="0.3">
      <c r="H58" s="19">
        <f t="shared" si="3"/>
        <v>4030</v>
      </c>
      <c r="I58" s="6">
        <f t="shared" si="0"/>
        <v>-246</v>
      </c>
      <c r="J58" s="6">
        <f t="shared" si="1"/>
        <v>470</v>
      </c>
      <c r="K58" s="6">
        <f t="shared" si="2"/>
        <v>224</v>
      </c>
    </row>
    <row r="59" spans="8:11" x14ac:dyDescent="0.3">
      <c r="H59" s="19">
        <f t="shared" si="3"/>
        <v>4040</v>
      </c>
      <c r="I59" s="6">
        <f t="shared" si="0"/>
        <v>-236</v>
      </c>
      <c r="J59" s="6">
        <f t="shared" si="1"/>
        <v>460</v>
      </c>
      <c r="K59" s="6">
        <f t="shared" si="2"/>
        <v>224</v>
      </c>
    </row>
    <row r="60" spans="8:11" x14ac:dyDescent="0.3">
      <c r="H60" s="19">
        <f t="shared" si="3"/>
        <v>4050</v>
      </c>
      <c r="I60" s="6">
        <f t="shared" si="0"/>
        <v>-226</v>
      </c>
      <c r="J60" s="6">
        <f t="shared" si="1"/>
        <v>450</v>
      </c>
      <c r="K60" s="6">
        <f t="shared" si="2"/>
        <v>224</v>
      </c>
    </row>
    <row r="61" spans="8:11" x14ac:dyDescent="0.3">
      <c r="H61" s="19">
        <f t="shared" si="3"/>
        <v>4060</v>
      </c>
      <c r="I61" s="6">
        <f t="shared" si="0"/>
        <v>-216</v>
      </c>
      <c r="J61" s="6">
        <f t="shared" si="1"/>
        <v>440</v>
      </c>
      <c r="K61" s="6">
        <f t="shared" si="2"/>
        <v>224</v>
      </c>
    </row>
    <row r="62" spans="8:11" x14ac:dyDescent="0.3">
      <c r="H62" s="19">
        <f t="shared" si="3"/>
        <v>4070</v>
      </c>
      <c r="I62" s="6">
        <f t="shared" si="0"/>
        <v>-206</v>
      </c>
      <c r="J62" s="6">
        <f t="shared" si="1"/>
        <v>430</v>
      </c>
      <c r="K62" s="6">
        <f t="shared" si="2"/>
        <v>224</v>
      </c>
    </row>
    <row r="63" spans="8:11" x14ac:dyDescent="0.3">
      <c r="H63" s="19">
        <f t="shared" si="3"/>
        <v>4080</v>
      </c>
      <c r="I63" s="6">
        <f t="shared" si="0"/>
        <v>-196</v>
      </c>
      <c r="J63" s="6">
        <f t="shared" si="1"/>
        <v>420</v>
      </c>
      <c r="K63" s="6">
        <f t="shared" si="2"/>
        <v>224</v>
      </c>
    </row>
    <row r="64" spans="8:11" x14ac:dyDescent="0.3">
      <c r="H64" s="19">
        <f t="shared" si="3"/>
        <v>4090</v>
      </c>
      <c r="I64" s="6">
        <f t="shared" si="0"/>
        <v>-186</v>
      </c>
      <c r="J64" s="6">
        <f t="shared" si="1"/>
        <v>410</v>
      </c>
      <c r="K64" s="6">
        <f t="shared" si="2"/>
        <v>224</v>
      </c>
    </row>
    <row r="65" spans="8:11" x14ac:dyDescent="0.3">
      <c r="H65" s="19">
        <f t="shared" si="3"/>
        <v>4100</v>
      </c>
      <c r="I65" s="6">
        <f t="shared" si="0"/>
        <v>-176</v>
      </c>
      <c r="J65" s="6">
        <f t="shared" si="1"/>
        <v>400</v>
      </c>
      <c r="K65" s="6">
        <f t="shared" si="2"/>
        <v>224</v>
      </c>
    </row>
    <row r="66" spans="8:11" x14ac:dyDescent="0.3">
      <c r="H66" s="19">
        <f t="shared" si="3"/>
        <v>4110</v>
      </c>
      <c r="I66" s="6">
        <f t="shared" si="0"/>
        <v>-166</v>
      </c>
      <c r="J66" s="6">
        <f t="shared" si="1"/>
        <v>390</v>
      </c>
      <c r="K66" s="6">
        <f t="shared" si="2"/>
        <v>224</v>
      </c>
    </row>
    <row r="67" spans="8:11" x14ac:dyDescent="0.3">
      <c r="H67" s="19">
        <f t="shared" si="3"/>
        <v>4120</v>
      </c>
      <c r="I67" s="6">
        <f t="shared" si="0"/>
        <v>-156</v>
      </c>
      <c r="J67" s="6">
        <f t="shared" si="1"/>
        <v>380</v>
      </c>
      <c r="K67" s="6">
        <f t="shared" si="2"/>
        <v>224</v>
      </c>
    </row>
    <row r="68" spans="8:11" x14ac:dyDescent="0.3">
      <c r="H68" s="19">
        <f t="shared" si="3"/>
        <v>4130</v>
      </c>
      <c r="I68" s="6">
        <f t="shared" si="0"/>
        <v>-146</v>
      </c>
      <c r="J68" s="6">
        <f t="shared" si="1"/>
        <v>370</v>
      </c>
      <c r="K68" s="6">
        <f t="shared" si="2"/>
        <v>224</v>
      </c>
    </row>
    <row r="69" spans="8:11" x14ac:dyDescent="0.3">
      <c r="H69" s="19">
        <f t="shared" si="3"/>
        <v>4140</v>
      </c>
      <c r="I69" s="6">
        <f t="shared" si="0"/>
        <v>-136</v>
      </c>
      <c r="J69" s="6">
        <f t="shared" si="1"/>
        <v>360</v>
      </c>
      <c r="K69" s="6">
        <f t="shared" si="2"/>
        <v>224</v>
      </c>
    </row>
    <row r="70" spans="8:11" x14ac:dyDescent="0.3">
      <c r="H70" s="19">
        <f t="shared" si="3"/>
        <v>4150</v>
      </c>
      <c r="I70" s="6">
        <f t="shared" ref="I70:I108" si="4">(MAX($J$3-H70,0)-$K$3)*-1</f>
        <v>-126</v>
      </c>
      <c r="J70" s="6">
        <f t="shared" ref="J70:J108" si="5">$H$3-H70</f>
        <v>350</v>
      </c>
      <c r="K70" s="6">
        <f t="shared" ref="K70:K108" si="6">I70+J70</f>
        <v>224</v>
      </c>
    </row>
    <row r="71" spans="8:11" x14ac:dyDescent="0.3">
      <c r="H71" s="19">
        <f t="shared" ref="H71:H107" si="7">H70+10</f>
        <v>4160</v>
      </c>
      <c r="I71" s="6">
        <f t="shared" si="4"/>
        <v>-116</v>
      </c>
      <c r="J71" s="6">
        <f t="shared" si="5"/>
        <v>340</v>
      </c>
      <c r="K71" s="6">
        <f t="shared" si="6"/>
        <v>224</v>
      </c>
    </row>
    <row r="72" spans="8:11" x14ac:dyDescent="0.3">
      <c r="H72" s="19">
        <f t="shared" si="7"/>
        <v>4170</v>
      </c>
      <c r="I72" s="6">
        <f t="shared" si="4"/>
        <v>-106</v>
      </c>
      <c r="J72" s="6">
        <f t="shared" si="5"/>
        <v>330</v>
      </c>
      <c r="K72" s="6">
        <f t="shared" si="6"/>
        <v>224</v>
      </c>
    </row>
    <row r="73" spans="8:11" x14ac:dyDescent="0.3">
      <c r="H73" s="19">
        <f t="shared" si="7"/>
        <v>4180</v>
      </c>
      <c r="I73" s="6">
        <f t="shared" si="4"/>
        <v>-96</v>
      </c>
      <c r="J73" s="6">
        <f t="shared" si="5"/>
        <v>320</v>
      </c>
      <c r="K73" s="6">
        <f t="shared" si="6"/>
        <v>224</v>
      </c>
    </row>
    <row r="74" spans="8:11" x14ac:dyDescent="0.3">
      <c r="H74" s="19">
        <f t="shared" si="7"/>
        <v>4190</v>
      </c>
      <c r="I74" s="6">
        <f t="shared" si="4"/>
        <v>-86</v>
      </c>
      <c r="J74" s="6">
        <f t="shared" si="5"/>
        <v>310</v>
      </c>
      <c r="K74" s="6">
        <f t="shared" si="6"/>
        <v>224</v>
      </c>
    </row>
    <row r="75" spans="8:11" x14ac:dyDescent="0.3">
      <c r="H75" s="19">
        <f t="shared" si="7"/>
        <v>4200</v>
      </c>
      <c r="I75" s="6">
        <f t="shared" si="4"/>
        <v>-76</v>
      </c>
      <c r="J75" s="6">
        <f t="shared" si="5"/>
        <v>300</v>
      </c>
      <c r="K75" s="6">
        <f t="shared" si="6"/>
        <v>224</v>
      </c>
    </row>
    <row r="76" spans="8:11" x14ac:dyDescent="0.3">
      <c r="H76" s="19">
        <f t="shared" si="7"/>
        <v>4210</v>
      </c>
      <c r="I76" s="6">
        <f t="shared" si="4"/>
        <v>-66</v>
      </c>
      <c r="J76" s="6">
        <f t="shared" si="5"/>
        <v>290</v>
      </c>
      <c r="K76" s="6">
        <f t="shared" si="6"/>
        <v>224</v>
      </c>
    </row>
    <row r="77" spans="8:11" x14ac:dyDescent="0.3">
      <c r="H77" s="19">
        <f t="shared" si="7"/>
        <v>4220</v>
      </c>
      <c r="I77" s="6">
        <f t="shared" si="4"/>
        <v>-56</v>
      </c>
      <c r="J77" s="6">
        <f t="shared" si="5"/>
        <v>280</v>
      </c>
      <c r="K77" s="6">
        <f t="shared" si="6"/>
        <v>224</v>
      </c>
    </row>
    <row r="78" spans="8:11" x14ac:dyDescent="0.3">
      <c r="H78" s="19">
        <f t="shared" si="7"/>
        <v>4230</v>
      </c>
      <c r="I78" s="6">
        <f t="shared" si="4"/>
        <v>-46</v>
      </c>
      <c r="J78" s="6">
        <f t="shared" si="5"/>
        <v>270</v>
      </c>
      <c r="K78" s="6">
        <f t="shared" si="6"/>
        <v>224</v>
      </c>
    </row>
    <row r="79" spans="8:11" x14ac:dyDescent="0.3">
      <c r="H79" s="19">
        <f t="shared" si="7"/>
        <v>4240</v>
      </c>
      <c r="I79" s="6">
        <f t="shared" si="4"/>
        <v>-36</v>
      </c>
      <c r="J79" s="6">
        <f t="shared" si="5"/>
        <v>260</v>
      </c>
      <c r="K79" s="6">
        <f t="shared" si="6"/>
        <v>224</v>
      </c>
    </row>
    <row r="80" spans="8:11" x14ac:dyDescent="0.3">
      <c r="H80" s="19">
        <f t="shared" si="7"/>
        <v>4250</v>
      </c>
      <c r="I80" s="6">
        <f t="shared" si="4"/>
        <v>-26</v>
      </c>
      <c r="J80" s="6">
        <f t="shared" si="5"/>
        <v>250</v>
      </c>
      <c r="K80" s="6">
        <f t="shared" si="6"/>
        <v>224</v>
      </c>
    </row>
    <row r="81" spans="8:11" x14ac:dyDescent="0.3">
      <c r="H81" s="19">
        <f t="shared" si="7"/>
        <v>4260</v>
      </c>
      <c r="I81" s="6">
        <f t="shared" si="4"/>
        <v>-16</v>
      </c>
      <c r="J81" s="6">
        <f t="shared" si="5"/>
        <v>240</v>
      </c>
      <c r="K81" s="6">
        <f t="shared" si="6"/>
        <v>224</v>
      </c>
    </row>
    <row r="82" spans="8:11" x14ac:dyDescent="0.3">
      <c r="H82" s="19">
        <f t="shared" si="7"/>
        <v>4270</v>
      </c>
      <c r="I82" s="6">
        <f t="shared" si="4"/>
        <v>-6</v>
      </c>
      <c r="J82" s="6">
        <f t="shared" si="5"/>
        <v>230</v>
      </c>
      <c r="K82" s="6">
        <f t="shared" si="6"/>
        <v>224</v>
      </c>
    </row>
    <row r="83" spans="8:11" x14ac:dyDescent="0.3">
      <c r="H83" s="19">
        <f t="shared" si="7"/>
        <v>4280</v>
      </c>
      <c r="I83" s="6">
        <f t="shared" si="4"/>
        <v>4</v>
      </c>
      <c r="J83" s="6">
        <f t="shared" si="5"/>
        <v>220</v>
      </c>
      <c r="K83" s="6">
        <f t="shared" si="6"/>
        <v>224</v>
      </c>
    </row>
    <row r="84" spans="8:11" x14ac:dyDescent="0.3">
      <c r="H84" s="19">
        <f t="shared" si="7"/>
        <v>4290</v>
      </c>
      <c r="I84" s="6">
        <f t="shared" si="4"/>
        <v>14</v>
      </c>
      <c r="J84" s="6">
        <f t="shared" si="5"/>
        <v>210</v>
      </c>
      <c r="K84" s="6">
        <f t="shared" si="6"/>
        <v>224</v>
      </c>
    </row>
    <row r="85" spans="8:11" x14ac:dyDescent="0.3">
      <c r="H85" s="19">
        <f t="shared" si="7"/>
        <v>4300</v>
      </c>
      <c r="I85" s="6">
        <f t="shared" si="4"/>
        <v>24</v>
      </c>
      <c r="J85" s="6">
        <f t="shared" si="5"/>
        <v>200</v>
      </c>
      <c r="K85" s="6">
        <f t="shared" si="6"/>
        <v>224</v>
      </c>
    </row>
    <row r="86" spans="8:11" x14ac:dyDescent="0.3">
      <c r="H86" s="19">
        <f t="shared" si="7"/>
        <v>4310</v>
      </c>
      <c r="I86" s="6">
        <f t="shared" si="4"/>
        <v>24</v>
      </c>
      <c r="J86" s="6">
        <f t="shared" si="5"/>
        <v>190</v>
      </c>
      <c r="K86" s="6">
        <f t="shared" si="6"/>
        <v>214</v>
      </c>
    </row>
    <row r="87" spans="8:11" x14ac:dyDescent="0.3">
      <c r="H87" s="19">
        <f t="shared" si="7"/>
        <v>4320</v>
      </c>
      <c r="I87" s="6">
        <f t="shared" si="4"/>
        <v>24</v>
      </c>
      <c r="J87" s="6">
        <f t="shared" si="5"/>
        <v>180</v>
      </c>
      <c r="K87" s="6">
        <f t="shared" si="6"/>
        <v>204</v>
      </c>
    </row>
    <row r="88" spans="8:11" x14ac:dyDescent="0.3">
      <c r="H88" s="19">
        <f t="shared" si="7"/>
        <v>4330</v>
      </c>
      <c r="I88" s="6">
        <f t="shared" si="4"/>
        <v>24</v>
      </c>
      <c r="J88" s="6">
        <f t="shared" si="5"/>
        <v>170</v>
      </c>
      <c r="K88" s="6">
        <f t="shared" si="6"/>
        <v>194</v>
      </c>
    </row>
    <row r="89" spans="8:11" x14ac:dyDescent="0.3">
      <c r="H89" s="19">
        <f t="shared" si="7"/>
        <v>4340</v>
      </c>
      <c r="I89" s="6">
        <f t="shared" si="4"/>
        <v>24</v>
      </c>
      <c r="J89" s="6">
        <f t="shared" si="5"/>
        <v>160</v>
      </c>
      <c r="K89" s="6">
        <f t="shared" si="6"/>
        <v>184</v>
      </c>
    </row>
    <row r="90" spans="8:11" x14ac:dyDescent="0.3">
      <c r="H90" s="19">
        <f t="shared" si="7"/>
        <v>4350</v>
      </c>
      <c r="I90" s="6">
        <f t="shared" si="4"/>
        <v>24</v>
      </c>
      <c r="J90" s="6">
        <f t="shared" si="5"/>
        <v>150</v>
      </c>
      <c r="K90" s="6">
        <f t="shared" si="6"/>
        <v>174</v>
      </c>
    </row>
    <row r="91" spans="8:11" x14ac:dyDescent="0.3">
      <c r="H91" s="19">
        <f t="shared" si="7"/>
        <v>4360</v>
      </c>
      <c r="I91" s="6">
        <f t="shared" si="4"/>
        <v>24</v>
      </c>
      <c r="J91" s="6">
        <f t="shared" si="5"/>
        <v>140</v>
      </c>
      <c r="K91" s="6">
        <f t="shared" si="6"/>
        <v>164</v>
      </c>
    </row>
    <row r="92" spans="8:11" x14ac:dyDescent="0.3">
      <c r="H92" s="19">
        <f t="shared" si="7"/>
        <v>4370</v>
      </c>
      <c r="I92" s="6">
        <f t="shared" si="4"/>
        <v>24</v>
      </c>
      <c r="J92" s="6">
        <f t="shared" si="5"/>
        <v>130</v>
      </c>
      <c r="K92" s="6">
        <f t="shared" si="6"/>
        <v>154</v>
      </c>
    </row>
    <row r="93" spans="8:11" x14ac:dyDescent="0.3">
      <c r="H93" s="19">
        <f t="shared" si="7"/>
        <v>4380</v>
      </c>
      <c r="I93" s="6">
        <f t="shared" si="4"/>
        <v>24</v>
      </c>
      <c r="J93" s="6">
        <f t="shared" si="5"/>
        <v>120</v>
      </c>
      <c r="K93" s="6">
        <f t="shared" si="6"/>
        <v>144</v>
      </c>
    </row>
    <row r="94" spans="8:11" x14ac:dyDescent="0.3">
      <c r="H94" s="19">
        <f t="shared" si="7"/>
        <v>4390</v>
      </c>
      <c r="I94" s="6">
        <f t="shared" si="4"/>
        <v>24</v>
      </c>
      <c r="J94" s="6">
        <f t="shared" si="5"/>
        <v>110</v>
      </c>
      <c r="K94" s="6">
        <f t="shared" si="6"/>
        <v>134</v>
      </c>
    </row>
    <row r="95" spans="8:11" x14ac:dyDescent="0.3">
      <c r="H95" s="19">
        <f t="shared" si="7"/>
        <v>4400</v>
      </c>
      <c r="I95" s="6">
        <f t="shared" si="4"/>
        <v>24</v>
      </c>
      <c r="J95" s="6">
        <f t="shared" si="5"/>
        <v>100</v>
      </c>
      <c r="K95" s="6">
        <f t="shared" si="6"/>
        <v>124</v>
      </c>
    </row>
    <row r="96" spans="8:11" x14ac:dyDescent="0.3">
      <c r="H96" s="19">
        <f t="shared" si="7"/>
        <v>4410</v>
      </c>
      <c r="I96" s="6">
        <f t="shared" si="4"/>
        <v>24</v>
      </c>
      <c r="J96" s="6">
        <f t="shared" si="5"/>
        <v>90</v>
      </c>
      <c r="K96" s="6">
        <f t="shared" si="6"/>
        <v>114</v>
      </c>
    </row>
    <row r="97" spans="8:14" x14ac:dyDescent="0.3">
      <c r="H97" s="19">
        <f t="shared" si="7"/>
        <v>4420</v>
      </c>
      <c r="I97" s="6">
        <f t="shared" si="4"/>
        <v>24</v>
      </c>
      <c r="J97" s="6">
        <f t="shared" si="5"/>
        <v>80</v>
      </c>
      <c r="K97" s="6">
        <f t="shared" si="6"/>
        <v>104</v>
      </c>
    </row>
    <row r="98" spans="8:14" x14ac:dyDescent="0.3">
      <c r="H98" s="19">
        <f t="shared" si="7"/>
        <v>4430</v>
      </c>
      <c r="I98" s="6">
        <f t="shared" si="4"/>
        <v>24</v>
      </c>
      <c r="J98" s="6">
        <f t="shared" si="5"/>
        <v>70</v>
      </c>
      <c r="K98" s="6">
        <f t="shared" si="6"/>
        <v>94</v>
      </c>
    </row>
    <row r="99" spans="8:14" x14ac:dyDescent="0.3">
      <c r="H99" s="19">
        <f t="shared" si="7"/>
        <v>4440</v>
      </c>
      <c r="I99" s="6">
        <f t="shared" si="4"/>
        <v>24</v>
      </c>
      <c r="J99" s="6">
        <f t="shared" si="5"/>
        <v>60</v>
      </c>
      <c r="K99" s="6">
        <f t="shared" si="6"/>
        <v>84</v>
      </c>
    </row>
    <row r="100" spans="8:14" x14ac:dyDescent="0.3">
      <c r="H100" s="19">
        <f t="shared" si="7"/>
        <v>4450</v>
      </c>
      <c r="I100" s="6">
        <f t="shared" si="4"/>
        <v>24</v>
      </c>
      <c r="J100" s="6">
        <f t="shared" si="5"/>
        <v>50</v>
      </c>
      <c r="K100" s="6">
        <f t="shared" si="6"/>
        <v>74</v>
      </c>
    </row>
    <row r="101" spans="8:14" x14ac:dyDescent="0.3">
      <c r="H101" s="19">
        <f t="shared" si="7"/>
        <v>4460</v>
      </c>
      <c r="I101" s="6">
        <f t="shared" si="4"/>
        <v>24</v>
      </c>
      <c r="J101" s="6">
        <f t="shared" si="5"/>
        <v>40</v>
      </c>
      <c r="K101" s="6">
        <f t="shared" si="6"/>
        <v>64</v>
      </c>
    </row>
    <row r="102" spans="8:14" x14ac:dyDescent="0.3">
      <c r="H102" s="19">
        <f t="shared" si="7"/>
        <v>4470</v>
      </c>
      <c r="I102" s="6">
        <f t="shared" si="4"/>
        <v>24</v>
      </c>
      <c r="J102" s="6">
        <f t="shared" si="5"/>
        <v>30</v>
      </c>
      <c r="K102" s="6">
        <f t="shared" si="6"/>
        <v>54</v>
      </c>
    </row>
    <row r="103" spans="8:14" x14ac:dyDescent="0.3">
      <c r="H103" s="19">
        <f t="shared" si="7"/>
        <v>4480</v>
      </c>
      <c r="I103" s="6">
        <f t="shared" si="4"/>
        <v>24</v>
      </c>
      <c r="J103" s="6">
        <f t="shared" si="5"/>
        <v>20</v>
      </c>
      <c r="K103" s="6">
        <f t="shared" si="6"/>
        <v>44</v>
      </c>
    </row>
    <row r="104" spans="8:14" x14ac:dyDescent="0.3">
      <c r="H104" s="19">
        <f t="shared" si="7"/>
        <v>4490</v>
      </c>
      <c r="I104" s="6">
        <f t="shared" si="4"/>
        <v>24</v>
      </c>
      <c r="J104" s="6">
        <f t="shared" si="5"/>
        <v>10</v>
      </c>
      <c r="K104" s="6">
        <f t="shared" si="6"/>
        <v>34</v>
      </c>
    </row>
    <row r="105" spans="8:14" x14ac:dyDescent="0.3">
      <c r="H105" s="19">
        <f t="shared" si="7"/>
        <v>4500</v>
      </c>
      <c r="I105" s="6">
        <f t="shared" si="4"/>
        <v>24</v>
      </c>
      <c r="J105" s="6">
        <f t="shared" si="5"/>
        <v>0</v>
      </c>
      <c r="K105" s="6">
        <f t="shared" si="6"/>
        <v>24</v>
      </c>
    </row>
    <row r="106" spans="8:14" x14ac:dyDescent="0.3">
      <c r="H106" s="19">
        <f t="shared" si="7"/>
        <v>4510</v>
      </c>
      <c r="I106" s="6">
        <f t="shared" si="4"/>
        <v>24</v>
      </c>
      <c r="J106" s="6">
        <f t="shared" si="5"/>
        <v>-10</v>
      </c>
      <c r="K106" s="6">
        <f t="shared" si="6"/>
        <v>14</v>
      </c>
    </row>
    <row r="107" spans="8:14" x14ac:dyDescent="0.3">
      <c r="H107" s="19">
        <f t="shared" si="7"/>
        <v>4520</v>
      </c>
      <c r="I107" s="6">
        <f t="shared" si="4"/>
        <v>24</v>
      </c>
      <c r="J107" s="6">
        <f t="shared" si="5"/>
        <v>-20</v>
      </c>
      <c r="K107" s="6">
        <f t="shared" si="6"/>
        <v>4</v>
      </c>
    </row>
    <row r="108" spans="8:14" x14ac:dyDescent="0.3">
      <c r="H108" s="19">
        <f>H107+4</f>
        <v>4524</v>
      </c>
      <c r="I108" s="6">
        <f t="shared" si="4"/>
        <v>24</v>
      </c>
      <c r="J108" s="6">
        <f t="shared" si="5"/>
        <v>-24</v>
      </c>
      <c r="K108" s="15">
        <f t="shared" si="6"/>
        <v>0</v>
      </c>
      <c r="L108" s="21" t="s">
        <v>69</v>
      </c>
      <c r="M108" s="21"/>
      <c r="N108" s="21"/>
    </row>
    <row r="109" spans="8:14" x14ac:dyDescent="0.3">
      <c r="H109" s="19">
        <f>H107+10</f>
        <v>4530</v>
      </c>
      <c r="I109" s="6">
        <f t="shared" ref="I109:I134" si="8">(MAX($J$3-H109,0)-$K$3)*-1</f>
        <v>24</v>
      </c>
      <c r="J109" s="6">
        <f t="shared" ref="J109:J134" si="9">$H$3-H109</f>
        <v>-30</v>
      </c>
      <c r="K109" s="6">
        <f t="shared" ref="K109:K134" si="10">I109+J109</f>
        <v>-6</v>
      </c>
    </row>
    <row r="110" spans="8:14" x14ac:dyDescent="0.3">
      <c r="H110" s="19">
        <f t="shared" ref="H110:H135" si="11">H109+10</f>
        <v>4540</v>
      </c>
      <c r="I110" s="6">
        <f t="shared" si="8"/>
        <v>24</v>
      </c>
      <c r="J110" s="6">
        <f t="shared" si="9"/>
        <v>-40</v>
      </c>
      <c r="K110" s="6">
        <f t="shared" si="10"/>
        <v>-16</v>
      </c>
    </row>
    <row r="111" spans="8:14" x14ac:dyDescent="0.3">
      <c r="H111" s="19">
        <f t="shared" si="11"/>
        <v>4550</v>
      </c>
      <c r="I111" s="6">
        <f t="shared" si="8"/>
        <v>24</v>
      </c>
      <c r="J111" s="6">
        <f t="shared" si="9"/>
        <v>-50</v>
      </c>
      <c r="K111" s="6">
        <f t="shared" si="10"/>
        <v>-26</v>
      </c>
    </row>
    <row r="112" spans="8:14" x14ac:dyDescent="0.3">
      <c r="H112" s="19">
        <f t="shared" si="11"/>
        <v>4560</v>
      </c>
      <c r="I112" s="6">
        <f t="shared" si="8"/>
        <v>24</v>
      </c>
      <c r="J112" s="6">
        <f t="shared" si="9"/>
        <v>-60</v>
      </c>
      <c r="K112" s="6">
        <f t="shared" si="10"/>
        <v>-36</v>
      </c>
    </row>
    <row r="113" spans="8:11" x14ac:dyDescent="0.3">
      <c r="H113" s="19">
        <f t="shared" si="11"/>
        <v>4570</v>
      </c>
      <c r="I113" s="6">
        <f t="shared" si="8"/>
        <v>24</v>
      </c>
      <c r="J113" s="6">
        <f t="shared" si="9"/>
        <v>-70</v>
      </c>
      <c r="K113" s="6">
        <f t="shared" si="10"/>
        <v>-46</v>
      </c>
    </row>
    <row r="114" spans="8:11" x14ac:dyDescent="0.3">
      <c r="H114" s="19">
        <f t="shared" si="11"/>
        <v>4580</v>
      </c>
      <c r="I114" s="6">
        <f t="shared" si="8"/>
        <v>24</v>
      </c>
      <c r="J114" s="6">
        <f t="shared" si="9"/>
        <v>-80</v>
      </c>
      <c r="K114" s="6">
        <f t="shared" si="10"/>
        <v>-56</v>
      </c>
    </row>
    <row r="115" spans="8:11" x14ac:dyDescent="0.3">
      <c r="H115" s="19">
        <f t="shared" si="11"/>
        <v>4590</v>
      </c>
      <c r="I115" s="6">
        <f t="shared" si="8"/>
        <v>24</v>
      </c>
      <c r="J115" s="6">
        <f t="shared" si="9"/>
        <v>-90</v>
      </c>
      <c r="K115" s="6">
        <f t="shared" si="10"/>
        <v>-66</v>
      </c>
    </row>
    <row r="116" spans="8:11" x14ac:dyDescent="0.3">
      <c r="H116" s="19">
        <f t="shared" si="11"/>
        <v>4600</v>
      </c>
      <c r="I116" s="6">
        <f t="shared" si="8"/>
        <v>24</v>
      </c>
      <c r="J116" s="6">
        <f t="shared" si="9"/>
        <v>-100</v>
      </c>
      <c r="K116" s="6">
        <f t="shared" si="10"/>
        <v>-76</v>
      </c>
    </row>
    <row r="117" spans="8:11" x14ac:dyDescent="0.3">
      <c r="H117" s="19">
        <f t="shared" si="11"/>
        <v>4610</v>
      </c>
      <c r="I117" s="6">
        <f t="shared" si="8"/>
        <v>24</v>
      </c>
      <c r="J117" s="6">
        <f t="shared" si="9"/>
        <v>-110</v>
      </c>
      <c r="K117" s="6">
        <f t="shared" si="10"/>
        <v>-86</v>
      </c>
    </row>
    <row r="118" spans="8:11" x14ac:dyDescent="0.3">
      <c r="H118" s="19">
        <f t="shared" si="11"/>
        <v>4620</v>
      </c>
      <c r="I118" s="6">
        <f t="shared" si="8"/>
        <v>24</v>
      </c>
      <c r="J118" s="6">
        <f t="shared" si="9"/>
        <v>-120</v>
      </c>
      <c r="K118" s="6">
        <f t="shared" si="10"/>
        <v>-96</v>
      </c>
    </row>
    <row r="119" spans="8:11" x14ac:dyDescent="0.3">
      <c r="H119" s="19">
        <f t="shared" si="11"/>
        <v>4630</v>
      </c>
      <c r="I119" s="6">
        <f t="shared" si="8"/>
        <v>24</v>
      </c>
      <c r="J119" s="6">
        <f t="shared" si="9"/>
        <v>-130</v>
      </c>
      <c r="K119" s="6">
        <f t="shared" si="10"/>
        <v>-106</v>
      </c>
    </row>
    <row r="120" spans="8:11" x14ac:dyDescent="0.3">
      <c r="H120" s="19">
        <f t="shared" si="11"/>
        <v>4640</v>
      </c>
      <c r="I120" s="6">
        <f t="shared" si="8"/>
        <v>24</v>
      </c>
      <c r="J120" s="6">
        <f t="shared" si="9"/>
        <v>-140</v>
      </c>
      <c r="K120" s="6">
        <f t="shared" si="10"/>
        <v>-116</v>
      </c>
    </row>
    <row r="121" spans="8:11" x14ac:dyDescent="0.3">
      <c r="H121" s="19">
        <f t="shared" si="11"/>
        <v>4650</v>
      </c>
      <c r="I121" s="6">
        <f t="shared" si="8"/>
        <v>24</v>
      </c>
      <c r="J121" s="6">
        <f t="shared" si="9"/>
        <v>-150</v>
      </c>
      <c r="K121" s="6">
        <f t="shared" si="10"/>
        <v>-126</v>
      </c>
    </row>
    <row r="122" spans="8:11" x14ac:dyDescent="0.3">
      <c r="H122" s="19">
        <f t="shared" si="11"/>
        <v>4660</v>
      </c>
      <c r="I122" s="6">
        <f t="shared" si="8"/>
        <v>24</v>
      </c>
      <c r="J122" s="6">
        <f t="shared" si="9"/>
        <v>-160</v>
      </c>
      <c r="K122" s="6">
        <f t="shared" si="10"/>
        <v>-136</v>
      </c>
    </row>
    <row r="123" spans="8:11" x14ac:dyDescent="0.3">
      <c r="H123" s="19">
        <f t="shared" si="11"/>
        <v>4670</v>
      </c>
      <c r="I123" s="6">
        <f t="shared" si="8"/>
        <v>24</v>
      </c>
      <c r="J123" s="6">
        <f t="shared" si="9"/>
        <v>-170</v>
      </c>
      <c r="K123" s="6">
        <f t="shared" si="10"/>
        <v>-146</v>
      </c>
    </row>
    <row r="124" spans="8:11" x14ac:dyDescent="0.3">
      <c r="H124" s="19">
        <f t="shared" si="11"/>
        <v>4680</v>
      </c>
      <c r="I124" s="6">
        <f t="shared" si="8"/>
        <v>24</v>
      </c>
      <c r="J124" s="6">
        <f t="shared" si="9"/>
        <v>-180</v>
      </c>
      <c r="K124" s="6">
        <f t="shared" si="10"/>
        <v>-156</v>
      </c>
    </row>
    <row r="125" spans="8:11" x14ac:dyDescent="0.3">
      <c r="H125" s="19">
        <f t="shared" si="11"/>
        <v>4690</v>
      </c>
      <c r="I125" s="6">
        <f t="shared" si="8"/>
        <v>24</v>
      </c>
      <c r="J125" s="6">
        <f t="shared" si="9"/>
        <v>-190</v>
      </c>
      <c r="K125" s="6">
        <f t="shared" si="10"/>
        <v>-166</v>
      </c>
    </row>
    <row r="126" spans="8:11" x14ac:dyDescent="0.3">
      <c r="H126" s="19">
        <f t="shared" si="11"/>
        <v>4700</v>
      </c>
      <c r="I126" s="6">
        <f t="shared" si="8"/>
        <v>24</v>
      </c>
      <c r="J126" s="6">
        <f t="shared" si="9"/>
        <v>-200</v>
      </c>
      <c r="K126" s="6">
        <f t="shared" si="10"/>
        <v>-176</v>
      </c>
    </row>
    <row r="127" spans="8:11" x14ac:dyDescent="0.3">
      <c r="H127" s="19">
        <f t="shared" si="11"/>
        <v>4710</v>
      </c>
      <c r="I127" s="6">
        <f t="shared" si="8"/>
        <v>24</v>
      </c>
      <c r="J127" s="6">
        <f t="shared" si="9"/>
        <v>-210</v>
      </c>
      <c r="K127" s="6">
        <f t="shared" si="10"/>
        <v>-186</v>
      </c>
    </row>
    <row r="128" spans="8:11" x14ac:dyDescent="0.3">
      <c r="H128" s="19">
        <f t="shared" si="11"/>
        <v>4720</v>
      </c>
      <c r="I128" s="6">
        <f t="shared" si="8"/>
        <v>24</v>
      </c>
      <c r="J128" s="6">
        <f t="shared" si="9"/>
        <v>-220</v>
      </c>
      <c r="K128" s="6">
        <f t="shared" si="10"/>
        <v>-196</v>
      </c>
    </row>
    <row r="129" spans="8:11" x14ac:dyDescent="0.3">
      <c r="H129" s="19">
        <f t="shared" si="11"/>
        <v>4730</v>
      </c>
      <c r="I129" s="6">
        <f t="shared" si="8"/>
        <v>24</v>
      </c>
      <c r="J129" s="6">
        <f t="shared" si="9"/>
        <v>-230</v>
      </c>
      <c r="K129" s="6">
        <f t="shared" si="10"/>
        <v>-206</v>
      </c>
    </row>
    <row r="130" spans="8:11" x14ac:dyDescent="0.3">
      <c r="H130" s="19">
        <f t="shared" si="11"/>
        <v>4740</v>
      </c>
      <c r="I130" s="6">
        <f t="shared" si="8"/>
        <v>24</v>
      </c>
      <c r="J130" s="6">
        <f t="shared" si="9"/>
        <v>-240</v>
      </c>
      <c r="K130" s="6">
        <f t="shared" si="10"/>
        <v>-216</v>
      </c>
    </row>
    <row r="131" spans="8:11" x14ac:dyDescent="0.3">
      <c r="H131" s="19">
        <f t="shared" si="11"/>
        <v>4750</v>
      </c>
      <c r="I131" s="6">
        <f t="shared" si="8"/>
        <v>24</v>
      </c>
      <c r="J131" s="6">
        <f t="shared" si="9"/>
        <v>-250</v>
      </c>
      <c r="K131" s="6">
        <f t="shared" si="10"/>
        <v>-226</v>
      </c>
    </row>
    <row r="132" spans="8:11" x14ac:dyDescent="0.3">
      <c r="H132" s="19">
        <f t="shared" si="11"/>
        <v>4760</v>
      </c>
      <c r="I132" s="6">
        <f t="shared" si="8"/>
        <v>24</v>
      </c>
      <c r="J132" s="6">
        <f t="shared" si="9"/>
        <v>-260</v>
      </c>
      <c r="K132" s="6">
        <f t="shared" si="10"/>
        <v>-236</v>
      </c>
    </row>
    <row r="133" spans="8:11" x14ac:dyDescent="0.3">
      <c r="H133" s="19">
        <f t="shared" si="11"/>
        <v>4770</v>
      </c>
      <c r="I133" s="6">
        <f t="shared" si="8"/>
        <v>24</v>
      </c>
      <c r="J133" s="6">
        <f t="shared" si="9"/>
        <v>-270</v>
      </c>
      <c r="K133" s="6">
        <f t="shared" si="10"/>
        <v>-246</v>
      </c>
    </row>
    <row r="134" spans="8:11" x14ac:dyDescent="0.3">
      <c r="H134" s="19">
        <f t="shared" si="11"/>
        <v>4780</v>
      </c>
      <c r="I134" s="6">
        <f t="shared" si="8"/>
        <v>24</v>
      </c>
      <c r="J134" s="6">
        <f t="shared" si="9"/>
        <v>-280</v>
      </c>
      <c r="K134" s="6">
        <f t="shared" si="10"/>
        <v>-256</v>
      </c>
    </row>
    <row r="135" spans="8:11" x14ac:dyDescent="0.3">
      <c r="H135" s="19">
        <f t="shared" si="11"/>
        <v>4790</v>
      </c>
      <c r="I135" s="6">
        <f t="shared" ref="I135:I198" si="12">(MAX($J$3-H135,0)-$K$3)*-1</f>
        <v>24</v>
      </c>
      <c r="J135" s="6">
        <f t="shared" ref="J135:J198" si="13">$H$3-H135</f>
        <v>-290</v>
      </c>
      <c r="K135" s="6">
        <f t="shared" ref="K135:K198" si="14">I135+J135</f>
        <v>-266</v>
      </c>
    </row>
    <row r="136" spans="8:11" x14ac:dyDescent="0.3">
      <c r="H136" s="19">
        <f t="shared" ref="H136:H199" si="15">H135+10</f>
        <v>4800</v>
      </c>
      <c r="I136" s="6">
        <f t="shared" si="12"/>
        <v>24</v>
      </c>
      <c r="J136" s="6">
        <f t="shared" si="13"/>
        <v>-300</v>
      </c>
      <c r="K136" s="6">
        <f t="shared" si="14"/>
        <v>-276</v>
      </c>
    </row>
    <row r="137" spans="8:11" x14ac:dyDescent="0.3">
      <c r="H137" s="19">
        <f t="shared" si="15"/>
        <v>4810</v>
      </c>
      <c r="I137" s="6">
        <f t="shared" si="12"/>
        <v>24</v>
      </c>
      <c r="J137" s="6">
        <f t="shared" si="13"/>
        <v>-310</v>
      </c>
      <c r="K137" s="6">
        <f t="shared" si="14"/>
        <v>-286</v>
      </c>
    </row>
    <row r="138" spans="8:11" x14ac:dyDescent="0.3">
      <c r="H138" s="19">
        <f t="shared" si="15"/>
        <v>4820</v>
      </c>
      <c r="I138" s="6">
        <f t="shared" si="12"/>
        <v>24</v>
      </c>
      <c r="J138" s="6">
        <f t="shared" si="13"/>
        <v>-320</v>
      </c>
      <c r="K138" s="6">
        <f t="shared" si="14"/>
        <v>-296</v>
      </c>
    </row>
    <row r="139" spans="8:11" x14ac:dyDescent="0.3">
      <c r="H139" s="19">
        <f t="shared" si="15"/>
        <v>4830</v>
      </c>
      <c r="I139" s="6">
        <f t="shared" si="12"/>
        <v>24</v>
      </c>
      <c r="J139" s="6">
        <f t="shared" si="13"/>
        <v>-330</v>
      </c>
      <c r="K139" s="6">
        <f t="shared" si="14"/>
        <v>-306</v>
      </c>
    </row>
    <row r="140" spans="8:11" x14ac:dyDescent="0.3">
      <c r="H140" s="19">
        <f t="shared" si="15"/>
        <v>4840</v>
      </c>
      <c r="I140" s="6">
        <f t="shared" si="12"/>
        <v>24</v>
      </c>
      <c r="J140" s="6">
        <f t="shared" si="13"/>
        <v>-340</v>
      </c>
      <c r="K140" s="6">
        <f t="shared" si="14"/>
        <v>-316</v>
      </c>
    </row>
    <row r="141" spans="8:11" x14ac:dyDescent="0.3">
      <c r="H141" s="19">
        <f t="shared" si="15"/>
        <v>4850</v>
      </c>
      <c r="I141" s="6">
        <f t="shared" si="12"/>
        <v>24</v>
      </c>
      <c r="J141" s="6">
        <f t="shared" si="13"/>
        <v>-350</v>
      </c>
      <c r="K141" s="6">
        <f t="shared" si="14"/>
        <v>-326</v>
      </c>
    </row>
    <row r="142" spans="8:11" x14ac:dyDescent="0.3">
      <c r="H142" s="19">
        <f t="shared" si="15"/>
        <v>4860</v>
      </c>
      <c r="I142" s="6">
        <f t="shared" si="12"/>
        <v>24</v>
      </c>
      <c r="J142" s="6">
        <f t="shared" si="13"/>
        <v>-360</v>
      </c>
      <c r="K142" s="6">
        <f t="shared" si="14"/>
        <v>-336</v>
      </c>
    </row>
    <row r="143" spans="8:11" x14ac:dyDescent="0.3">
      <c r="H143" s="19">
        <f t="shared" si="15"/>
        <v>4870</v>
      </c>
      <c r="I143" s="6">
        <f t="shared" si="12"/>
        <v>24</v>
      </c>
      <c r="J143" s="6">
        <f t="shared" si="13"/>
        <v>-370</v>
      </c>
      <c r="K143" s="6">
        <f t="shared" si="14"/>
        <v>-346</v>
      </c>
    </row>
    <row r="144" spans="8:11" x14ac:dyDescent="0.3">
      <c r="H144" s="19">
        <f t="shared" si="15"/>
        <v>4880</v>
      </c>
      <c r="I144" s="6">
        <f t="shared" si="12"/>
        <v>24</v>
      </c>
      <c r="J144" s="6">
        <f t="shared" si="13"/>
        <v>-380</v>
      </c>
      <c r="K144" s="6">
        <f t="shared" si="14"/>
        <v>-356</v>
      </c>
    </row>
    <row r="145" spans="8:11" x14ac:dyDescent="0.3">
      <c r="H145" s="19">
        <f t="shared" si="15"/>
        <v>4890</v>
      </c>
      <c r="I145" s="6">
        <f t="shared" si="12"/>
        <v>24</v>
      </c>
      <c r="J145" s="6">
        <f t="shared" si="13"/>
        <v>-390</v>
      </c>
      <c r="K145" s="6">
        <f t="shared" si="14"/>
        <v>-366</v>
      </c>
    </row>
    <row r="146" spans="8:11" x14ac:dyDescent="0.3">
      <c r="H146" s="19">
        <f t="shared" si="15"/>
        <v>4900</v>
      </c>
      <c r="I146" s="6">
        <f t="shared" si="12"/>
        <v>24</v>
      </c>
      <c r="J146" s="6">
        <f t="shared" si="13"/>
        <v>-400</v>
      </c>
      <c r="K146" s="6">
        <f t="shared" si="14"/>
        <v>-376</v>
      </c>
    </row>
    <row r="147" spans="8:11" x14ac:dyDescent="0.3">
      <c r="H147" s="19">
        <f t="shared" si="15"/>
        <v>4910</v>
      </c>
      <c r="I147" s="6">
        <f t="shared" si="12"/>
        <v>24</v>
      </c>
      <c r="J147" s="6">
        <f t="shared" si="13"/>
        <v>-410</v>
      </c>
      <c r="K147" s="6">
        <f t="shared" si="14"/>
        <v>-386</v>
      </c>
    </row>
    <row r="148" spans="8:11" x14ac:dyDescent="0.3">
      <c r="H148" s="19">
        <f t="shared" si="15"/>
        <v>4920</v>
      </c>
      <c r="I148" s="6">
        <f t="shared" si="12"/>
        <v>24</v>
      </c>
      <c r="J148" s="6">
        <f t="shared" si="13"/>
        <v>-420</v>
      </c>
      <c r="K148" s="6">
        <f t="shared" si="14"/>
        <v>-396</v>
      </c>
    </row>
    <row r="149" spans="8:11" x14ac:dyDescent="0.3">
      <c r="H149" s="19">
        <f t="shared" si="15"/>
        <v>4930</v>
      </c>
      <c r="I149" s="6">
        <f t="shared" si="12"/>
        <v>24</v>
      </c>
      <c r="J149" s="6">
        <f t="shared" si="13"/>
        <v>-430</v>
      </c>
      <c r="K149" s="6">
        <f t="shared" si="14"/>
        <v>-406</v>
      </c>
    </row>
    <row r="150" spans="8:11" x14ac:dyDescent="0.3">
      <c r="H150" s="19">
        <f t="shared" si="15"/>
        <v>4940</v>
      </c>
      <c r="I150" s="6">
        <f t="shared" si="12"/>
        <v>24</v>
      </c>
      <c r="J150" s="6">
        <f t="shared" si="13"/>
        <v>-440</v>
      </c>
      <c r="K150" s="6">
        <f t="shared" si="14"/>
        <v>-416</v>
      </c>
    </row>
    <row r="151" spans="8:11" x14ac:dyDescent="0.3">
      <c r="H151" s="19">
        <f t="shared" si="15"/>
        <v>4950</v>
      </c>
      <c r="I151" s="6">
        <f t="shared" si="12"/>
        <v>24</v>
      </c>
      <c r="J151" s="6">
        <f t="shared" si="13"/>
        <v>-450</v>
      </c>
      <c r="K151" s="6">
        <f t="shared" si="14"/>
        <v>-426</v>
      </c>
    </row>
    <row r="152" spans="8:11" x14ac:dyDescent="0.3">
      <c r="H152" s="19">
        <f t="shared" si="15"/>
        <v>4960</v>
      </c>
      <c r="I152" s="6">
        <f t="shared" si="12"/>
        <v>24</v>
      </c>
      <c r="J152" s="6">
        <f t="shared" si="13"/>
        <v>-460</v>
      </c>
      <c r="K152" s="6">
        <f t="shared" si="14"/>
        <v>-436</v>
      </c>
    </row>
    <row r="153" spans="8:11" x14ac:dyDescent="0.3">
      <c r="H153" s="19">
        <f t="shared" si="15"/>
        <v>4970</v>
      </c>
      <c r="I153" s="6">
        <f t="shared" si="12"/>
        <v>24</v>
      </c>
      <c r="J153" s="6">
        <f t="shared" si="13"/>
        <v>-470</v>
      </c>
      <c r="K153" s="6">
        <f t="shared" si="14"/>
        <v>-446</v>
      </c>
    </row>
    <row r="154" spans="8:11" x14ac:dyDescent="0.3">
      <c r="H154" s="19">
        <f t="shared" si="15"/>
        <v>4980</v>
      </c>
      <c r="I154" s="6">
        <f t="shared" si="12"/>
        <v>24</v>
      </c>
      <c r="J154" s="6">
        <f t="shared" si="13"/>
        <v>-480</v>
      </c>
      <c r="K154" s="6">
        <f t="shared" si="14"/>
        <v>-456</v>
      </c>
    </row>
    <row r="155" spans="8:11" x14ac:dyDescent="0.3">
      <c r="H155" s="19">
        <f t="shared" si="15"/>
        <v>4990</v>
      </c>
      <c r="I155" s="6">
        <f t="shared" si="12"/>
        <v>24</v>
      </c>
      <c r="J155" s="6">
        <f t="shared" si="13"/>
        <v>-490</v>
      </c>
      <c r="K155" s="6">
        <f t="shared" si="14"/>
        <v>-466</v>
      </c>
    </row>
    <row r="156" spans="8:11" x14ac:dyDescent="0.3">
      <c r="H156" s="19">
        <f t="shared" si="15"/>
        <v>5000</v>
      </c>
      <c r="I156" s="6">
        <f t="shared" si="12"/>
        <v>24</v>
      </c>
      <c r="J156" s="6">
        <f t="shared" si="13"/>
        <v>-500</v>
      </c>
      <c r="K156" s="6">
        <f t="shared" si="14"/>
        <v>-476</v>
      </c>
    </row>
    <row r="157" spans="8:11" x14ac:dyDescent="0.3">
      <c r="H157" s="19">
        <f t="shared" si="15"/>
        <v>5010</v>
      </c>
      <c r="I157" s="6">
        <f t="shared" si="12"/>
        <v>24</v>
      </c>
      <c r="J157" s="6">
        <f t="shared" si="13"/>
        <v>-510</v>
      </c>
      <c r="K157" s="6">
        <f t="shared" si="14"/>
        <v>-486</v>
      </c>
    </row>
    <row r="158" spans="8:11" x14ac:dyDescent="0.3">
      <c r="H158" s="19">
        <f t="shared" si="15"/>
        <v>5020</v>
      </c>
      <c r="I158" s="6">
        <f t="shared" si="12"/>
        <v>24</v>
      </c>
      <c r="J158" s="6">
        <f t="shared" si="13"/>
        <v>-520</v>
      </c>
      <c r="K158" s="6">
        <f t="shared" si="14"/>
        <v>-496</v>
      </c>
    </row>
    <row r="159" spans="8:11" x14ac:dyDescent="0.3">
      <c r="H159" s="19">
        <f t="shared" si="15"/>
        <v>5030</v>
      </c>
      <c r="I159" s="6">
        <f t="shared" si="12"/>
        <v>24</v>
      </c>
      <c r="J159" s="6">
        <f t="shared" si="13"/>
        <v>-530</v>
      </c>
      <c r="K159" s="6">
        <f t="shared" si="14"/>
        <v>-506</v>
      </c>
    </row>
    <row r="160" spans="8:11" x14ac:dyDescent="0.3">
      <c r="H160" s="19">
        <f t="shared" si="15"/>
        <v>5040</v>
      </c>
      <c r="I160" s="6">
        <f t="shared" si="12"/>
        <v>24</v>
      </c>
      <c r="J160" s="6">
        <f t="shared" si="13"/>
        <v>-540</v>
      </c>
      <c r="K160" s="6">
        <f t="shared" si="14"/>
        <v>-516</v>
      </c>
    </row>
    <row r="161" spans="8:11" x14ac:dyDescent="0.3">
      <c r="H161" s="19">
        <f t="shared" si="15"/>
        <v>5050</v>
      </c>
      <c r="I161" s="6">
        <f t="shared" si="12"/>
        <v>24</v>
      </c>
      <c r="J161" s="6">
        <f t="shared" si="13"/>
        <v>-550</v>
      </c>
      <c r="K161" s="6">
        <f t="shared" si="14"/>
        <v>-526</v>
      </c>
    </row>
    <row r="162" spans="8:11" x14ac:dyDescent="0.3">
      <c r="H162" s="19">
        <f t="shared" si="15"/>
        <v>5060</v>
      </c>
      <c r="I162" s="6">
        <f t="shared" si="12"/>
        <v>24</v>
      </c>
      <c r="J162" s="6">
        <f t="shared" si="13"/>
        <v>-560</v>
      </c>
      <c r="K162" s="6">
        <f t="shared" si="14"/>
        <v>-536</v>
      </c>
    </row>
    <row r="163" spans="8:11" x14ac:dyDescent="0.3">
      <c r="H163" s="19">
        <f t="shared" si="15"/>
        <v>5070</v>
      </c>
      <c r="I163" s="6">
        <f t="shared" si="12"/>
        <v>24</v>
      </c>
      <c r="J163" s="6">
        <f t="shared" si="13"/>
        <v>-570</v>
      </c>
      <c r="K163" s="6">
        <f t="shared" si="14"/>
        <v>-546</v>
      </c>
    </row>
    <row r="164" spans="8:11" x14ac:dyDescent="0.3">
      <c r="H164" s="19">
        <f t="shared" si="15"/>
        <v>5080</v>
      </c>
      <c r="I164" s="6">
        <f t="shared" si="12"/>
        <v>24</v>
      </c>
      <c r="J164" s="6">
        <f t="shared" si="13"/>
        <v>-580</v>
      </c>
      <c r="K164" s="6">
        <f t="shared" si="14"/>
        <v>-556</v>
      </c>
    </row>
    <row r="165" spans="8:11" x14ac:dyDescent="0.3">
      <c r="H165" s="19">
        <f t="shared" si="15"/>
        <v>5090</v>
      </c>
      <c r="I165" s="6">
        <f t="shared" si="12"/>
        <v>24</v>
      </c>
      <c r="J165" s="6">
        <f t="shared" si="13"/>
        <v>-590</v>
      </c>
      <c r="K165" s="6">
        <f t="shared" si="14"/>
        <v>-566</v>
      </c>
    </row>
    <row r="166" spans="8:11" x14ac:dyDescent="0.3">
      <c r="H166" s="19">
        <f t="shared" si="15"/>
        <v>5100</v>
      </c>
      <c r="I166" s="6">
        <f t="shared" si="12"/>
        <v>24</v>
      </c>
      <c r="J166" s="6">
        <f t="shared" si="13"/>
        <v>-600</v>
      </c>
      <c r="K166" s="6">
        <f t="shared" si="14"/>
        <v>-576</v>
      </c>
    </row>
    <row r="167" spans="8:11" x14ac:dyDescent="0.3">
      <c r="H167" s="19">
        <f t="shared" si="15"/>
        <v>5110</v>
      </c>
      <c r="I167" s="6">
        <f t="shared" si="12"/>
        <v>24</v>
      </c>
      <c r="J167" s="6">
        <f t="shared" si="13"/>
        <v>-610</v>
      </c>
      <c r="K167" s="6">
        <f t="shared" si="14"/>
        <v>-586</v>
      </c>
    </row>
    <row r="168" spans="8:11" x14ac:dyDescent="0.3">
      <c r="H168" s="19">
        <f t="shared" si="15"/>
        <v>5120</v>
      </c>
      <c r="I168" s="6">
        <f t="shared" si="12"/>
        <v>24</v>
      </c>
      <c r="J168" s="6">
        <f t="shared" si="13"/>
        <v>-620</v>
      </c>
      <c r="K168" s="6">
        <f t="shared" si="14"/>
        <v>-596</v>
      </c>
    </row>
    <row r="169" spans="8:11" x14ac:dyDescent="0.3">
      <c r="H169" s="19">
        <f t="shared" si="15"/>
        <v>5130</v>
      </c>
      <c r="I169" s="6">
        <f t="shared" si="12"/>
        <v>24</v>
      </c>
      <c r="J169" s="6">
        <f t="shared" si="13"/>
        <v>-630</v>
      </c>
      <c r="K169" s="6">
        <f t="shared" si="14"/>
        <v>-606</v>
      </c>
    </row>
    <row r="170" spans="8:11" x14ac:dyDescent="0.3">
      <c r="H170" s="19">
        <f t="shared" si="15"/>
        <v>5140</v>
      </c>
      <c r="I170" s="6">
        <f t="shared" si="12"/>
        <v>24</v>
      </c>
      <c r="J170" s="6">
        <f t="shared" si="13"/>
        <v>-640</v>
      </c>
      <c r="K170" s="6">
        <f t="shared" si="14"/>
        <v>-616</v>
      </c>
    </row>
    <row r="171" spans="8:11" x14ac:dyDescent="0.3">
      <c r="H171" s="19">
        <f t="shared" si="15"/>
        <v>5150</v>
      </c>
      <c r="I171" s="6">
        <f t="shared" si="12"/>
        <v>24</v>
      </c>
      <c r="J171" s="6">
        <f t="shared" si="13"/>
        <v>-650</v>
      </c>
      <c r="K171" s="6">
        <f t="shared" si="14"/>
        <v>-626</v>
      </c>
    </row>
    <row r="172" spans="8:11" x14ac:dyDescent="0.3">
      <c r="H172" s="19">
        <f t="shared" si="15"/>
        <v>5160</v>
      </c>
      <c r="I172" s="6">
        <f t="shared" si="12"/>
        <v>24</v>
      </c>
      <c r="J172" s="6">
        <f t="shared" si="13"/>
        <v>-660</v>
      </c>
      <c r="K172" s="6">
        <f t="shared" si="14"/>
        <v>-636</v>
      </c>
    </row>
    <row r="173" spans="8:11" x14ac:dyDescent="0.3">
      <c r="H173" s="19">
        <f t="shared" si="15"/>
        <v>5170</v>
      </c>
      <c r="I173" s="6">
        <f t="shared" si="12"/>
        <v>24</v>
      </c>
      <c r="J173" s="6">
        <f t="shared" si="13"/>
        <v>-670</v>
      </c>
      <c r="K173" s="6">
        <f t="shared" si="14"/>
        <v>-646</v>
      </c>
    </row>
    <row r="174" spans="8:11" x14ac:dyDescent="0.3">
      <c r="H174" s="19">
        <f t="shared" si="15"/>
        <v>5180</v>
      </c>
      <c r="I174" s="6">
        <f t="shared" si="12"/>
        <v>24</v>
      </c>
      <c r="J174" s="6">
        <f t="shared" si="13"/>
        <v>-680</v>
      </c>
      <c r="K174" s="6">
        <f t="shared" si="14"/>
        <v>-656</v>
      </c>
    </row>
    <row r="175" spans="8:11" x14ac:dyDescent="0.3">
      <c r="H175" s="19">
        <f t="shared" si="15"/>
        <v>5190</v>
      </c>
      <c r="I175" s="6">
        <f t="shared" si="12"/>
        <v>24</v>
      </c>
      <c r="J175" s="6">
        <f t="shared" si="13"/>
        <v>-690</v>
      </c>
      <c r="K175" s="6">
        <f t="shared" si="14"/>
        <v>-666</v>
      </c>
    </row>
    <row r="176" spans="8:11" x14ac:dyDescent="0.3">
      <c r="H176" s="19">
        <f t="shared" si="15"/>
        <v>5200</v>
      </c>
      <c r="I176" s="6">
        <f t="shared" si="12"/>
        <v>24</v>
      </c>
      <c r="J176" s="6">
        <f t="shared" si="13"/>
        <v>-700</v>
      </c>
      <c r="K176" s="6">
        <f t="shared" si="14"/>
        <v>-676</v>
      </c>
    </row>
    <row r="177" spans="8:11" x14ac:dyDescent="0.3">
      <c r="H177" s="19">
        <f t="shared" si="15"/>
        <v>5210</v>
      </c>
      <c r="I177" s="6">
        <f t="shared" si="12"/>
        <v>24</v>
      </c>
      <c r="J177" s="6">
        <f t="shared" si="13"/>
        <v>-710</v>
      </c>
      <c r="K177" s="6">
        <f t="shared" si="14"/>
        <v>-686</v>
      </c>
    </row>
    <row r="178" spans="8:11" x14ac:dyDescent="0.3">
      <c r="H178" s="19">
        <f t="shared" si="15"/>
        <v>5220</v>
      </c>
      <c r="I178" s="6">
        <f t="shared" si="12"/>
        <v>24</v>
      </c>
      <c r="J178" s="6">
        <f t="shared" si="13"/>
        <v>-720</v>
      </c>
      <c r="K178" s="6">
        <f t="shared" si="14"/>
        <v>-696</v>
      </c>
    </row>
    <row r="179" spans="8:11" x14ac:dyDescent="0.3">
      <c r="H179" s="19">
        <f t="shared" si="15"/>
        <v>5230</v>
      </c>
      <c r="I179" s="6">
        <f t="shared" si="12"/>
        <v>24</v>
      </c>
      <c r="J179" s="6">
        <f t="shared" si="13"/>
        <v>-730</v>
      </c>
      <c r="K179" s="6">
        <f t="shared" si="14"/>
        <v>-706</v>
      </c>
    </row>
    <row r="180" spans="8:11" x14ac:dyDescent="0.3">
      <c r="H180" s="19">
        <f t="shared" si="15"/>
        <v>5240</v>
      </c>
      <c r="I180" s="6">
        <f t="shared" si="12"/>
        <v>24</v>
      </c>
      <c r="J180" s="6">
        <f t="shared" si="13"/>
        <v>-740</v>
      </c>
      <c r="K180" s="6">
        <f t="shared" si="14"/>
        <v>-716</v>
      </c>
    </row>
    <row r="181" spans="8:11" x14ac:dyDescent="0.3">
      <c r="H181" s="19">
        <f t="shared" si="15"/>
        <v>5250</v>
      </c>
      <c r="I181" s="6">
        <f t="shared" si="12"/>
        <v>24</v>
      </c>
      <c r="J181" s="6">
        <f t="shared" si="13"/>
        <v>-750</v>
      </c>
      <c r="K181" s="6">
        <f t="shared" si="14"/>
        <v>-726</v>
      </c>
    </row>
    <row r="182" spans="8:11" x14ac:dyDescent="0.3">
      <c r="H182" s="19">
        <f t="shared" si="15"/>
        <v>5260</v>
      </c>
      <c r="I182" s="6">
        <f t="shared" si="12"/>
        <v>24</v>
      </c>
      <c r="J182" s="6">
        <f t="shared" si="13"/>
        <v>-760</v>
      </c>
      <c r="K182" s="6">
        <f t="shared" si="14"/>
        <v>-736</v>
      </c>
    </row>
    <row r="183" spans="8:11" x14ac:dyDescent="0.3">
      <c r="H183" s="19">
        <f t="shared" si="15"/>
        <v>5270</v>
      </c>
      <c r="I183" s="6">
        <f t="shared" si="12"/>
        <v>24</v>
      </c>
      <c r="J183" s="6">
        <f t="shared" si="13"/>
        <v>-770</v>
      </c>
      <c r="K183" s="6">
        <f t="shared" si="14"/>
        <v>-746</v>
      </c>
    </row>
    <row r="184" spans="8:11" x14ac:dyDescent="0.3">
      <c r="H184" s="19">
        <f t="shared" si="15"/>
        <v>5280</v>
      </c>
      <c r="I184" s="6">
        <f t="shared" si="12"/>
        <v>24</v>
      </c>
      <c r="J184" s="6">
        <f t="shared" si="13"/>
        <v>-780</v>
      </c>
      <c r="K184" s="6">
        <f t="shared" si="14"/>
        <v>-756</v>
      </c>
    </row>
    <row r="185" spans="8:11" x14ac:dyDescent="0.3">
      <c r="H185" s="19">
        <f t="shared" si="15"/>
        <v>5290</v>
      </c>
      <c r="I185" s="6">
        <f t="shared" si="12"/>
        <v>24</v>
      </c>
      <c r="J185" s="6">
        <f t="shared" si="13"/>
        <v>-790</v>
      </c>
      <c r="K185" s="6">
        <f t="shared" si="14"/>
        <v>-766</v>
      </c>
    </row>
    <row r="186" spans="8:11" x14ac:dyDescent="0.3">
      <c r="H186" s="19">
        <f t="shared" si="15"/>
        <v>5300</v>
      </c>
      <c r="I186" s="6">
        <f t="shared" si="12"/>
        <v>24</v>
      </c>
      <c r="J186" s="6">
        <f t="shared" si="13"/>
        <v>-800</v>
      </c>
      <c r="K186" s="6">
        <f t="shared" si="14"/>
        <v>-776</v>
      </c>
    </row>
    <row r="187" spans="8:11" x14ac:dyDescent="0.3">
      <c r="H187" s="19">
        <f t="shared" si="15"/>
        <v>5310</v>
      </c>
      <c r="I187" s="6">
        <f t="shared" si="12"/>
        <v>24</v>
      </c>
      <c r="J187" s="6">
        <f t="shared" si="13"/>
        <v>-810</v>
      </c>
      <c r="K187" s="6">
        <f t="shared" si="14"/>
        <v>-786</v>
      </c>
    </row>
    <row r="188" spans="8:11" x14ac:dyDescent="0.3">
      <c r="H188" s="19">
        <f t="shared" si="15"/>
        <v>5320</v>
      </c>
      <c r="I188" s="6">
        <f t="shared" si="12"/>
        <v>24</v>
      </c>
      <c r="J188" s="6">
        <f t="shared" si="13"/>
        <v>-820</v>
      </c>
      <c r="K188" s="6">
        <f t="shared" si="14"/>
        <v>-796</v>
      </c>
    </row>
    <row r="189" spans="8:11" x14ac:dyDescent="0.3">
      <c r="H189" s="19">
        <f t="shared" si="15"/>
        <v>5330</v>
      </c>
      <c r="I189" s="6">
        <f t="shared" si="12"/>
        <v>24</v>
      </c>
      <c r="J189" s="6">
        <f t="shared" si="13"/>
        <v>-830</v>
      </c>
      <c r="K189" s="6">
        <f t="shared" si="14"/>
        <v>-806</v>
      </c>
    </row>
    <row r="190" spans="8:11" x14ac:dyDescent="0.3">
      <c r="H190" s="19">
        <f t="shared" si="15"/>
        <v>5340</v>
      </c>
      <c r="I190" s="6">
        <f t="shared" si="12"/>
        <v>24</v>
      </c>
      <c r="J190" s="6">
        <f t="shared" si="13"/>
        <v>-840</v>
      </c>
      <c r="K190" s="6">
        <f t="shared" si="14"/>
        <v>-816</v>
      </c>
    </row>
    <row r="191" spans="8:11" x14ac:dyDescent="0.3">
      <c r="H191" s="19">
        <f t="shared" si="15"/>
        <v>5350</v>
      </c>
      <c r="I191" s="6">
        <f t="shared" si="12"/>
        <v>24</v>
      </c>
      <c r="J191" s="6">
        <f t="shared" si="13"/>
        <v>-850</v>
      </c>
      <c r="K191" s="6">
        <f t="shared" si="14"/>
        <v>-826</v>
      </c>
    </row>
    <row r="192" spans="8:11" x14ac:dyDescent="0.3">
      <c r="H192" s="19">
        <f t="shared" si="15"/>
        <v>5360</v>
      </c>
      <c r="I192" s="6">
        <f t="shared" si="12"/>
        <v>24</v>
      </c>
      <c r="J192" s="6">
        <f t="shared" si="13"/>
        <v>-860</v>
      </c>
      <c r="K192" s="6">
        <f t="shared" si="14"/>
        <v>-836</v>
      </c>
    </row>
    <row r="193" spans="8:11" x14ac:dyDescent="0.3">
      <c r="H193" s="19">
        <f t="shared" si="15"/>
        <v>5370</v>
      </c>
      <c r="I193" s="6">
        <f t="shared" si="12"/>
        <v>24</v>
      </c>
      <c r="J193" s="6">
        <f t="shared" si="13"/>
        <v>-870</v>
      </c>
      <c r="K193" s="6">
        <f t="shared" si="14"/>
        <v>-846</v>
      </c>
    </row>
    <row r="194" spans="8:11" x14ac:dyDescent="0.3">
      <c r="H194" s="19">
        <f t="shared" si="15"/>
        <v>5380</v>
      </c>
      <c r="I194" s="6">
        <f t="shared" si="12"/>
        <v>24</v>
      </c>
      <c r="J194" s="6">
        <f t="shared" si="13"/>
        <v>-880</v>
      </c>
      <c r="K194" s="6">
        <f t="shared" si="14"/>
        <v>-856</v>
      </c>
    </row>
    <row r="195" spans="8:11" x14ac:dyDescent="0.3">
      <c r="H195" s="19">
        <f t="shared" si="15"/>
        <v>5390</v>
      </c>
      <c r="I195" s="6">
        <f t="shared" si="12"/>
        <v>24</v>
      </c>
      <c r="J195" s="6">
        <f t="shared" si="13"/>
        <v>-890</v>
      </c>
      <c r="K195" s="6">
        <f t="shared" si="14"/>
        <v>-866</v>
      </c>
    </row>
    <row r="196" spans="8:11" x14ac:dyDescent="0.3">
      <c r="H196" s="19">
        <f t="shared" si="15"/>
        <v>5400</v>
      </c>
      <c r="I196" s="6">
        <f t="shared" si="12"/>
        <v>24</v>
      </c>
      <c r="J196" s="6">
        <f t="shared" si="13"/>
        <v>-900</v>
      </c>
      <c r="K196" s="6">
        <f t="shared" si="14"/>
        <v>-876</v>
      </c>
    </row>
    <row r="197" spans="8:11" x14ac:dyDescent="0.3">
      <c r="H197" s="19">
        <f t="shared" si="15"/>
        <v>5410</v>
      </c>
      <c r="I197" s="6">
        <f t="shared" si="12"/>
        <v>24</v>
      </c>
      <c r="J197" s="6">
        <f t="shared" si="13"/>
        <v>-910</v>
      </c>
      <c r="K197" s="6">
        <f t="shared" si="14"/>
        <v>-886</v>
      </c>
    </row>
    <row r="198" spans="8:11" x14ac:dyDescent="0.3">
      <c r="H198" s="19">
        <f t="shared" si="15"/>
        <v>5420</v>
      </c>
      <c r="I198" s="6">
        <f t="shared" si="12"/>
        <v>24</v>
      </c>
      <c r="J198" s="6">
        <f t="shared" si="13"/>
        <v>-920</v>
      </c>
      <c r="K198" s="6">
        <f t="shared" si="14"/>
        <v>-896</v>
      </c>
    </row>
    <row r="199" spans="8:11" x14ac:dyDescent="0.3">
      <c r="H199" s="19">
        <f t="shared" si="15"/>
        <v>5430</v>
      </c>
      <c r="I199" s="6">
        <f t="shared" ref="I199:I212" si="16">(MAX($J$3-H199,0)-$K$3)*-1</f>
        <v>24</v>
      </c>
      <c r="J199" s="6">
        <f t="shared" ref="J199:J212" si="17">$H$3-H199</f>
        <v>-930</v>
      </c>
      <c r="K199" s="6">
        <f t="shared" ref="K199:K212" si="18">I199+J199</f>
        <v>-906</v>
      </c>
    </row>
    <row r="200" spans="8:11" x14ac:dyDescent="0.3">
      <c r="H200" s="19">
        <f t="shared" ref="H200:H202" si="19">H199+10</f>
        <v>5440</v>
      </c>
      <c r="I200" s="6">
        <f t="shared" si="16"/>
        <v>24</v>
      </c>
      <c r="J200" s="6">
        <f t="shared" si="17"/>
        <v>-940</v>
      </c>
      <c r="K200" s="6">
        <f t="shared" si="18"/>
        <v>-916</v>
      </c>
    </row>
    <row r="201" spans="8:11" x14ac:dyDescent="0.3">
      <c r="H201" s="19">
        <f t="shared" si="19"/>
        <v>5450</v>
      </c>
      <c r="I201" s="6">
        <f t="shared" si="16"/>
        <v>24</v>
      </c>
      <c r="J201" s="6">
        <f t="shared" si="17"/>
        <v>-950</v>
      </c>
      <c r="K201" s="6">
        <f t="shared" si="18"/>
        <v>-926</v>
      </c>
    </row>
    <row r="202" spans="8:11" x14ac:dyDescent="0.3">
      <c r="H202" s="19">
        <f t="shared" si="19"/>
        <v>5460</v>
      </c>
      <c r="I202" s="6">
        <f t="shared" si="16"/>
        <v>24</v>
      </c>
      <c r="J202" s="6">
        <f t="shared" si="17"/>
        <v>-960</v>
      </c>
      <c r="K202" s="6">
        <f t="shared" si="18"/>
        <v>-936</v>
      </c>
    </row>
    <row r="203" spans="8:11" x14ac:dyDescent="0.3">
      <c r="H203" s="19">
        <f>H202+10</f>
        <v>5470</v>
      </c>
      <c r="I203" s="6">
        <f t="shared" si="16"/>
        <v>24</v>
      </c>
      <c r="J203" s="6">
        <f t="shared" si="17"/>
        <v>-970</v>
      </c>
      <c r="K203" s="6">
        <f t="shared" si="18"/>
        <v>-946</v>
      </c>
    </row>
    <row r="204" spans="8:11" x14ac:dyDescent="0.3">
      <c r="H204" s="19">
        <f t="shared" ref="H204:H212" si="20">H203+10</f>
        <v>5480</v>
      </c>
      <c r="I204" s="6">
        <f t="shared" si="16"/>
        <v>24</v>
      </c>
      <c r="J204" s="6">
        <f t="shared" si="17"/>
        <v>-980</v>
      </c>
      <c r="K204" s="6">
        <f t="shared" si="18"/>
        <v>-956</v>
      </c>
    </row>
    <row r="205" spans="8:11" x14ac:dyDescent="0.3">
      <c r="H205" s="19">
        <f t="shared" si="20"/>
        <v>5490</v>
      </c>
      <c r="I205" s="6">
        <f t="shared" si="16"/>
        <v>24</v>
      </c>
      <c r="J205" s="6">
        <f t="shared" si="17"/>
        <v>-990</v>
      </c>
      <c r="K205" s="6">
        <f t="shared" si="18"/>
        <v>-966</v>
      </c>
    </row>
    <row r="206" spans="8:11" x14ac:dyDescent="0.3">
      <c r="H206" s="19">
        <f t="shared" si="20"/>
        <v>5500</v>
      </c>
      <c r="I206" s="6">
        <f t="shared" si="16"/>
        <v>24</v>
      </c>
      <c r="J206" s="6">
        <f t="shared" si="17"/>
        <v>-1000</v>
      </c>
      <c r="K206" s="6">
        <f t="shared" si="18"/>
        <v>-976</v>
      </c>
    </row>
    <row r="207" spans="8:11" x14ac:dyDescent="0.3">
      <c r="H207" s="19">
        <f t="shared" si="20"/>
        <v>5510</v>
      </c>
      <c r="I207" s="6">
        <f t="shared" si="16"/>
        <v>24</v>
      </c>
      <c r="J207" s="6">
        <f t="shared" si="17"/>
        <v>-1010</v>
      </c>
      <c r="K207" s="6">
        <f t="shared" si="18"/>
        <v>-986</v>
      </c>
    </row>
    <row r="208" spans="8:11" x14ac:dyDescent="0.3">
      <c r="H208" s="19">
        <f t="shared" si="20"/>
        <v>5520</v>
      </c>
      <c r="I208" s="6">
        <f t="shared" si="16"/>
        <v>24</v>
      </c>
      <c r="J208" s="6">
        <f t="shared" si="17"/>
        <v>-1020</v>
      </c>
      <c r="K208" s="6">
        <f t="shared" si="18"/>
        <v>-996</v>
      </c>
    </row>
    <row r="209" spans="8:11" x14ac:dyDescent="0.3">
      <c r="H209" s="19">
        <f t="shared" si="20"/>
        <v>5530</v>
      </c>
      <c r="I209" s="6">
        <f t="shared" si="16"/>
        <v>24</v>
      </c>
      <c r="J209" s="6">
        <f t="shared" si="17"/>
        <v>-1030</v>
      </c>
      <c r="K209" s="6">
        <f t="shared" si="18"/>
        <v>-1006</v>
      </c>
    </row>
    <row r="210" spans="8:11" x14ac:dyDescent="0.3">
      <c r="H210" s="19">
        <f t="shared" si="20"/>
        <v>5540</v>
      </c>
      <c r="I210" s="6">
        <f t="shared" si="16"/>
        <v>24</v>
      </c>
      <c r="J210" s="6">
        <f t="shared" si="17"/>
        <v>-1040</v>
      </c>
      <c r="K210" s="6">
        <f t="shared" si="18"/>
        <v>-1016</v>
      </c>
    </row>
    <row r="211" spans="8:11" x14ac:dyDescent="0.3">
      <c r="H211" s="19">
        <f t="shared" si="20"/>
        <v>5550</v>
      </c>
      <c r="I211" s="6">
        <f t="shared" si="16"/>
        <v>24</v>
      </c>
      <c r="J211" s="6">
        <f t="shared" si="17"/>
        <v>-1050</v>
      </c>
      <c r="K211" s="6">
        <f t="shared" si="18"/>
        <v>-1026</v>
      </c>
    </row>
    <row r="212" spans="8:11" x14ac:dyDescent="0.3">
      <c r="H212" s="19">
        <f t="shared" si="20"/>
        <v>5560</v>
      </c>
      <c r="I212" s="6">
        <f t="shared" si="16"/>
        <v>24</v>
      </c>
      <c r="J212" s="6">
        <f t="shared" si="17"/>
        <v>-1060</v>
      </c>
      <c r="K212" s="6">
        <f t="shared" si="18"/>
        <v>-1036</v>
      </c>
    </row>
  </sheetData>
  <sheetProtection algorithmName="SHA-512" hashValue="w7AKeT2knHcyEB/cCEOEM0dINqAUP7EK8wXGLMT4pK88891EtDcChb4d20j3CimoQcIO2vmKTcuFdV80cwgrxA==" saltValue="OXtakoDcIx7kpmdzn5HqaA==" spinCount="100000" sheet="1" objects="1" scenarios="1"/>
  <mergeCells count="5">
    <mergeCell ref="B2:F7"/>
    <mergeCell ref="M2:O2"/>
    <mergeCell ref="M3:O5"/>
    <mergeCell ref="M7:O9"/>
    <mergeCell ref="M11:O13"/>
  </mergeCells>
  <conditionalFormatting sqref="I5:I212">
    <cfRule type="cellIs" dxfId="87" priority="4" operator="lessThan">
      <formula>$G$9</formula>
    </cfRule>
    <cfRule type="cellIs" dxfId="86" priority="5" operator="greaterThan">
      <formula>0</formula>
    </cfRule>
  </conditionalFormatting>
  <conditionalFormatting sqref="J5:K212">
    <cfRule type="cellIs" dxfId="85" priority="1" operator="lessThan">
      <formula>0</formula>
    </cfRule>
    <cfRule type="cellIs" dxfId="84" priority="2" operator="lessThan">
      <formula>#REF!</formula>
    </cfRule>
    <cfRule type="cellIs" dxfId="83" priority="3" operator="greaterThan">
      <formula>0</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4EB2-D868-4BEE-8E19-A526308ACAAC}">
  <sheetPr codeName="Sheet9"/>
  <dimension ref="B2:O80"/>
  <sheetViews>
    <sheetView topLeftCell="A30" workbookViewId="0"/>
  </sheetViews>
  <sheetFormatPr defaultRowHeight="14.4" x14ac:dyDescent="0.3"/>
  <cols>
    <col min="8" max="8" width="11.21875" bestFit="1" customWidth="1"/>
    <col min="9" max="9" width="10.109375" bestFit="1" customWidth="1"/>
    <col min="10" max="10" width="9.44140625" bestFit="1" customWidth="1"/>
    <col min="11" max="11" width="11.5546875" bestFit="1" customWidth="1"/>
  </cols>
  <sheetData>
    <row r="2" spans="2:15" ht="15" thickBot="1" x14ac:dyDescent="0.35"/>
    <row r="3" spans="2:15" x14ac:dyDescent="0.3">
      <c r="B3" s="32" t="s">
        <v>74</v>
      </c>
      <c r="C3" s="33"/>
      <c r="D3" s="33"/>
      <c r="E3" s="33"/>
      <c r="F3" s="34"/>
      <c r="H3" s="1" t="s">
        <v>52</v>
      </c>
      <c r="I3" s="1" t="s">
        <v>51</v>
      </c>
      <c r="J3" s="1" t="s">
        <v>52</v>
      </c>
      <c r="K3" s="1" t="s">
        <v>75</v>
      </c>
      <c r="M3" s="148" t="s">
        <v>71</v>
      </c>
      <c r="N3" s="149"/>
      <c r="O3" s="150"/>
    </row>
    <row r="4" spans="2:15" x14ac:dyDescent="0.3">
      <c r="B4" s="35"/>
      <c r="C4" s="36"/>
      <c r="D4" s="36"/>
      <c r="E4" s="36"/>
      <c r="F4" s="37"/>
      <c r="H4" s="19">
        <v>22000</v>
      </c>
      <c r="I4" s="19">
        <v>85</v>
      </c>
      <c r="J4" s="19">
        <v>22000</v>
      </c>
      <c r="K4" s="19">
        <v>122</v>
      </c>
      <c r="M4" s="105" t="s">
        <v>78</v>
      </c>
      <c r="N4" s="106"/>
      <c r="O4" s="107"/>
    </row>
    <row r="5" spans="2:15" x14ac:dyDescent="0.3">
      <c r="B5" s="35"/>
      <c r="C5" s="36"/>
      <c r="D5" s="36"/>
      <c r="E5" s="36"/>
      <c r="F5" s="37"/>
      <c r="H5" s="1" t="s">
        <v>4</v>
      </c>
      <c r="I5" s="17" t="s">
        <v>75</v>
      </c>
      <c r="J5" s="1" t="s">
        <v>51</v>
      </c>
      <c r="K5" s="1" t="s">
        <v>37</v>
      </c>
      <c r="M5" s="105"/>
      <c r="N5" s="106"/>
      <c r="O5" s="107"/>
    </row>
    <row r="6" spans="2:15" x14ac:dyDescent="0.3">
      <c r="B6" s="35"/>
      <c r="C6" s="36"/>
      <c r="D6" s="36"/>
      <c r="E6" s="36"/>
      <c r="F6" s="37"/>
      <c r="H6" s="19">
        <f t="shared" ref="H6:H26" si="0">H7-50</f>
        <v>20400</v>
      </c>
      <c r="I6" s="6">
        <f t="shared" ref="I6:I27" si="1">(MAX($J$4-H6,0)-$K$4)</f>
        <v>1478</v>
      </c>
      <c r="J6" s="6">
        <f t="shared" ref="J6:J27" si="2">MAX(H6-$H$4,0)-$I$4</f>
        <v>-85</v>
      </c>
      <c r="K6" s="6">
        <f t="shared" ref="K6:K27" si="3">I6+J6</f>
        <v>1393</v>
      </c>
      <c r="M6" s="105"/>
      <c r="N6" s="106"/>
      <c r="O6" s="107"/>
    </row>
    <row r="7" spans="2:15" ht="15" thickBot="1" x14ac:dyDescent="0.35">
      <c r="B7" s="35"/>
      <c r="C7" s="36"/>
      <c r="D7" s="36"/>
      <c r="E7" s="36"/>
      <c r="F7" s="37"/>
      <c r="H7" s="19">
        <f t="shared" si="0"/>
        <v>20450</v>
      </c>
      <c r="I7" s="6">
        <f t="shared" si="1"/>
        <v>1428</v>
      </c>
      <c r="J7" s="6">
        <f t="shared" si="2"/>
        <v>-85</v>
      </c>
      <c r="K7" s="6">
        <f t="shared" si="3"/>
        <v>1343</v>
      </c>
      <c r="M7" s="108"/>
      <c r="N7" s="109"/>
      <c r="O7" s="110"/>
    </row>
    <row r="8" spans="2:15" ht="15" thickBot="1" x14ac:dyDescent="0.35">
      <c r="B8" s="38"/>
      <c r="C8" s="39"/>
      <c r="D8" s="39"/>
      <c r="E8" s="39"/>
      <c r="F8" s="40"/>
      <c r="H8" s="19">
        <f t="shared" si="0"/>
        <v>20500</v>
      </c>
      <c r="I8" s="6">
        <f t="shared" si="1"/>
        <v>1378</v>
      </c>
      <c r="J8" s="6">
        <f t="shared" si="2"/>
        <v>-85</v>
      </c>
      <c r="K8" s="6">
        <f t="shared" si="3"/>
        <v>1293</v>
      </c>
    </row>
    <row r="9" spans="2:15" ht="15" thickBot="1" x14ac:dyDescent="0.35">
      <c r="H9" s="19">
        <f t="shared" si="0"/>
        <v>20550</v>
      </c>
      <c r="I9" s="6">
        <f t="shared" si="1"/>
        <v>1328</v>
      </c>
      <c r="J9" s="6">
        <f t="shared" si="2"/>
        <v>-85</v>
      </c>
      <c r="K9" s="6">
        <f t="shared" si="3"/>
        <v>1243</v>
      </c>
    </row>
    <row r="10" spans="2:15" x14ac:dyDescent="0.3">
      <c r="H10" s="19">
        <f t="shared" si="0"/>
        <v>20600</v>
      </c>
      <c r="I10" s="6">
        <f t="shared" si="1"/>
        <v>1278</v>
      </c>
      <c r="J10" s="6">
        <f t="shared" si="2"/>
        <v>-85</v>
      </c>
      <c r="K10" s="6">
        <f t="shared" si="3"/>
        <v>1193</v>
      </c>
      <c r="M10" s="139" t="s">
        <v>79</v>
      </c>
      <c r="N10" s="140"/>
      <c r="O10" s="141"/>
    </row>
    <row r="11" spans="2:15" ht="15" thickBot="1" x14ac:dyDescent="0.35">
      <c r="H11" s="19">
        <f t="shared" si="0"/>
        <v>20650</v>
      </c>
      <c r="I11" s="6">
        <f t="shared" si="1"/>
        <v>1228</v>
      </c>
      <c r="J11" s="6">
        <f t="shared" si="2"/>
        <v>-85</v>
      </c>
      <c r="K11" s="6">
        <f t="shared" si="3"/>
        <v>1143</v>
      </c>
      <c r="M11" s="145"/>
      <c r="N11" s="146"/>
      <c r="O11" s="147"/>
    </row>
    <row r="12" spans="2:15" x14ac:dyDescent="0.3">
      <c r="H12" s="19">
        <f t="shared" si="0"/>
        <v>20700</v>
      </c>
      <c r="I12" s="6">
        <f t="shared" si="1"/>
        <v>1178</v>
      </c>
      <c r="J12" s="6">
        <f t="shared" si="2"/>
        <v>-85</v>
      </c>
      <c r="K12" s="6">
        <f t="shared" si="3"/>
        <v>1093</v>
      </c>
    </row>
    <row r="13" spans="2:15" ht="15" thickBot="1" x14ac:dyDescent="0.35">
      <c r="H13" s="19">
        <f t="shared" si="0"/>
        <v>20750</v>
      </c>
      <c r="I13" s="6">
        <f t="shared" si="1"/>
        <v>1128</v>
      </c>
      <c r="J13" s="6">
        <f t="shared" si="2"/>
        <v>-85</v>
      </c>
      <c r="K13" s="6">
        <f t="shared" si="3"/>
        <v>1043</v>
      </c>
    </row>
    <row r="14" spans="2:15" ht="15" thickBot="1" x14ac:dyDescent="0.35">
      <c r="H14" s="19">
        <f t="shared" si="0"/>
        <v>20800</v>
      </c>
      <c r="I14" s="6">
        <f t="shared" si="1"/>
        <v>1078</v>
      </c>
      <c r="J14" s="6">
        <f t="shared" si="2"/>
        <v>-85</v>
      </c>
      <c r="K14" s="6">
        <f t="shared" si="3"/>
        <v>993</v>
      </c>
      <c r="M14" s="151" t="s">
        <v>80</v>
      </c>
      <c r="N14" s="152"/>
      <c r="O14" s="153"/>
    </row>
    <row r="15" spans="2:15" x14ac:dyDescent="0.3">
      <c r="H15" s="19">
        <f t="shared" si="0"/>
        <v>20850</v>
      </c>
      <c r="I15" s="6">
        <f t="shared" si="1"/>
        <v>1028</v>
      </c>
      <c r="J15" s="6">
        <f t="shared" si="2"/>
        <v>-85</v>
      </c>
      <c r="K15" s="6">
        <f t="shared" si="3"/>
        <v>943</v>
      </c>
    </row>
    <row r="16" spans="2:15" x14ac:dyDescent="0.3">
      <c r="H16" s="19">
        <f t="shared" si="0"/>
        <v>20900</v>
      </c>
      <c r="I16" s="6">
        <f t="shared" si="1"/>
        <v>978</v>
      </c>
      <c r="J16" s="6">
        <f t="shared" si="2"/>
        <v>-85</v>
      </c>
      <c r="K16" s="6">
        <f t="shared" si="3"/>
        <v>893</v>
      </c>
    </row>
    <row r="17" spans="8:11" x14ac:dyDescent="0.3">
      <c r="H17" s="19">
        <f t="shared" si="0"/>
        <v>20950</v>
      </c>
      <c r="I17" s="6">
        <f t="shared" si="1"/>
        <v>928</v>
      </c>
      <c r="J17" s="6">
        <f t="shared" si="2"/>
        <v>-85</v>
      </c>
      <c r="K17" s="6">
        <f t="shared" si="3"/>
        <v>843</v>
      </c>
    </row>
    <row r="18" spans="8:11" x14ac:dyDescent="0.3">
      <c r="H18" s="19">
        <f t="shared" si="0"/>
        <v>21000</v>
      </c>
      <c r="I18" s="6">
        <f t="shared" si="1"/>
        <v>878</v>
      </c>
      <c r="J18" s="6">
        <f t="shared" si="2"/>
        <v>-85</v>
      </c>
      <c r="K18" s="6">
        <f t="shared" si="3"/>
        <v>793</v>
      </c>
    </row>
    <row r="19" spans="8:11" x14ac:dyDescent="0.3">
      <c r="H19" s="19">
        <f t="shared" si="0"/>
        <v>21050</v>
      </c>
      <c r="I19" s="6">
        <f t="shared" si="1"/>
        <v>828</v>
      </c>
      <c r="J19" s="6">
        <f t="shared" si="2"/>
        <v>-85</v>
      </c>
      <c r="K19" s="6">
        <f t="shared" si="3"/>
        <v>743</v>
      </c>
    </row>
    <row r="20" spans="8:11" x14ac:dyDescent="0.3">
      <c r="H20" s="19">
        <f t="shared" si="0"/>
        <v>21100</v>
      </c>
      <c r="I20" s="6">
        <f t="shared" si="1"/>
        <v>778</v>
      </c>
      <c r="J20" s="6">
        <f t="shared" si="2"/>
        <v>-85</v>
      </c>
      <c r="K20" s="6">
        <f t="shared" si="3"/>
        <v>693</v>
      </c>
    </row>
    <row r="21" spans="8:11" x14ac:dyDescent="0.3">
      <c r="H21" s="19">
        <f t="shared" si="0"/>
        <v>21150</v>
      </c>
      <c r="I21" s="6">
        <f t="shared" si="1"/>
        <v>728</v>
      </c>
      <c r="J21" s="6">
        <f t="shared" si="2"/>
        <v>-85</v>
      </c>
      <c r="K21" s="6">
        <f t="shared" si="3"/>
        <v>643</v>
      </c>
    </row>
    <row r="22" spans="8:11" x14ac:dyDescent="0.3">
      <c r="H22" s="19">
        <f t="shared" si="0"/>
        <v>21200</v>
      </c>
      <c r="I22" s="6">
        <f t="shared" si="1"/>
        <v>678</v>
      </c>
      <c r="J22" s="6">
        <f t="shared" si="2"/>
        <v>-85</v>
      </c>
      <c r="K22" s="6">
        <f t="shared" si="3"/>
        <v>593</v>
      </c>
    </row>
    <row r="23" spans="8:11" x14ac:dyDescent="0.3">
      <c r="H23" s="19">
        <f t="shared" si="0"/>
        <v>21250</v>
      </c>
      <c r="I23" s="6">
        <f t="shared" si="1"/>
        <v>628</v>
      </c>
      <c r="J23" s="6">
        <f t="shared" si="2"/>
        <v>-85</v>
      </c>
      <c r="K23" s="6">
        <f t="shared" si="3"/>
        <v>543</v>
      </c>
    </row>
    <row r="24" spans="8:11" x14ac:dyDescent="0.3">
      <c r="H24" s="19">
        <f t="shared" si="0"/>
        <v>21300</v>
      </c>
      <c r="I24" s="6">
        <f t="shared" si="1"/>
        <v>578</v>
      </c>
      <c r="J24" s="6">
        <f t="shared" si="2"/>
        <v>-85</v>
      </c>
      <c r="K24" s="6">
        <f t="shared" si="3"/>
        <v>493</v>
      </c>
    </row>
    <row r="25" spans="8:11" x14ac:dyDescent="0.3">
      <c r="H25" s="19">
        <f t="shared" si="0"/>
        <v>21350</v>
      </c>
      <c r="I25" s="6">
        <f t="shared" si="1"/>
        <v>528</v>
      </c>
      <c r="J25" s="6">
        <f t="shared" si="2"/>
        <v>-85</v>
      </c>
      <c r="K25" s="6">
        <f t="shared" si="3"/>
        <v>443</v>
      </c>
    </row>
    <row r="26" spans="8:11" x14ac:dyDescent="0.3">
      <c r="H26" s="19">
        <f t="shared" si="0"/>
        <v>21400</v>
      </c>
      <c r="I26" s="6">
        <f t="shared" si="1"/>
        <v>478</v>
      </c>
      <c r="J26" s="6">
        <f t="shared" si="2"/>
        <v>-85</v>
      </c>
      <c r="K26" s="6">
        <f t="shared" si="3"/>
        <v>393</v>
      </c>
    </row>
    <row r="27" spans="8:11" x14ac:dyDescent="0.3">
      <c r="H27" s="19">
        <f>H28-50</f>
        <v>21450</v>
      </c>
      <c r="I27" s="6">
        <f t="shared" si="1"/>
        <v>428</v>
      </c>
      <c r="J27" s="6">
        <f t="shared" si="2"/>
        <v>-85</v>
      </c>
      <c r="K27" s="6">
        <f t="shared" si="3"/>
        <v>343</v>
      </c>
    </row>
    <row r="28" spans="8:11" x14ac:dyDescent="0.3">
      <c r="H28" s="19">
        <v>21500</v>
      </c>
      <c r="I28" s="6">
        <f>(MAX($J$4-H28,0)-$K$4)</f>
        <v>378</v>
      </c>
      <c r="J28" s="6">
        <f>MAX(H28-$H$4,0)-$I$4</f>
        <v>-85</v>
      </c>
      <c r="K28" s="6">
        <f>I28+J28</f>
        <v>293</v>
      </c>
    </row>
    <row r="29" spans="8:11" x14ac:dyDescent="0.3">
      <c r="H29" s="19">
        <f>H28+50</f>
        <v>21550</v>
      </c>
      <c r="I29" s="6">
        <f t="shared" ref="I29:I34" si="4">(MAX($J$4-H29,0)-$K$4)</f>
        <v>328</v>
      </c>
      <c r="J29" s="6">
        <f t="shared" ref="J29:J34" si="5">MAX(H29-$H$4,0)-$I$4</f>
        <v>-85</v>
      </c>
      <c r="K29" s="6">
        <f t="shared" ref="K29:K34" si="6">I29+J29</f>
        <v>243</v>
      </c>
    </row>
    <row r="30" spans="8:11" x14ac:dyDescent="0.3">
      <c r="H30" s="19">
        <f>H29+50</f>
        <v>21600</v>
      </c>
      <c r="I30" s="6">
        <f t="shared" si="4"/>
        <v>278</v>
      </c>
      <c r="J30" s="6">
        <f t="shared" si="5"/>
        <v>-85</v>
      </c>
      <c r="K30" s="6">
        <f t="shared" si="6"/>
        <v>193</v>
      </c>
    </row>
    <row r="31" spans="8:11" x14ac:dyDescent="0.3">
      <c r="H31" s="19">
        <f>H30+50</f>
        <v>21650</v>
      </c>
      <c r="I31" s="6">
        <f t="shared" si="4"/>
        <v>228</v>
      </c>
      <c r="J31" s="6">
        <f t="shared" si="5"/>
        <v>-85</v>
      </c>
      <c r="K31" s="6">
        <f t="shared" si="6"/>
        <v>143</v>
      </c>
    </row>
    <row r="32" spans="8:11" x14ac:dyDescent="0.3">
      <c r="H32" s="19">
        <f>H31+50</f>
        <v>21700</v>
      </c>
      <c r="I32" s="6">
        <f t="shared" si="4"/>
        <v>178</v>
      </c>
      <c r="J32" s="6">
        <f t="shared" si="5"/>
        <v>-85</v>
      </c>
      <c r="K32" s="6">
        <f t="shared" si="6"/>
        <v>93</v>
      </c>
    </row>
    <row r="33" spans="8:14" x14ac:dyDescent="0.3">
      <c r="H33" s="19">
        <f>H32+50</f>
        <v>21750</v>
      </c>
      <c r="I33" s="6">
        <f t="shared" si="4"/>
        <v>128</v>
      </c>
      <c r="J33" s="6">
        <f t="shared" si="5"/>
        <v>-85</v>
      </c>
      <c r="K33" s="6">
        <f t="shared" si="6"/>
        <v>43</v>
      </c>
    </row>
    <row r="34" spans="8:14" x14ac:dyDescent="0.3">
      <c r="H34" s="19">
        <f>H35-7</f>
        <v>21793</v>
      </c>
      <c r="I34" s="6">
        <f t="shared" si="4"/>
        <v>85</v>
      </c>
      <c r="J34" s="6">
        <f t="shared" si="5"/>
        <v>-85</v>
      </c>
      <c r="K34" s="15">
        <f t="shared" si="6"/>
        <v>0</v>
      </c>
      <c r="L34" s="50" t="s">
        <v>77</v>
      </c>
      <c r="M34" s="50"/>
      <c r="N34" s="50"/>
    </row>
    <row r="35" spans="8:14" x14ac:dyDescent="0.3">
      <c r="H35" s="19">
        <f>H33+50</f>
        <v>21800</v>
      </c>
      <c r="I35" s="6">
        <f t="shared" ref="I35:I80" si="7">(MAX($J$4-H35,0)-$K$4)</f>
        <v>78</v>
      </c>
      <c r="J35" s="6">
        <f t="shared" ref="J35:J80" si="8">MAX(H35-$H$4,0)-$I$4</f>
        <v>-85</v>
      </c>
      <c r="K35" s="6">
        <f t="shared" ref="K35:K80" si="9">I35+J35</f>
        <v>-7</v>
      </c>
    </row>
    <row r="36" spans="8:14" x14ac:dyDescent="0.3">
      <c r="H36" s="19">
        <f t="shared" ref="H36:H43" si="10">H35+50</f>
        <v>21850</v>
      </c>
      <c r="I36" s="6">
        <f t="shared" si="7"/>
        <v>28</v>
      </c>
      <c r="J36" s="6">
        <f t="shared" si="8"/>
        <v>-85</v>
      </c>
      <c r="K36" s="6">
        <f t="shared" si="9"/>
        <v>-57</v>
      </c>
    </row>
    <row r="37" spans="8:14" x14ac:dyDescent="0.3">
      <c r="H37" s="19">
        <f t="shared" si="10"/>
        <v>21900</v>
      </c>
      <c r="I37" s="6">
        <f t="shared" si="7"/>
        <v>-22</v>
      </c>
      <c r="J37" s="6">
        <f t="shared" si="8"/>
        <v>-85</v>
      </c>
      <c r="K37" s="6">
        <f t="shared" si="9"/>
        <v>-107</v>
      </c>
    </row>
    <row r="38" spans="8:14" x14ac:dyDescent="0.3">
      <c r="H38" s="19">
        <f t="shared" si="10"/>
        <v>21950</v>
      </c>
      <c r="I38" s="6">
        <f t="shared" si="7"/>
        <v>-72</v>
      </c>
      <c r="J38" s="6">
        <f t="shared" si="8"/>
        <v>-85</v>
      </c>
      <c r="K38" s="6">
        <f t="shared" si="9"/>
        <v>-157</v>
      </c>
    </row>
    <row r="39" spans="8:14" x14ac:dyDescent="0.3">
      <c r="H39" s="19">
        <f t="shared" si="10"/>
        <v>22000</v>
      </c>
      <c r="I39" s="6">
        <f t="shared" si="7"/>
        <v>-122</v>
      </c>
      <c r="J39" s="6">
        <f t="shared" si="8"/>
        <v>-85</v>
      </c>
      <c r="K39" s="6">
        <f t="shared" si="9"/>
        <v>-207</v>
      </c>
    </row>
    <row r="40" spans="8:14" x14ac:dyDescent="0.3">
      <c r="H40" s="19">
        <f t="shared" si="10"/>
        <v>22050</v>
      </c>
      <c r="I40" s="6">
        <f t="shared" si="7"/>
        <v>-122</v>
      </c>
      <c r="J40" s="6">
        <f t="shared" si="8"/>
        <v>-35</v>
      </c>
      <c r="K40" s="6">
        <f t="shared" si="9"/>
        <v>-157</v>
      </c>
    </row>
    <row r="41" spans="8:14" x14ac:dyDescent="0.3">
      <c r="H41" s="19">
        <f t="shared" si="10"/>
        <v>22100</v>
      </c>
      <c r="I41" s="6">
        <f t="shared" si="7"/>
        <v>-122</v>
      </c>
      <c r="J41" s="6">
        <f t="shared" si="8"/>
        <v>15</v>
      </c>
      <c r="K41" s="6">
        <f t="shared" si="9"/>
        <v>-107</v>
      </c>
    </row>
    <row r="42" spans="8:14" x14ac:dyDescent="0.3">
      <c r="H42" s="19">
        <f t="shared" si="10"/>
        <v>22150</v>
      </c>
      <c r="I42" s="6">
        <f t="shared" si="7"/>
        <v>-122</v>
      </c>
      <c r="J42" s="6">
        <f t="shared" si="8"/>
        <v>65</v>
      </c>
      <c r="K42" s="6">
        <f t="shared" si="9"/>
        <v>-57</v>
      </c>
    </row>
    <row r="43" spans="8:14" x14ac:dyDescent="0.3">
      <c r="H43" s="19">
        <f t="shared" si="10"/>
        <v>22200</v>
      </c>
      <c r="I43" s="6">
        <f t="shared" si="7"/>
        <v>-122</v>
      </c>
      <c r="J43" s="6">
        <f t="shared" si="8"/>
        <v>115</v>
      </c>
      <c r="K43" s="6">
        <f t="shared" si="9"/>
        <v>-7</v>
      </c>
    </row>
    <row r="44" spans="8:14" x14ac:dyDescent="0.3">
      <c r="H44" s="19">
        <f>H43+7</f>
        <v>22207</v>
      </c>
      <c r="I44" s="6">
        <f t="shared" si="7"/>
        <v>-122</v>
      </c>
      <c r="J44" s="6">
        <f t="shared" si="8"/>
        <v>122</v>
      </c>
      <c r="K44" s="15">
        <f t="shared" si="9"/>
        <v>0</v>
      </c>
      <c r="L44" s="50" t="s">
        <v>76</v>
      </c>
      <c r="M44" s="50"/>
      <c r="N44" s="50"/>
    </row>
    <row r="45" spans="8:14" x14ac:dyDescent="0.3">
      <c r="H45" s="19">
        <f>H43+50</f>
        <v>22250</v>
      </c>
      <c r="I45" s="6">
        <f t="shared" si="7"/>
        <v>-122</v>
      </c>
      <c r="J45" s="6">
        <f t="shared" si="8"/>
        <v>165</v>
      </c>
      <c r="K45" s="6">
        <f t="shared" si="9"/>
        <v>43</v>
      </c>
    </row>
    <row r="46" spans="8:14" x14ac:dyDescent="0.3">
      <c r="H46" s="19">
        <f t="shared" ref="H46:H80" si="11">H45+50</f>
        <v>22300</v>
      </c>
      <c r="I46" s="6">
        <f t="shared" si="7"/>
        <v>-122</v>
      </c>
      <c r="J46" s="6">
        <f t="shared" si="8"/>
        <v>215</v>
      </c>
      <c r="K46" s="6">
        <f t="shared" si="9"/>
        <v>93</v>
      </c>
    </row>
    <row r="47" spans="8:14" x14ac:dyDescent="0.3">
      <c r="H47" s="19">
        <f t="shared" si="11"/>
        <v>22350</v>
      </c>
      <c r="I47" s="6">
        <f t="shared" si="7"/>
        <v>-122</v>
      </c>
      <c r="J47" s="6">
        <f t="shared" si="8"/>
        <v>265</v>
      </c>
      <c r="K47" s="6">
        <f t="shared" si="9"/>
        <v>143</v>
      </c>
    </row>
    <row r="48" spans="8:14" x14ac:dyDescent="0.3">
      <c r="H48" s="19">
        <f t="shared" si="11"/>
        <v>22400</v>
      </c>
      <c r="I48" s="6">
        <f t="shared" si="7"/>
        <v>-122</v>
      </c>
      <c r="J48" s="6">
        <f t="shared" si="8"/>
        <v>315</v>
      </c>
      <c r="K48" s="6">
        <f t="shared" si="9"/>
        <v>193</v>
      </c>
    </row>
    <row r="49" spans="8:11" x14ac:dyDescent="0.3">
      <c r="H49" s="19">
        <f t="shared" si="11"/>
        <v>22450</v>
      </c>
      <c r="I49" s="6">
        <f t="shared" si="7"/>
        <v>-122</v>
      </c>
      <c r="J49" s="6">
        <f t="shared" si="8"/>
        <v>365</v>
      </c>
      <c r="K49" s="6">
        <f t="shared" si="9"/>
        <v>243</v>
      </c>
    </row>
    <row r="50" spans="8:11" x14ac:dyDescent="0.3">
      <c r="H50" s="19">
        <f t="shared" si="11"/>
        <v>22500</v>
      </c>
      <c r="I50" s="6">
        <f t="shared" si="7"/>
        <v>-122</v>
      </c>
      <c r="J50" s="6">
        <f t="shared" si="8"/>
        <v>415</v>
      </c>
      <c r="K50" s="6">
        <f t="shared" si="9"/>
        <v>293</v>
      </c>
    </row>
    <row r="51" spans="8:11" x14ac:dyDescent="0.3">
      <c r="H51" s="19">
        <f t="shared" si="11"/>
        <v>22550</v>
      </c>
      <c r="I51" s="6">
        <f t="shared" si="7"/>
        <v>-122</v>
      </c>
      <c r="J51" s="6">
        <f t="shared" si="8"/>
        <v>465</v>
      </c>
      <c r="K51" s="6">
        <f t="shared" si="9"/>
        <v>343</v>
      </c>
    </row>
    <row r="52" spans="8:11" x14ac:dyDescent="0.3">
      <c r="H52" s="19">
        <f t="shared" si="11"/>
        <v>22600</v>
      </c>
      <c r="I52" s="6">
        <f t="shared" si="7"/>
        <v>-122</v>
      </c>
      <c r="J52" s="6">
        <f t="shared" si="8"/>
        <v>515</v>
      </c>
      <c r="K52" s="6">
        <f t="shared" si="9"/>
        <v>393</v>
      </c>
    </row>
    <row r="53" spans="8:11" x14ac:dyDescent="0.3">
      <c r="H53" s="19">
        <f t="shared" si="11"/>
        <v>22650</v>
      </c>
      <c r="I53" s="6">
        <f t="shared" si="7"/>
        <v>-122</v>
      </c>
      <c r="J53" s="6">
        <f t="shared" si="8"/>
        <v>565</v>
      </c>
      <c r="K53" s="6">
        <f t="shared" si="9"/>
        <v>443</v>
      </c>
    </row>
    <row r="54" spans="8:11" x14ac:dyDescent="0.3">
      <c r="H54" s="19">
        <f t="shared" si="11"/>
        <v>22700</v>
      </c>
      <c r="I54" s="6">
        <f t="shared" si="7"/>
        <v>-122</v>
      </c>
      <c r="J54" s="6">
        <f t="shared" si="8"/>
        <v>615</v>
      </c>
      <c r="K54" s="6">
        <f t="shared" si="9"/>
        <v>493</v>
      </c>
    </row>
    <row r="55" spans="8:11" x14ac:dyDescent="0.3">
      <c r="H55" s="19">
        <f t="shared" si="11"/>
        <v>22750</v>
      </c>
      <c r="I55" s="6">
        <f t="shared" si="7"/>
        <v>-122</v>
      </c>
      <c r="J55" s="6">
        <f t="shared" si="8"/>
        <v>665</v>
      </c>
      <c r="K55" s="6">
        <f t="shared" si="9"/>
        <v>543</v>
      </c>
    </row>
    <row r="56" spans="8:11" x14ac:dyDescent="0.3">
      <c r="H56" s="19">
        <f t="shared" si="11"/>
        <v>22800</v>
      </c>
      <c r="I56" s="6">
        <f t="shared" si="7"/>
        <v>-122</v>
      </c>
      <c r="J56" s="6">
        <f t="shared" si="8"/>
        <v>715</v>
      </c>
      <c r="K56" s="6">
        <f t="shared" si="9"/>
        <v>593</v>
      </c>
    </row>
    <row r="57" spans="8:11" x14ac:dyDescent="0.3">
      <c r="H57" s="19">
        <f t="shared" si="11"/>
        <v>22850</v>
      </c>
      <c r="I57" s="6">
        <f t="shared" si="7"/>
        <v>-122</v>
      </c>
      <c r="J57" s="6">
        <f t="shared" si="8"/>
        <v>765</v>
      </c>
      <c r="K57" s="6">
        <f t="shared" si="9"/>
        <v>643</v>
      </c>
    </row>
    <row r="58" spans="8:11" x14ac:dyDescent="0.3">
      <c r="H58" s="19">
        <f t="shared" si="11"/>
        <v>22900</v>
      </c>
      <c r="I58" s="6">
        <f t="shared" si="7"/>
        <v>-122</v>
      </c>
      <c r="J58" s="6">
        <f t="shared" si="8"/>
        <v>815</v>
      </c>
      <c r="K58" s="6">
        <f t="shared" si="9"/>
        <v>693</v>
      </c>
    </row>
    <row r="59" spans="8:11" x14ac:dyDescent="0.3">
      <c r="H59" s="19">
        <f t="shared" si="11"/>
        <v>22950</v>
      </c>
      <c r="I59" s="6">
        <f t="shared" si="7"/>
        <v>-122</v>
      </c>
      <c r="J59" s="6">
        <f t="shared" si="8"/>
        <v>865</v>
      </c>
      <c r="K59" s="6">
        <f t="shared" si="9"/>
        <v>743</v>
      </c>
    </row>
    <row r="60" spans="8:11" x14ac:dyDescent="0.3">
      <c r="H60" s="19">
        <f t="shared" si="11"/>
        <v>23000</v>
      </c>
      <c r="I60" s="6">
        <f t="shared" si="7"/>
        <v>-122</v>
      </c>
      <c r="J60" s="6">
        <f t="shared" si="8"/>
        <v>915</v>
      </c>
      <c r="K60" s="6">
        <f t="shared" si="9"/>
        <v>793</v>
      </c>
    </row>
    <row r="61" spans="8:11" x14ac:dyDescent="0.3">
      <c r="H61" s="19">
        <f t="shared" si="11"/>
        <v>23050</v>
      </c>
      <c r="I61" s="6">
        <f t="shared" si="7"/>
        <v>-122</v>
      </c>
      <c r="J61" s="6">
        <f t="shared" si="8"/>
        <v>965</v>
      </c>
      <c r="K61" s="6">
        <f t="shared" si="9"/>
        <v>843</v>
      </c>
    </row>
    <row r="62" spans="8:11" x14ac:dyDescent="0.3">
      <c r="H62" s="19">
        <f t="shared" si="11"/>
        <v>23100</v>
      </c>
      <c r="I62" s="6">
        <f t="shared" si="7"/>
        <v>-122</v>
      </c>
      <c r="J62" s="6">
        <f t="shared" si="8"/>
        <v>1015</v>
      </c>
      <c r="K62" s="6">
        <f t="shared" si="9"/>
        <v>893</v>
      </c>
    </row>
    <row r="63" spans="8:11" x14ac:dyDescent="0.3">
      <c r="H63" s="19">
        <f t="shared" si="11"/>
        <v>23150</v>
      </c>
      <c r="I63" s="6">
        <f t="shared" si="7"/>
        <v>-122</v>
      </c>
      <c r="J63" s="6">
        <f t="shared" si="8"/>
        <v>1065</v>
      </c>
      <c r="K63" s="6">
        <f t="shared" si="9"/>
        <v>943</v>
      </c>
    </row>
    <row r="64" spans="8:11" x14ac:dyDescent="0.3">
      <c r="H64" s="19">
        <f t="shared" si="11"/>
        <v>23200</v>
      </c>
      <c r="I64" s="6">
        <f t="shared" si="7"/>
        <v>-122</v>
      </c>
      <c r="J64" s="6">
        <f t="shared" si="8"/>
        <v>1115</v>
      </c>
      <c r="K64" s="6">
        <f t="shared" si="9"/>
        <v>993</v>
      </c>
    </row>
    <row r="65" spans="8:11" x14ac:dyDescent="0.3">
      <c r="H65" s="19">
        <f t="shared" si="11"/>
        <v>23250</v>
      </c>
      <c r="I65" s="6">
        <f t="shared" si="7"/>
        <v>-122</v>
      </c>
      <c r="J65" s="6">
        <f t="shared" si="8"/>
        <v>1165</v>
      </c>
      <c r="K65" s="6">
        <f t="shared" si="9"/>
        <v>1043</v>
      </c>
    </row>
    <row r="66" spans="8:11" x14ac:dyDescent="0.3">
      <c r="H66" s="19">
        <f t="shared" si="11"/>
        <v>23300</v>
      </c>
      <c r="I66" s="6">
        <f t="shared" si="7"/>
        <v>-122</v>
      </c>
      <c r="J66" s="6">
        <f t="shared" si="8"/>
        <v>1215</v>
      </c>
      <c r="K66" s="6">
        <f t="shared" si="9"/>
        <v>1093</v>
      </c>
    </row>
    <row r="67" spans="8:11" x14ac:dyDescent="0.3">
      <c r="H67" s="19">
        <f t="shared" si="11"/>
        <v>23350</v>
      </c>
      <c r="I67" s="6">
        <f t="shared" si="7"/>
        <v>-122</v>
      </c>
      <c r="J67" s="6">
        <f t="shared" si="8"/>
        <v>1265</v>
      </c>
      <c r="K67" s="6">
        <f t="shared" si="9"/>
        <v>1143</v>
      </c>
    </row>
    <row r="68" spans="8:11" x14ac:dyDescent="0.3">
      <c r="H68" s="19">
        <f t="shared" si="11"/>
        <v>23400</v>
      </c>
      <c r="I68" s="6">
        <f t="shared" si="7"/>
        <v>-122</v>
      </c>
      <c r="J68" s="6">
        <f t="shared" si="8"/>
        <v>1315</v>
      </c>
      <c r="K68" s="6">
        <f t="shared" si="9"/>
        <v>1193</v>
      </c>
    </row>
    <row r="69" spans="8:11" x14ac:dyDescent="0.3">
      <c r="H69" s="19">
        <f t="shared" si="11"/>
        <v>23450</v>
      </c>
      <c r="I69" s="6">
        <f t="shared" si="7"/>
        <v>-122</v>
      </c>
      <c r="J69" s="6">
        <f t="shared" si="8"/>
        <v>1365</v>
      </c>
      <c r="K69" s="6">
        <f t="shared" si="9"/>
        <v>1243</v>
      </c>
    </row>
    <row r="70" spans="8:11" x14ac:dyDescent="0.3">
      <c r="H70" s="19">
        <f t="shared" si="11"/>
        <v>23500</v>
      </c>
      <c r="I70" s="6">
        <f t="shared" si="7"/>
        <v>-122</v>
      </c>
      <c r="J70" s="6">
        <f t="shared" si="8"/>
        <v>1415</v>
      </c>
      <c r="K70" s="6">
        <f t="shared" si="9"/>
        <v>1293</v>
      </c>
    </row>
    <row r="71" spans="8:11" x14ac:dyDescent="0.3">
      <c r="H71" s="19">
        <f t="shared" si="11"/>
        <v>23550</v>
      </c>
      <c r="I71" s="6">
        <f t="shared" si="7"/>
        <v>-122</v>
      </c>
      <c r="J71" s="6">
        <f t="shared" si="8"/>
        <v>1465</v>
      </c>
      <c r="K71" s="6">
        <f t="shared" si="9"/>
        <v>1343</v>
      </c>
    </row>
    <row r="72" spans="8:11" x14ac:dyDescent="0.3">
      <c r="H72" s="19">
        <f t="shared" si="11"/>
        <v>23600</v>
      </c>
      <c r="I72" s="6">
        <f t="shared" si="7"/>
        <v>-122</v>
      </c>
      <c r="J72" s="6">
        <f t="shared" si="8"/>
        <v>1515</v>
      </c>
      <c r="K72" s="6">
        <f t="shared" si="9"/>
        <v>1393</v>
      </c>
    </row>
    <row r="73" spans="8:11" x14ac:dyDescent="0.3">
      <c r="H73" s="19">
        <f t="shared" si="11"/>
        <v>23650</v>
      </c>
      <c r="I73" s="6">
        <f t="shared" si="7"/>
        <v>-122</v>
      </c>
      <c r="J73" s="6">
        <f t="shared" si="8"/>
        <v>1565</v>
      </c>
      <c r="K73" s="6">
        <f t="shared" si="9"/>
        <v>1443</v>
      </c>
    </row>
    <row r="74" spans="8:11" x14ac:dyDescent="0.3">
      <c r="H74" s="19">
        <f t="shared" si="11"/>
        <v>23700</v>
      </c>
      <c r="I74" s="6">
        <f t="shared" si="7"/>
        <v>-122</v>
      </c>
      <c r="J74" s="6">
        <f t="shared" si="8"/>
        <v>1615</v>
      </c>
      <c r="K74" s="6">
        <f t="shared" si="9"/>
        <v>1493</v>
      </c>
    </row>
    <row r="75" spans="8:11" x14ac:dyDescent="0.3">
      <c r="H75" s="19">
        <f t="shared" si="11"/>
        <v>23750</v>
      </c>
      <c r="I75" s="6">
        <f t="shared" si="7"/>
        <v>-122</v>
      </c>
      <c r="J75" s="6">
        <f t="shared" si="8"/>
        <v>1665</v>
      </c>
      <c r="K75" s="6">
        <f t="shared" si="9"/>
        <v>1543</v>
      </c>
    </row>
    <row r="76" spans="8:11" x14ac:dyDescent="0.3">
      <c r="H76" s="19">
        <f t="shared" si="11"/>
        <v>23800</v>
      </c>
      <c r="I76" s="6">
        <f t="shared" si="7"/>
        <v>-122</v>
      </c>
      <c r="J76" s="6">
        <f t="shared" si="8"/>
        <v>1715</v>
      </c>
      <c r="K76" s="6">
        <f t="shared" si="9"/>
        <v>1593</v>
      </c>
    </row>
    <row r="77" spans="8:11" x14ac:dyDescent="0.3">
      <c r="H77" s="19">
        <f t="shared" si="11"/>
        <v>23850</v>
      </c>
      <c r="I77" s="6">
        <f t="shared" si="7"/>
        <v>-122</v>
      </c>
      <c r="J77" s="6">
        <f t="shared" si="8"/>
        <v>1765</v>
      </c>
      <c r="K77" s="6">
        <f t="shared" si="9"/>
        <v>1643</v>
      </c>
    </row>
    <row r="78" spans="8:11" x14ac:dyDescent="0.3">
      <c r="H78" s="19">
        <f t="shared" si="11"/>
        <v>23900</v>
      </c>
      <c r="I78" s="6">
        <f t="shared" si="7"/>
        <v>-122</v>
      </c>
      <c r="J78" s="6">
        <f t="shared" si="8"/>
        <v>1815</v>
      </c>
      <c r="K78" s="6">
        <f t="shared" si="9"/>
        <v>1693</v>
      </c>
    </row>
    <row r="79" spans="8:11" x14ac:dyDescent="0.3">
      <c r="H79" s="19">
        <f t="shared" si="11"/>
        <v>23950</v>
      </c>
      <c r="I79" s="6">
        <f t="shared" si="7"/>
        <v>-122</v>
      </c>
      <c r="J79" s="6">
        <f t="shared" si="8"/>
        <v>1865</v>
      </c>
      <c r="K79" s="6">
        <f t="shared" si="9"/>
        <v>1743</v>
      </c>
    </row>
    <row r="80" spans="8:11" x14ac:dyDescent="0.3">
      <c r="H80" s="19">
        <f t="shared" si="11"/>
        <v>24000</v>
      </c>
      <c r="I80" s="6">
        <f t="shared" si="7"/>
        <v>-122</v>
      </c>
      <c r="J80" s="6">
        <f t="shared" si="8"/>
        <v>1915</v>
      </c>
      <c r="K80" s="6">
        <f t="shared" si="9"/>
        <v>1793</v>
      </c>
    </row>
  </sheetData>
  <sheetProtection algorithmName="SHA-512" hashValue="c0RNnVWFzMiTIpb2xZ6c1C9xuiPQz+uey1R/V1X2TrZVY5a4hnGuMjw/vior2BGxTmqPRIMupP1Qg7TDRTEDdQ==" saltValue="mT8YxTnoPMSDjWkrw2P4NA==" spinCount="100000" sheet="1" objects="1" scenarios="1"/>
  <mergeCells count="7">
    <mergeCell ref="B3:F8"/>
    <mergeCell ref="L44:N44"/>
    <mergeCell ref="L34:N34"/>
    <mergeCell ref="M4:O7"/>
    <mergeCell ref="M3:O3"/>
    <mergeCell ref="M10:O11"/>
    <mergeCell ref="M14:O14"/>
  </mergeCells>
  <conditionalFormatting sqref="I6:I80">
    <cfRule type="cellIs" dxfId="82" priority="4" operator="lessThan">
      <formula>$G$9</formula>
    </cfRule>
    <cfRule type="cellIs" dxfId="81" priority="5" operator="greaterThan">
      <formula>0</formula>
    </cfRule>
  </conditionalFormatting>
  <conditionalFormatting sqref="J6:K80">
    <cfRule type="cellIs" dxfId="80" priority="1" operator="lessThan">
      <formula>0</formula>
    </cfRule>
    <cfRule type="cellIs" dxfId="79" priority="2" operator="lessThan">
      <formula>#REF!</formula>
    </cfRule>
    <cfRule type="cellIs" dxfId="78" priority="3" operator="greaterThan">
      <formula>0</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B650B-3F41-4A01-9036-9C69CF47157B}">
  <sheetPr codeName="Sheet10"/>
  <dimension ref="B2:X84"/>
  <sheetViews>
    <sheetView topLeftCell="G1" workbookViewId="0">
      <selection activeCell="AA14" sqref="AA14"/>
    </sheetView>
  </sheetViews>
  <sheetFormatPr defaultRowHeight="14.4" x14ac:dyDescent="0.3"/>
  <cols>
    <col min="7" max="7" width="11.21875" bestFit="1" customWidth="1"/>
    <col min="8" max="8" width="9.109375" bestFit="1" customWidth="1"/>
    <col min="9" max="9" width="9.44140625" bestFit="1" customWidth="1"/>
  </cols>
  <sheetData>
    <row r="2" spans="2:24" ht="15" thickBot="1" x14ac:dyDescent="0.35"/>
    <row r="3" spans="2:24" x14ac:dyDescent="0.3">
      <c r="B3" s="32" t="s">
        <v>81</v>
      </c>
      <c r="C3" s="33"/>
      <c r="D3" s="33"/>
      <c r="E3" s="34"/>
      <c r="G3" s="1" t="s">
        <v>52</v>
      </c>
      <c r="H3" s="1" t="s">
        <v>85</v>
      </c>
      <c r="I3" s="1" t="s">
        <v>52</v>
      </c>
      <c r="J3" s="1" t="s">
        <v>86</v>
      </c>
      <c r="L3" s="148" t="s">
        <v>71</v>
      </c>
      <c r="M3" s="149"/>
      <c r="N3" s="149"/>
      <c r="O3" s="150"/>
      <c r="U3" s="1" t="s">
        <v>52</v>
      </c>
      <c r="V3" s="1" t="s">
        <v>85</v>
      </c>
      <c r="W3" s="1" t="s">
        <v>52</v>
      </c>
      <c r="X3" s="1" t="s">
        <v>86</v>
      </c>
    </row>
    <row r="4" spans="2:24" x14ac:dyDescent="0.3">
      <c r="B4" s="35"/>
      <c r="C4" s="36"/>
      <c r="D4" s="36"/>
      <c r="E4" s="37"/>
      <c r="G4" s="19">
        <v>11000</v>
      </c>
      <c r="H4" s="19">
        <v>85</v>
      </c>
      <c r="I4" s="19">
        <v>11000</v>
      </c>
      <c r="J4" s="19">
        <v>122</v>
      </c>
      <c r="L4" s="54" t="s">
        <v>82</v>
      </c>
      <c r="M4" s="55"/>
      <c r="N4" s="55"/>
      <c r="O4" s="56"/>
      <c r="U4" s="19">
        <v>100</v>
      </c>
      <c r="V4" s="19">
        <v>6</v>
      </c>
      <c r="W4" s="19">
        <v>100</v>
      </c>
      <c r="X4" s="19">
        <v>6</v>
      </c>
    </row>
    <row r="5" spans="2:24" x14ac:dyDescent="0.3">
      <c r="B5" s="35"/>
      <c r="C5" s="36"/>
      <c r="D5" s="36"/>
      <c r="E5" s="37"/>
      <c r="G5" s="1" t="s">
        <v>4</v>
      </c>
      <c r="H5" s="17" t="s">
        <v>53</v>
      </c>
      <c r="I5" s="1" t="s">
        <v>87</v>
      </c>
      <c r="J5" s="1" t="s">
        <v>37</v>
      </c>
      <c r="L5" s="54"/>
      <c r="M5" s="55"/>
      <c r="N5" s="55"/>
      <c r="O5" s="56"/>
      <c r="U5" s="1" t="s">
        <v>4</v>
      </c>
      <c r="V5" s="17" t="s">
        <v>53</v>
      </c>
      <c r="W5" s="1" t="s">
        <v>87</v>
      </c>
      <c r="X5" s="1" t="s">
        <v>37</v>
      </c>
    </row>
    <row r="6" spans="2:24" x14ac:dyDescent="0.3">
      <c r="B6" s="35"/>
      <c r="C6" s="36"/>
      <c r="D6" s="36"/>
      <c r="E6" s="37"/>
      <c r="G6" s="19">
        <v>10000</v>
      </c>
      <c r="H6" s="6">
        <f>(MAX($I$4-G6,0)-$J$4)*-1</f>
        <v>-878</v>
      </c>
      <c r="I6" s="6">
        <f>(MAX(G6-$G$4,0)-$H$4)*-1</f>
        <v>85</v>
      </c>
      <c r="J6" s="6">
        <f t="shared" ref="J6:J22" si="0">H6+I6</f>
        <v>-793</v>
      </c>
      <c r="L6" s="54"/>
      <c r="M6" s="55"/>
      <c r="N6" s="55"/>
      <c r="O6" s="56"/>
      <c r="U6" s="19">
        <v>90</v>
      </c>
      <c r="V6" s="6">
        <f>(MAX($W$4-U6,0)-$X$4)*-1</f>
        <v>-4</v>
      </c>
      <c r="W6" s="6">
        <f>(MAX(U6-$U$4,0)-$V$4)*-1</f>
        <v>6</v>
      </c>
      <c r="X6" s="6">
        <f t="shared" ref="X6" si="1">V6+W6</f>
        <v>2</v>
      </c>
    </row>
    <row r="7" spans="2:24" ht="15" thickBot="1" x14ac:dyDescent="0.35">
      <c r="B7" s="38"/>
      <c r="C7" s="39"/>
      <c r="D7" s="39"/>
      <c r="E7" s="40"/>
      <c r="G7" s="18">
        <f>G6+50</f>
        <v>10050</v>
      </c>
      <c r="H7" s="6">
        <f t="shared" ref="H7:H22" si="2">(MAX($I$4-G7,0)-$J$4)*-1</f>
        <v>-828</v>
      </c>
      <c r="I7" s="6">
        <f t="shared" ref="I7:I22" si="3">(MAX(G7-$G$4,0)-$H$4)*-1</f>
        <v>85</v>
      </c>
      <c r="J7" s="6">
        <f t="shared" si="0"/>
        <v>-743</v>
      </c>
      <c r="L7" s="57"/>
      <c r="M7" s="58"/>
      <c r="N7" s="58"/>
      <c r="O7" s="59"/>
      <c r="U7" s="18">
        <f>U6+5</f>
        <v>95</v>
      </c>
      <c r="V7" s="6">
        <f t="shared" ref="V7:V12" si="4">(MAX($W$4-U7,0)-$X$4)*-1</f>
        <v>1</v>
      </c>
      <c r="W7" s="6">
        <f t="shared" ref="W7:W12" si="5">(MAX(U7-$U$4,0)-$V$4)*-1</f>
        <v>6</v>
      </c>
      <c r="X7" s="6">
        <f t="shared" ref="X7:X12" si="6">V7+W7</f>
        <v>7</v>
      </c>
    </row>
    <row r="8" spans="2:24" x14ac:dyDescent="0.3">
      <c r="G8" s="18">
        <f t="shared" ref="G8:G21" si="7">G7+50</f>
        <v>10100</v>
      </c>
      <c r="H8" s="6">
        <f t="shared" si="2"/>
        <v>-778</v>
      </c>
      <c r="I8" s="6">
        <f t="shared" si="3"/>
        <v>85</v>
      </c>
      <c r="J8" s="6">
        <f t="shared" si="0"/>
        <v>-693</v>
      </c>
      <c r="U8" s="18">
        <f t="shared" ref="U8:U12" si="8">U7+5</f>
        <v>100</v>
      </c>
      <c r="V8" s="6">
        <f t="shared" si="4"/>
        <v>6</v>
      </c>
      <c r="W8" s="6">
        <f t="shared" si="5"/>
        <v>6</v>
      </c>
      <c r="X8" s="6">
        <f t="shared" si="6"/>
        <v>12</v>
      </c>
    </row>
    <row r="9" spans="2:24" ht="15" thickBot="1" x14ac:dyDescent="0.35">
      <c r="G9" s="18">
        <f t="shared" si="7"/>
        <v>10150</v>
      </c>
      <c r="H9" s="6">
        <f t="shared" si="2"/>
        <v>-728</v>
      </c>
      <c r="I9" s="6">
        <f t="shared" si="3"/>
        <v>85</v>
      </c>
      <c r="J9" s="6">
        <f t="shared" si="0"/>
        <v>-643</v>
      </c>
      <c r="U9" s="18">
        <f t="shared" si="8"/>
        <v>105</v>
      </c>
      <c r="V9" s="6">
        <f t="shared" si="4"/>
        <v>6</v>
      </c>
      <c r="W9" s="6">
        <f t="shared" si="5"/>
        <v>1</v>
      </c>
      <c r="X9" s="6">
        <f t="shared" si="6"/>
        <v>7</v>
      </c>
    </row>
    <row r="10" spans="2:24" ht="15" thickBot="1" x14ac:dyDescent="0.35">
      <c r="G10" s="18">
        <f t="shared" si="7"/>
        <v>10200</v>
      </c>
      <c r="H10" s="6">
        <f t="shared" si="2"/>
        <v>-678</v>
      </c>
      <c r="I10" s="6">
        <f t="shared" si="3"/>
        <v>85</v>
      </c>
      <c r="J10" s="6">
        <f t="shared" si="0"/>
        <v>-593</v>
      </c>
      <c r="L10" s="151" t="s">
        <v>83</v>
      </c>
      <c r="M10" s="154"/>
      <c r="N10" s="154"/>
      <c r="O10" s="155"/>
      <c r="U10" s="18">
        <f t="shared" si="8"/>
        <v>110</v>
      </c>
      <c r="V10" s="6">
        <f t="shared" si="4"/>
        <v>6</v>
      </c>
      <c r="W10" s="6">
        <f t="shared" si="5"/>
        <v>-4</v>
      </c>
      <c r="X10" s="6">
        <f t="shared" si="6"/>
        <v>2</v>
      </c>
    </row>
    <row r="11" spans="2:24" x14ac:dyDescent="0.3">
      <c r="G11" s="18">
        <f t="shared" si="7"/>
        <v>10250</v>
      </c>
      <c r="H11" s="6">
        <f t="shared" si="2"/>
        <v>-628</v>
      </c>
      <c r="I11" s="6">
        <f t="shared" si="3"/>
        <v>85</v>
      </c>
      <c r="J11" s="6">
        <f t="shared" si="0"/>
        <v>-543</v>
      </c>
      <c r="U11" s="18">
        <f t="shared" si="8"/>
        <v>115</v>
      </c>
      <c r="V11" s="6">
        <f t="shared" si="4"/>
        <v>6</v>
      </c>
      <c r="W11" s="6">
        <f t="shared" si="5"/>
        <v>-9</v>
      </c>
      <c r="X11" s="6">
        <f t="shared" si="6"/>
        <v>-3</v>
      </c>
    </row>
    <row r="12" spans="2:24" ht="15" thickBot="1" x14ac:dyDescent="0.35">
      <c r="G12" s="18">
        <f t="shared" si="7"/>
        <v>10300</v>
      </c>
      <c r="H12" s="6">
        <f t="shared" si="2"/>
        <v>-578</v>
      </c>
      <c r="I12" s="6">
        <f t="shared" si="3"/>
        <v>85</v>
      </c>
      <c r="J12" s="6">
        <f t="shared" si="0"/>
        <v>-493</v>
      </c>
      <c r="U12" s="18">
        <f t="shared" si="8"/>
        <v>120</v>
      </c>
      <c r="V12" s="6">
        <f t="shared" si="4"/>
        <v>6</v>
      </c>
      <c r="W12" s="6">
        <f t="shared" si="5"/>
        <v>-14</v>
      </c>
      <c r="X12" s="6">
        <f t="shared" si="6"/>
        <v>-8</v>
      </c>
    </row>
    <row r="13" spans="2:24" x14ac:dyDescent="0.3">
      <c r="G13" s="18">
        <f t="shared" si="7"/>
        <v>10350</v>
      </c>
      <c r="H13" s="6">
        <f t="shared" si="2"/>
        <v>-528</v>
      </c>
      <c r="I13" s="6">
        <f t="shared" si="3"/>
        <v>85</v>
      </c>
      <c r="J13" s="6">
        <f t="shared" si="0"/>
        <v>-443</v>
      </c>
      <c r="L13" s="90" t="s">
        <v>84</v>
      </c>
      <c r="M13" s="156"/>
      <c r="N13" s="156"/>
      <c r="O13" s="157"/>
    </row>
    <row r="14" spans="2:24" ht="15" thickBot="1" x14ac:dyDescent="0.35">
      <c r="G14" s="18">
        <f t="shared" si="7"/>
        <v>10400</v>
      </c>
      <c r="H14" s="6">
        <f t="shared" si="2"/>
        <v>-478</v>
      </c>
      <c r="I14" s="6">
        <f t="shared" si="3"/>
        <v>85</v>
      </c>
      <c r="J14" s="6">
        <f t="shared" si="0"/>
        <v>-393</v>
      </c>
      <c r="L14" s="158"/>
      <c r="M14" s="159"/>
      <c r="N14" s="159"/>
      <c r="O14" s="160"/>
    </row>
    <row r="15" spans="2:24" x14ac:dyDescent="0.3">
      <c r="G15" s="18">
        <f t="shared" si="7"/>
        <v>10450</v>
      </c>
      <c r="H15" s="6">
        <f t="shared" si="2"/>
        <v>-428</v>
      </c>
      <c r="I15" s="6">
        <f t="shared" si="3"/>
        <v>85</v>
      </c>
      <c r="J15" s="6">
        <f t="shared" si="0"/>
        <v>-343</v>
      </c>
    </row>
    <row r="16" spans="2:24" x14ac:dyDescent="0.3">
      <c r="G16" s="18">
        <f t="shared" si="7"/>
        <v>10500</v>
      </c>
      <c r="H16" s="6">
        <f t="shared" si="2"/>
        <v>-378</v>
      </c>
      <c r="I16" s="6">
        <f t="shared" si="3"/>
        <v>85</v>
      </c>
      <c r="J16" s="6">
        <f t="shared" si="0"/>
        <v>-293</v>
      </c>
    </row>
    <row r="17" spans="7:11" x14ac:dyDescent="0.3">
      <c r="G17" s="18">
        <f t="shared" si="7"/>
        <v>10550</v>
      </c>
      <c r="H17" s="6">
        <f t="shared" si="2"/>
        <v>-328</v>
      </c>
      <c r="I17" s="6">
        <f t="shared" si="3"/>
        <v>85</v>
      </c>
      <c r="J17" s="6">
        <f t="shared" si="0"/>
        <v>-243</v>
      </c>
    </row>
    <row r="18" spans="7:11" x14ac:dyDescent="0.3">
      <c r="G18" s="18">
        <f t="shared" si="7"/>
        <v>10600</v>
      </c>
      <c r="H18" s="6">
        <f t="shared" si="2"/>
        <v>-278</v>
      </c>
      <c r="I18" s="6">
        <f t="shared" si="3"/>
        <v>85</v>
      </c>
      <c r="J18" s="6">
        <f t="shared" si="0"/>
        <v>-193</v>
      </c>
    </row>
    <row r="19" spans="7:11" x14ac:dyDescent="0.3">
      <c r="G19" s="18">
        <f t="shared" si="7"/>
        <v>10650</v>
      </c>
      <c r="H19" s="6">
        <f t="shared" si="2"/>
        <v>-228</v>
      </c>
      <c r="I19" s="6">
        <f t="shared" si="3"/>
        <v>85</v>
      </c>
      <c r="J19" s="6">
        <f t="shared" si="0"/>
        <v>-143</v>
      </c>
    </row>
    <row r="20" spans="7:11" x14ac:dyDescent="0.3">
      <c r="G20" s="18">
        <f t="shared" si="7"/>
        <v>10700</v>
      </c>
      <c r="H20" s="6">
        <f t="shared" si="2"/>
        <v>-178</v>
      </c>
      <c r="I20" s="6">
        <f t="shared" si="3"/>
        <v>85</v>
      </c>
      <c r="J20" s="6">
        <f t="shared" si="0"/>
        <v>-93</v>
      </c>
    </row>
    <row r="21" spans="7:11" x14ac:dyDescent="0.3">
      <c r="G21" s="18">
        <f t="shared" si="7"/>
        <v>10750</v>
      </c>
      <c r="H21" s="6">
        <f t="shared" si="2"/>
        <v>-128</v>
      </c>
      <c r="I21" s="6">
        <f t="shared" si="3"/>
        <v>85</v>
      </c>
      <c r="J21" s="6">
        <f t="shared" si="0"/>
        <v>-43</v>
      </c>
    </row>
    <row r="22" spans="7:11" x14ac:dyDescent="0.3">
      <c r="G22" s="18">
        <f>G23-7</f>
        <v>10793</v>
      </c>
      <c r="H22" s="6">
        <f t="shared" si="2"/>
        <v>-85</v>
      </c>
      <c r="I22" s="6">
        <f t="shared" si="3"/>
        <v>85</v>
      </c>
      <c r="J22" s="15">
        <f t="shared" si="0"/>
        <v>0</v>
      </c>
      <c r="K22" s="4" t="s">
        <v>23</v>
      </c>
    </row>
    <row r="23" spans="7:11" x14ac:dyDescent="0.3">
      <c r="G23" s="18">
        <f>G21+50</f>
        <v>10800</v>
      </c>
      <c r="H23" s="6">
        <f t="shared" ref="H23:H48" si="9">(MAX($I$4-G23,0)-$J$4)*-1</f>
        <v>-78</v>
      </c>
      <c r="I23" s="6">
        <f t="shared" ref="I23:I48" si="10">(MAX(G23-$G$4,0)-$H$4)*-1</f>
        <v>85</v>
      </c>
      <c r="J23" s="6">
        <f t="shared" ref="J23:J48" si="11">H23+I23</f>
        <v>7</v>
      </c>
    </row>
    <row r="24" spans="7:11" x14ac:dyDescent="0.3">
      <c r="G24" s="18">
        <f t="shared" ref="G24:G31" si="12">G23+50</f>
        <v>10850</v>
      </c>
      <c r="H24" s="6">
        <f t="shared" si="9"/>
        <v>-28</v>
      </c>
      <c r="I24" s="6">
        <f t="shared" si="10"/>
        <v>85</v>
      </c>
      <c r="J24" s="6">
        <f t="shared" si="11"/>
        <v>57</v>
      </c>
    </row>
    <row r="25" spans="7:11" x14ac:dyDescent="0.3">
      <c r="G25" s="18">
        <f t="shared" si="12"/>
        <v>10900</v>
      </c>
      <c r="H25" s="6">
        <f t="shared" si="9"/>
        <v>22</v>
      </c>
      <c r="I25" s="6">
        <f t="shared" si="10"/>
        <v>85</v>
      </c>
      <c r="J25" s="6">
        <f t="shared" si="11"/>
        <v>107</v>
      </c>
    </row>
    <row r="26" spans="7:11" x14ac:dyDescent="0.3">
      <c r="G26" s="18">
        <f t="shared" si="12"/>
        <v>10950</v>
      </c>
      <c r="H26" s="6">
        <f t="shared" si="9"/>
        <v>72</v>
      </c>
      <c r="I26" s="6">
        <f t="shared" si="10"/>
        <v>85</v>
      </c>
      <c r="J26" s="6">
        <f t="shared" si="11"/>
        <v>157</v>
      </c>
    </row>
    <row r="27" spans="7:11" x14ac:dyDescent="0.3">
      <c r="G27" s="18">
        <f t="shared" si="12"/>
        <v>11000</v>
      </c>
      <c r="H27" s="6">
        <f t="shared" si="9"/>
        <v>122</v>
      </c>
      <c r="I27" s="6">
        <f t="shared" si="10"/>
        <v>85</v>
      </c>
      <c r="J27" s="6">
        <f t="shared" si="11"/>
        <v>207</v>
      </c>
    </row>
    <row r="28" spans="7:11" x14ac:dyDescent="0.3">
      <c r="G28" s="18">
        <f t="shared" si="12"/>
        <v>11050</v>
      </c>
      <c r="H28" s="6">
        <f t="shared" si="9"/>
        <v>122</v>
      </c>
      <c r="I28" s="6">
        <f t="shared" si="10"/>
        <v>35</v>
      </c>
      <c r="J28" s="6">
        <f t="shared" si="11"/>
        <v>157</v>
      </c>
    </row>
    <row r="29" spans="7:11" x14ac:dyDescent="0.3">
      <c r="G29" s="18">
        <f t="shared" si="12"/>
        <v>11100</v>
      </c>
      <c r="H29" s="6">
        <f t="shared" si="9"/>
        <v>122</v>
      </c>
      <c r="I29" s="6">
        <f t="shared" si="10"/>
        <v>-15</v>
      </c>
      <c r="J29" s="6">
        <f t="shared" si="11"/>
        <v>107</v>
      </c>
    </row>
    <row r="30" spans="7:11" x14ac:dyDescent="0.3">
      <c r="G30" s="18">
        <f t="shared" si="12"/>
        <v>11150</v>
      </c>
      <c r="H30" s="6">
        <f t="shared" si="9"/>
        <v>122</v>
      </c>
      <c r="I30" s="6">
        <f t="shared" si="10"/>
        <v>-65</v>
      </c>
      <c r="J30" s="6">
        <f t="shared" si="11"/>
        <v>57</v>
      </c>
    </row>
    <row r="31" spans="7:11" x14ac:dyDescent="0.3">
      <c r="G31" s="18">
        <f t="shared" si="12"/>
        <v>11200</v>
      </c>
      <c r="H31" s="6">
        <f t="shared" si="9"/>
        <v>122</v>
      </c>
      <c r="I31" s="6">
        <f t="shared" si="10"/>
        <v>-115</v>
      </c>
      <c r="J31" s="6">
        <f t="shared" si="11"/>
        <v>7</v>
      </c>
    </row>
    <row r="32" spans="7:11" x14ac:dyDescent="0.3">
      <c r="G32" s="18">
        <f>G31+7</f>
        <v>11207</v>
      </c>
      <c r="H32" s="6">
        <f t="shared" si="9"/>
        <v>122</v>
      </c>
      <c r="I32" s="6">
        <f t="shared" si="10"/>
        <v>-122</v>
      </c>
      <c r="J32" s="15">
        <f t="shared" si="11"/>
        <v>0</v>
      </c>
      <c r="K32" s="4" t="s">
        <v>24</v>
      </c>
    </row>
    <row r="33" spans="7:10" x14ac:dyDescent="0.3">
      <c r="G33" s="18">
        <f>G31+50</f>
        <v>11250</v>
      </c>
      <c r="H33" s="6">
        <f t="shared" si="9"/>
        <v>122</v>
      </c>
      <c r="I33" s="6">
        <f t="shared" si="10"/>
        <v>-165</v>
      </c>
      <c r="J33" s="6">
        <f t="shared" si="11"/>
        <v>-43</v>
      </c>
    </row>
    <row r="34" spans="7:10" x14ac:dyDescent="0.3">
      <c r="G34" s="18">
        <f t="shared" ref="G34:G48" si="13">G33+50</f>
        <v>11300</v>
      </c>
      <c r="H34" s="6">
        <f t="shared" si="9"/>
        <v>122</v>
      </c>
      <c r="I34" s="6">
        <f t="shared" si="10"/>
        <v>-215</v>
      </c>
      <c r="J34" s="6">
        <f t="shared" si="11"/>
        <v>-93</v>
      </c>
    </row>
    <row r="35" spans="7:10" x14ac:dyDescent="0.3">
      <c r="G35" s="18">
        <f t="shared" si="13"/>
        <v>11350</v>
      </c>
      <c r="H35" s="6">
        <f t="shared" si="9"/>
        <v>122</v>
      </c>
      <c r="I35" s="6">
        <f t="shared" si="10"/>
        <v>-265</v>
      </c>
      <c r="J35" s="6">
        <f t="shared" si="11"/>
        <v>-143</v>
      </c>
    </row>
    <row r="36" spans="7:10" x14ac:dyDescent="0.3">
      <c r="G36" s="18">
        <f t="shared" si="13"/>
        <v>11400</v>
      </c>
      <c r="H36" s="6">
        <f t="shared" si="9"/>
        <v>122</v>
      </c>
      <c r="I36" s="6">
        <f t="shared" si="10"/>
        <v>-315</v>
      </c>
      <c r="J36" s="6">
        <f t="shared" si="11"/>
        <v>-193</v>
      </c>
    </row>
    <row r="37" spans="7:10" x14ac:dyDescent="0.3">
      <c r="G37" s="18">
        <f t="shared" si="13"/>
        <v>11450</v>
      </c>
      <c r="H37" s="6">
        <f t="shared" si="9"/>
        <v>122</v>
      </c>
      <c r="I37" s="6">
        <f t="shared" si="10"/>
        <v>-365</v>
      </c>
      <c r="J37" s="6">
        <f t="shared" si="11"/>
        <v>-243</v>
      </c>
    </row>
    <row r="38" spans="7:10" x14ac:dyDescent="0.3">
      <c r="G38" s="18">
        <f t="shared" si="13"/>
        <v>11500</v>
      </c>
      <c r="H38" s="6">
        <f t="shared" si="9"/>
        <v>122</v>
      </c>
      <c r="I38" s="6">
        <f t="shared" si="10"/>
        <v>-415</v>
      </c>
      <c r="J38" s="6">
        <f t="shared" si="11"/>
        <v>-293</v>
      </c>
    </row>
    <row r="39" spans="7:10" x14ac:dyDescent="0.3">
      <c r="G39" s="18">
        <f t="shared" si="13"/>
        <v>11550</v>
      </c>
      <c r="H39" s="6">
        <f t="shared" si="9"/>
        <v>122</v>
      </c>
      <c r="I39" s="6">
        <f t="shared" si="10"/>
        <v>-465</v>
      </c>
      <c r="J39" s="6">
        <f t="shared" si="11"/>
        <v>-343</v>
      </c>
    </row>
    <row r="40" spans="7:10" x14ac:dyDescent="0.3">
      <c r="G40" s="18">
        <f t="shared" si="13"/>
        <v>11600</v>
      </c>
      <c r="H40" s="6">
        <f t="shared" si="9"/>
        <v>122</v>
      </c>
      <c r="I40" s="6">
        <f t="shared" si="10"/>
        <v>-515</v>
      </c>
      <c r="J40" s="6">
        <f t="shared" si="11"/>
        <v>-393</v>
      </c>
    </row>
    <row r="41" spans="7:10" x14ac:dyDescent="0.3">
      <c r="G41" s="18">
        <f t="shared" si="13"/>
        <v>11650</v>
      </c>
      <c r="H41" s="6">
        <f t="shared" si="9"/>
        <v>122</v>
      </c>
      <c r="I41" s="6">
        <f t="shared" si="10"/>
        <v>-565</v>
      </c>
      <c r="J41" s="6">
        <f t="shared" si="11"/>
        <v>-443</v>
      </c>
    </row>
    <row r="42" spans="7:10" x14ac:dyDescent="0.3">
      <c r="G42" s="18">
        <f t="shared" si="13"/>
        <v>11700</v>
      </c>
      <c r="H42" s="6">
        <f t="shared" si="9"/>
        <v>122</v>
      </c>
      <c r="I42" s="6">
        <f t="shared" si="10"/>
        <v>-615</v>
      </c>
      <c r="J42" s="6">
        <f t="shared" si="11"/>
        <v>-493</v>
      </c>
    </row>
    <row r="43" spans="7:10" x14ac:dyDescent="0.3">
      <c r="G43" s="18">
        <f t="shared" si="13"/>
        <v>11750</v>
      </c>
      <c r="H43" s="6">
        <f t="shared" si="9"/>
        <v>122</v>
      </c>
      <c r="I43" s="6">
        <f t="shared" si="10"/>
        <v>-665</v>
      </c>
      <c r="J43" s="6">
        <f t="shared" si="11"/>
        <v>-543</v>
      </c>
    </row>
    <row r="44" spans="7:10" x14ac:dyDescent="0.3">
      <c r="G44" s="18">
        <f t="shared" si="13"/>
        <v>11800</v>
      </c>
      <c r="H44" s="6">
        <f t="shared" si="9"/>
        <v>122</v>
      </c>
      <c r="I44" s="6">
        <f t="shared" si="10"/>
        <v>-715</v>
      </c>
      <c r="J44" s="6">
        <f t="shared" si="11"/>
        <v>-593</v>
      </c>
    </row>
    <row r="45" spans="7:10" x14ac:dyDescent="0.3">
      <c r="G45" s="18">
        <f t="shared" si="13"/>
        <v>11850</v>
      </c>
      <c r="H45" s="6">
        <f t="shared" si="9"/>
        <v>122</v>
      </c>
      <c r="I45" s="6">
        <f t="shared" si="10"/>
        <v>-765</v>
      </c>
      <c r="J45" s="6">
        <f t="shared" si="11"/>
        <v>-643</v>
      </c>
    </row>
    <row r="46" spans="7:10" x14ac:dyDescent="0.3">
      <c r="G46" s="18">
        <f t="shared" si="13"/>
        <v>11900</v>
      </c>
      <c r="H46" s="6">
        <f t="shared" si="9"/>
        <v>122</v>
      </c>
      <c r="I46" s="6">
        <f t="shared" si="10"/>
        <v>-815</v>
      </c>
      <c r="J46" s="6">
        <f t="shared" si="11"/>
        <v>-693</v>
      </c>
    </row>
    <row r="47" spans="7:10" x14ac:dyDescent="0.3">
      <c r="G47" s="18">
        <f t="shared" si="13"/>
        <v>11950</v>
      </c>
      <c r="H47" s="6">
        <f t="shared" si="9"/>
        <v>122</v>
      </c>
      <c r="I47" s="6">
        <f t="shared" si="10"/>
        <v>-865</v>
      </c>
      <c r="J47" s="6">
        <f t="shared" si="11"/>
        <v>-743</v>
      </c>
    </row>
    <row r="48" spans="7:10" x14ac:dyDescent="0.3">
      <c r="G48" s="18">
        <f t="shared" si="13"/>
        <v>12000</v>
      </c>
      <c r="H48" s="6">
        <f t="shared" si="9"/>
        <v>122</v>
      </c>
      <c r="I48" s="6">
        <f t="shared" si="10"/>
        <v>-915</v>
      </c>
      <c r="J48" s="6">
        <f t="shared" si="11"/>
        <v>-793</v>
      </c>
    </row>
    <row r="49" spans="7:7" x14ac:dyDescent="0.3">
      <c r="G49" s="16"/>
    </row>
    <row r="50" spans="7:7" x14ac:dyDescent="0.3">
      <c r="G50" s="16"/>
    </row>
    <row r="51" spans="7:7" x14ac:dyDescent="0.3">
      <c r="G51" s="16"/>
    </row>
    <row r="52" spans="7:7" x14ac:dyDescent="0.3">
      <c r="G52" s="16"/>
    </row>
    <row r="53" spans="7:7" x14ac:dyDescent="0.3">
      <c r="G53" s="16"/>
    </row>
    <row r="54" spans="7:7" x14ac:dyDescent="0.3">
      <c r="G54" s="16"/>
    </row>
    <row r="55" spans="7:7" x14ac:dyDescent="0.3">
      <c r="G55" s="16"/>
    </row>
    <row r="56" spans="7:7" x14ac:dyDescent="0.3">
      <c r="G56" s="16"/>
    </row>
    <row r="57" spans="7:7" x14ac:dyDescent="0.3">
      <c r="G57" s="16"/>
    </row>
    <row r="58" spans="7:7" x14ac:dyDescent="0.3">
      <c r="G58" s="16"/>
    </row>
    <row r="59" spans="7:7" x14ac:dyDescent="0.3">
      <c r="G59" s="16"/>
    </row>
    <row r="60" spans="7:7" x14ac:dyDescent="0.3">
      <c r="G60" s="16"/>
    </row>
    <row r="61" spans="7:7" x14ac:dyDescent="0.3">
      <c r="G61" s="16"/>
    </row>
    <row r="62" spans="7:7" x14ac:dyDescent="0.3">
      <c r="G62" s="16"/>
    </row>
    <row r="63" spans="7:7" x14ac:dyDescent="0.3">
      <c r="G63" s="16"/>
    </row>
    <row r="64" spans="7:7" x14ac:dyDescent="0.3">
      <c r="G64" s="16"/>
    </row>
    <row r="65" spans="7:7" x14ac:dyDescent="0.3">
      <c r="G65" s="16"/>
    </row>
    <row r="66" spans="7:7" x14ac:dyDescent="0.3">
      <c r="G66" s="16"/>
    </row>
    <row r="67" spans="7:7" x14ac:dyDescent="0.3">
      <c r="G67" s="16"/>
    </row>
    <row r="68" spans="7:7" x14ac:dyDescent="0.3">
      <c r="G68" s="16"/>
    </row>
    <row r="69" spans="7:7" x14ac:dyDescent="0.3">
      <c r="G69" s="16"/>
    </row>
    <row r="70" spans="7:7" x14ac:dyDescent="0.3">
      <c r="G70" s="16"/>
    </row>
    <row r="71" spans="7:7" x14ac:dyDescent="0.3">
      <c r="G71" s="16"/>
    </row>
    <row r="72" spans="7:7" x14ac:dyDescent="0.3">
      <c r="G72" s="16"/>
    </row>
    <row r="73" spans="7:7" x14ac:dyDescent="0.3">
      <c r="G73" s="16"/>
    </row>
    <row r="74" spans="7:7" x14ac:dyDescent="0.3">
      <c r="G74" s="16"/>
    </row>
    <row r="75" spans="7:7" x14ac:dyDescent="0.3">
      <c r="G75" s="16"/>
    </row>
    <row r="76" spans="7:7" x14ac:dyDescent="0.3">
      <c r="G76" s="16"/>
    </row>
    <row r="77" spans="7:7" x14ac:dyDescent="0.3">
      <c r="G77" s="16"/>
    </row>
    <row r="78" spans="7:7" x14ac:dyDescent="0.3">
      <c r="G78" s="16"/>
    </row>
    <row r="79" spans="7:7" x14ac:dyDescent="0.3">
      <c r="G79" s="16"/>
    </row>
    <row r="80" spans="7:7" x14ac:dyDescent="0.3">
      <c r="G80" s="16"/>
    </row>
    <row r="81" spans="7:7" x14ac:dyDescent="0.3">
      <c r="G81" s="16"/>
    </row>
    <row r="82" spans="7:7" x14ac:dyDescent="0.3">
      <c r="G82" s="16"/>
    </row>
    <row r="83" spans="7:7" x14ac:dyDescent="0.3">
      <c r="G83" s="16"/>
    </row>
    <row r="84" spans="7:7" x14ac:dyDescent="0.3">
      <c r="G84" s="16"/>
    </row>
  </sheetData>
  <sheetProtection algorithmName="SHA-512" hashValue="JQ+i5o1soho0kAPWXevTf2Qa4FiTtClztshRhJK5JBlnKMwihYJiJQc3bblc0rjvi8YAZwYYFug9+5Ls/cgKHA==" saltValue="pV+brOXg22DM3KG2p0wt0w==" spinCount="100000" sheet="1" objects="1" scenarios="1"/>
  <mergeCells count="5">
    <mergeCell ref="B3:E7"/>
    <mergeCell ref="L4:O7"/>
    <mergeCell ref="L3:O3"/>
    <mergeCell ref="L10:O10"/>
    <mergeCell ref="L13:O14"/>
  </mergeCells>
  <conditionalFormatting sqref="H6:H48">
    <cfRule type="cellIs" dxfId="77" priority="7" operator="greaterThan">
      <formula>0</formula>
    </cfRule>
    <cfRule type="cellIs" dxfId="76" priority="11" operator="lessThan">
      <formula>$G$9</formula>
    </cfRule>
    <cfRule type="cellIs" dxfId="75" priority="12" operator="greaterThan">
      <formula>0</formula>
    </cfRule>
  </conditionalFormatting>
  <conditionalFormatting sqref="I6:J48">
    <cfRule type="cellIs" dxfId="74" priority="8" operator="lessThan">
      <formula>0</formula>
    </cfRule>
    <cfRule type="cellIs" dxfId="73" priority="9" operator="lessThan">
      <formula>#REF!</formula>
    </cfRule>
    <cfRule type="cellIs" dxfId="72" priority="10" operator="greaterThan">
      <formula>0</formula>
    </cfRule>
  </conditionalFormatting>
  <conditionalFormatting sqref="V6:V12">
    <cfRule type="cellIs" dxfId="71" priority="1" operator="greaterThan">
      <formula>0</formula>
    </cfRule>
    <cfRule type="cellIs" dxfId="70" priority="5" operator="lessThan">
      <formula>$G$9</formula>
    </cfRule>
    <cfRule type="cellIs" dxfId="69" priority="6" operator="greaterThan">
      <formula>0</formula>
    </cfRule>
  </conditionalFormatting>
  <conditionalFormatting sqref="W6:X12">
    <cfRule type="cellIs" dxfId="68" priority="2" operator="lessThan">
      <formula>0</formula>
    </cfRule>
    <cfRule type="cellIs" dxfId="67" priority="3" operator="lessThan">
      <formula>#REF!</formula>
    </cfRule>
    <cfRule type="cellIs" dxfId="66" priority="4" operator="greaterThan">
      <formula>0</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89326-3CBB-466C-9FA9-8943B2E6E7FA}">
  <sheetPr codeName="Sheet11"/>
  <dimension ref="B2:X167"/>
  <sheetViews>
    <sheetView topLeftCell="C1" zoomScale="93" workbookViewId="0">
      <selection activeCell="X21" sqref="X21"/>
    </sheetView>
  </sheetViews>
  <sheetFormatPr defaultRowHeight="14.4" x14ac:dyDescent="0.3"/>
  <cols>
    <col min="8" max="8" width="11.33203125" bestFit="1" customWidth="1"/>
    <col min="9" max="9" width="9.5546875" bestFit="1" customWidth="1"/>
    <col min="10" max="10" width="9.6640625" bestFit="1" customWidth="1"/>
    <col min="11" max="11" width="8.44140625" bestFit="1" customWidth="1"/>
    <col min="21" max="21" width="11.33203125" bestFit="1" customWidth="1"/>
  </cols>
  <sheetData>
    <row r="2" spans="2:24" ht="15" thickBot="1" x14ac:dyDescent="0.35"/>
    <row r="3" spans="2:24" x14ac:dyDescent="0.3">
      <c r="B3" s="136" t="s">
        <v>88</v>
      </c>
      <c r="C3" s="137"/>
      <c r="D3" s="137"/>
      <c r="E3" s="137"/>
      <c r="F3" s="138"/>
      <c r="H3" s="1" t="s">
        <v>52</v>
      </c>
      <c r="I3" s="1" t="s">
        <v>51</v>
      </c>
      <c r="J3" s="1" t="s">
        <v>52</v>
      </c>
      <c r="K3" s="1" t="s">
        <v>75</v>
      </c>
      <c r="M3" s="51" t="s">
        <v>71</v>
      </c>
      <c r="N3" s="52"/>
      <c r="O3" s="52"/>
      <c r="P3" s="53"/>
      <c r="U3" s="1" t="s">
        <v>52</v>
      </c>
      <c r="V3" s="1" t="s">
        <v>51</v>
      </c>
      <c r="W3" s="1" t="s">
        <v>52</v>
      </c>
      <c r="X3" s="1" t="s">
        <v>75</v>
      </c>
    </row>
    <row r="4" spans="2:24" x14ac:dyDescent="0.3">
      <c r="B4" s="105"/>
      <c r="C4" s="106"/>
      <c r="D4" s="106"/>
      <c r="E4" s="106"/>
      <c r="F4" s="107"/>
      <c r="H4" s="19">
        <v>22200</v>
      </c>
      <c r="I4" s="19">
        <v>23</v>
      </c>
      <c r="J4" s="19">
        <v>21800</v>
      </c>
      <c r="K4" s="19">
        <v>43</v>
      </c>
      <c r="M4" s="54" t="s">
        <v>89</v>
      </c>
      <c r="N4" s="55"/>
      <c r="O4" s="55"/>
      <c r="P4" s="56"/>
      <c r="U4" s="19">
        <v>105</v>
      </c>
      <c r="V4" s="19">
        <v>4</v>
      </c>
      <c r="W4" s="19">
        <v>95</v>
      </c>
      <c r="X4" s="19">
        <v>3</v>
      </c>
    </row>
    <row r="5" spans="2:24" x14ac:dyDescent="0.3">
      <c r="B5" s="105"/>
      <c r="C5" s="106"/>
      <c r="D5" s="106"/>
      <c r="E5" s="106"/>
      <c r="F5" s="107"/>
      <c r="H5" s="1" t="s">
        <v>4</v>
      </c>
      <c r="I5" s="17" t="s">
        <v>75</v>
      </c>
      <c r="J5" s="1" t="s">
        <v>51</v>
      </c>
      <c r="K5" s="1" t="s">
        <v>37</v>
      </c>
      <c r="M5" s="54"/>
      <c r="N5" s="55"/>
      <c r="O5" s="55"/>
      <c r="P5" s="56"/>
      <c r="U5" s="1" t="s">
        <v>4</v>
      </c>
      <c r="V5" s="17" t="s">
        <v>75</v>
      </c>
      <c r="W5" s="1" t="s">
        <v>51</v>
      </c>
      <c r="X5" s="1" t="s">
        <v>37</v>
      </c>
    </row>
    <row r="6" spans="2:24" ht="15" thickBot="1" x14ac:dyDescent="0.35">
      <c r="B6" s="105"/>
      <c r="C6" s="106"/>
      <c r="D6" s="106"/>
      <c r="E6" s="106"/>
      <c r="F6" s="107"/>
      <c r="H6" s="19">
        <v>21000</v>
      </c>
      <c r="I6" s="6">
        <f>(MAX($J$4-H6,0)-$K$4)</f>
        <v>757</v>
      </c>
      <c r="J6" s="6">
        <f t="shared" ref="J6" si="0">MAX(H6-$H$4,0)-$I$4</f>
        <v>-23</v>
      </c>
      <c r="K6" s="6">
        <f t="shared" ref="K6" si="1">I6+J6</f>
        <v>734</v>
      </c>
      <c r="M6" s="57"/>
      <c r="N6" s="58"/>
      <c r="O6" s="58"/>
      <c r="P6" s="59"/>
      <c r="U6" s="16">
        <f t="shared" ref="U6:U7" si="2">U7-5</f>
        <v>75</v>
      </c>
      <c r="V6" s="6">
        <f t="shared" ref="V6:V8" si="3">(MAX($W$4-U6,0)-$X$4)</f>
        <v>17</v>
      </c>
      <c r="W6" s="6">
        <f t="shared" ref="W6:W8" si="4">MAX(U6-$U$4,0)-$V$4</f>
        <v>-4</v>
      </c>
      <c r="X6" s="6">
        <f t="shared" ref="X6:X8" si="5">V6+W6</f>
        <v>13</v>
      </c>
    </row>
    <row r="7" spans="2:24" x14ac:dyDescent="0.3">
      <c r="B7" s="105"/>
      <c r="C7" s="106"/>
      <c r="D7" s="106"/>
      <c r="E7" s="106"/>
      <c r="F7" s="107"/>
      <c r="H7" s="16">
        <f>H6+50</f>
        <v>21050</v>
      </c>
      <c r="I7" s="6">
        <f t="shared" ref="I7:I21" si="6">(MAX($J$4-H7,0)-$K$4)</f>
        <v>707</v>
      </c>
      <c r="J7" s="6">
        <f t="shared" ref="J7:J21" si="7">MAX(H7-$H$4,0)-$I$4</f>
        <v>-23</v>
      </c>
      <c r="K7" s="6">
        <f t="shared" ref="K7:K21" si="8">I7+J7</f>
        <v>684</v>
      </c>
      <c r="U7" s="16">
        <f t="shared" si="2"/>
        <v>80</v>
      </c>
      <c r="V7" s="6">
        <f t="shared" si="3"/>
        <v>12</v>
      </c>
      <c r="W7" s="6">
        <f t="shared" si="4"/>
        <v>-4</v>
      </c>
      <c r="X7" s="6">
        <f t="shared" si="5"/>
        <v>8</v>
      </c>
    </row>
    <row r="8" spans="2:24" ht="15" thickBot="1" x14ac:dyDescent="0.35">
      <c r="B8" s="108"/>
      <c r="C8" s="109"/>
      <c r="D8" s="109"/>
      <c r="E8" s="109"/>
      <c r="F8" s="110"/>
      <c r="H8" s="16">
        <f t="shared" ref="H8:H20" si="9">H7+50</f>
        <v>21100</v>
      </c>
      <c r="I8" s="6">
        <f t="shared" si="6"/>
        <v>657</v>
      </c>
      <c r="J8" s="6">
        <f t="shared" si="7"/>
        <v>-23</v>
      </c>
      <c r="K8" s="6">
        <f t="shared" si="8"/>
        <v>634</v>
      </c>
      <c r="U8" s="16">
        <f>U9-5</f>
        <v>85</v>
      </c>
      <c r="V8" s="6">
        <f t="shared" si="3"/>
        <v>7</v>
      </c>
      <c r="W8" s="6">
        <f t="shared" si="4"/>
        <v>-4</v>
      </c>
      <c r="X8" s="6">
        <f t="shared" si="5"/>
        <v>3</v>
      </c>
    </row>
    <row r="9" spans="2:24" ht="15" thickBot="1" x14ac:dyDescent="0.35">
      <c r="H9" s="16">
        <f t="shared" si="9"/>
        <v>21150</v>
      </c>
      <c r="I9" s="6">
        <f t="shared" si="6"/>
        <v>607</v>
      </c>
      <c r="J9" s="6">
        <f t="shared" si="7"/>
        <v>-23</v>
      </c>
      <c r="K9" s="6">
        <f t="shared" si="8"/>
        <v>584</v>
      </c>
      <c r="M9" s="151" t="s">
        <v>90</v>
      </c>
      <c r="N9" s="152"/>
      <c r="O9" s="152"/>
      <c r="P9" s="153"/>
      <c r="U9" s="19">
        <v>90</v>
      </c>
      <c r="V9" s="6">
        <f>(MAX($W$4-U9,0)-$X$4)</f>
        <v>2</v>
      </c>
      <c r="W9" s="6">
        <f>MAX(U9-$U$4,0)-$V$4</f>
        <v>-4</v>
      </c>
      <c r="X9" s="6">
        <f t="shared" ref="X9" si="10">V9+W9</f>
        <v>-2</v>
      </c>
    </row>
    <row r="10" spans="2:24" x14ac:dyDescent="0.3">
      <c r="H10" s="16">
        <f t="shared" si="9"/>
        <v>21200</v>
      </c>
      <c r="I10" s="6">
        <f t="shared" si="6"/>
        <v>557</v>
      </c>
      <c r="J10" s="6">
        <f t="shared" si="7"/>
        <v>-23</v>
      </c>
      <c r="K10" s="6">
        <f t="shared" si="8"/>
        <v>534</v>
      </c>
      <c r="U10" s="16">
        <f>U9+5</f>
        <v>95</v>
      </c>
      <c r="V10" s="6">
        <f t="shared" ref="V10:V16" si="11">(MAX($W$4-U10,0)-$X$4)</f>
        <v>-3</v>
      </c>
      <c r="W10" s="6">
        <f t="shared" ref="W10:W12" si="12">MAX(U10-$U$4,0)-$V$4</f>
        <v>-4</v>
      </c>
      <c r="X10" s="6">
        <f t="shared" ref="X10:X12" si="13">V10+W10</f>
        <v>-7</v>
      </c>
    </row>
    <row r="11" spans="2:24" x14ac:dyDescent="0.3">
      <c r="H11" s="16">
        <f t="shared" si="9"/>
        <v>21250</v>
      </c>
      <c r="I11" s="6">
        <f t="shared" si="6"/>
        <v>507</v>
      </c>
      <c r="J11" s="6">
        <f t="shared" si="7"/>
        <v>-23</v>
      </c>
      <c r="K11" s="6">
        <f t="shared" si="8"/>
        <v>484</v>
      </c>
      <c r="U11" s="16">
        <f t="shared" ref="U11:U16" si="14">U10+5</f>
        <v>100</v>
      </c>
      <c r="V11" s="6">
        <f t="shared" si="11"/>
        <v>-3</v>
      </c>
      <c r="W11" s="6">
        <f t="shared" si="12"/>
        <v>-4</v>
      </c>
      <c r="X11" s="6">
        <f t="shared" si="13"/>
        <v>-7</v>
      </c>
    </row>
    <row r="12" spans="2:24" x14ac:dyDescent="0.3">
      <c r="H12" s="16">
        <f t="shared" si="9"/>
        <v>21300</v>
      </c>
      <c r="I12" s="6">
        <f t="shared" si="6"/>
        <v>457</v>
      </c>
      <c r="J12" s="6">
        <f t="shared" si="7"/>
        <v>-23</v>
      </c>
      <c r="K12" s="6">
        <f t="shared" si="8"/>
        <v>434</v>
      </c>
      <c r="M12" s="50" t="s">
        <v>91</v>
      </c>
      <c r="N12" s="50"/>
      <c r="O12" s="50"/>
      <c r="P12" s="50"/>
      <c r="U12" s="16">
        <f t="shared" si="14"/>
        <v>105</v>
      </c>
      <c r="V12" s="6">
        <f t="shared" si="11"/>
        <v>-3</v>
      </c>
      <c r="W12" s="6">
        <f t="shared" si="12"/>
        <v>-4</v>
      </c>
      <c r="X12" s="6">
        <f t="shared" si="13"/>
        <v>-7</v>
      </c>
    </row>
    <row r="13" spans="2:24" x14ac:dyDescent="0.3">
      <c r="H13" s="16">
        <f t="shared" si="9"/>
        <v>21350</v>
      </c>
      <c r="I13" s="6">
        <f t="shared" si="6"/>
        <v>407</v>
      </c>
      <c r="J13" s="6">
        <f t="shared" si="7"/>
        <v>-23</v>
      </c>
      <c r="K13" s="6">
        <f t="shared" si="8"/>
        <v>384</v>
      </c>
      <c r="U13" s="16">
        <f t="shared" si="14"/>
        <v>110</v>
      </c>
      <c r="V13" s="6">
        <f t="shared" si="11"/>
        <v>-3</v>
      </c>
      <c r="W13" s="6">
        <f t="shared" ref="W13:W16" si="15">MAX(U13-$U$4,0)-$V$4</f>
        <v>1</v>
      </c>
      <c r="X13" s="6">
        <f t="shared" ref="X13:X16" si="16">V13+W13</f>
        <v>-2</v>
      </c>
    </row>
    <row r="14" spans="2:24" x14ac:dyDescent="0.3">
      <c r="H14" s="16">
        <f t="shared" si="9"/>
        <v>21400</v>
      </c>
      <c r="I14" s="6">
        <f t="shared" si="6"/>
        <v>357</v>
      </c>
      <c r="J14" s="6">
        <f t="shared" si="7"/>
        <v>-23</v>
      </c>
      <c r="K14" s="6">
        <f t="shared" si="8"/>
        <v>334</v>
      </c>
      <c r="U14" s="16">
        <f t="shared" si="14"/>
        <v>115</v>
      </c>
      <c r="V14" s="6">
        <f t="shared" si="11"/>
        <v>-3</v>
      </c>
      <c r="W14" s="6">
        <f t="shared" si="15"/>
        <v>6</v>
      </c>
      <c r="X14" s="6">
        <f t="shared" si="16"/>
        <v>3</v>
      </c>
    </row>
    <row r="15" spans="2:24" x14ac:dyDescent="0.3">
      <c r="H15" s="16">
        <f t="shared" si="9"/>
        <v>21450</v>
      </c>
      <c r="I15" s="6">
        <f t="shared" si="6"/>
        <v>307</v>
      </c>
      <c r="J15" s="6">
        <f t="shared" si="7"/>
        <v>-23</v>
      </c>
      <c r="K15" s="6">
        <f t="shared" si="8"/>
        <v>284</v>
      </c>
      <c r="U15" s="16">
        <f t="shared" si="14"/>
        <v>120</v>
      </c>
      <c r="V15" s="6">
        <f t="shared" si="11"/>
        <v>-3</v>
      </c>
      <c r="W15" s="6">
        <f t="shared" si="15"/>
        <v>11</v>
      </c>
      <c r="X15" s="6">
        <f t="shared" si="16"/>
        <v>8</v>
      </c>
    </row>
    <row r="16" spans="2:24" x14ac:dyDescent="0.3">
      <c r="H16" s="16">
        <f t="shared" si="9"/>
        <v>21500</v>
      </c>
      <c r="I16" s="6">
        <f t="shared" si="6"/>
        <v>257</v>
      </c>
      <c r="J16" s="6">
        <f t="shared" si="7"/>
        <v>-23</v>
      </c>
      <c r="K16" s="6">
        <f t="shared" si="8"/>
        <v>234</v>
      </c>
      <c r="U16" s="16">
        <f t="shared" si="14"/>
        <v>125</v>
      </c>
      <c r="V16" s="6">
        <f t="shared" si="11"/>
        <v>-3</v>
      </c>
      <c r="W16" s="6">
        <f t="shared" si="15"/>
        <v>16</v>
      </c>
      <c r="X16" s="6">
        <f t="shared" si="16"/>
        <v>13</v>
      </c>
    </row>
    <row r="17" spans="8:12" x14ac:dyDescent="0.3">
      <c r="H17" s="16">
        <f t="shared" si="9"/>
        <v>21550</v>
      </c>
      <c r="I17" s="6">
        <f t="shared" si="6"/>
        <v>207</v>
      </c>
      <c r="J17" s="6">
        <f t="shared" si="7"/>
        <v>-23</v>
      </c>
      <c r="K17" s="6">
        <f t="shared" si="8"/>
        <v>184</v>
      </c>
    </row>
    <row r="18" spans="8:12" x14ac:dyDescent="0.3">
      <c r="H18" s="16">
        <f t="shared" si="9"/>
        <v>21600</v>
      </c>
      <c r="I18" s="6">
        <f t="shared" si="6"/>
        <v>157</v>
      </c>
      <c r="J18" s="6">
        <f t="shared" si="7"/>
        <v>-23</v>
      </c>
      <c r="K18" s="6">
        <f t="shared" si="8"/>
        <v>134</v>
      </c>
    </row>
    <row r="19" spans="8:12" x14ac:dyDescent="0.3">
      <c r="H19" s="16">
        <f t="shared" si="9"/>
        <v>21650</v>
      </c>
      <c r="I19" s="6">
        <f t="shared" si="6"/>
        <v>107</v>
      </c>
      <c r="J19" s="6">
        <f t="shared" si="7"/>
        <v>-23</v>
      </c>
      <c r="K19" s="6">
        <f t="shared" si="8"/>
        <v>84</v>
      </c>
    </row>
    <row r="20" spans="8:12" x14ac:dyDescent="0.3">
      <c r="H20" s="16">
        <f t="shared" si="9"/>
        <v>21700</v>
      </c>
      <c r="I20" s="6">
        <f t="shared" si="6"/>
        <v>57</v>
      </c>
      <c r="J20" s="6">
        <f t="shared" si="7"/>
        <v>-23</v>
      </c>
      <c r="K20" s="6">
        <f t="shared" si="8"/>
        <v>34</v>
      </c>
    </row>
    <row r="21" spans="8:12" x14ac:dyDescent="0.3">
      <c r="H21" s="16">
        <f>H22-16</f>
        <v>21734</v>
      </c>
      <c r="I21" s="6">
        <f t="shared" si="6"/>
        <v>23</v>
      </c>
      <c r="J21" s="6">
        <f t="shared" si="7"/>
        <v>-23</v>
      </c>
      <c r="K21" s="15">
        <f t="shared" si="8"/>
        <v>0</v>
      </c>
      <c r="L21" s="4" t="s">
        <v>23</v>
      </c>
    </row>
    <row r="22" spans="8:12" x14ac:dyDescent="0.3">
      <c r="H22" s="16">
        <f>H20+50</f>
        <v>21750</v>
      </c>
      <c r="I22" s="6">
        <f t="shared" ref="I22:I68" si="17">(MAX($J$4-H22,0)-$K$4)</f>
        <v>7</v>
      </c>
      <c r="J22" s="6">
        <f t="shared" ref="J22:J68" si="18">MAX(H22-$H$4,0)-$I$4</f>
        <v>-23</v>
      </c>
      <c r="K22" s="6">
        <f t="shared" ref="K22:K68" si="19">I22+J22</f>
        <v>-16</v>
      </c>
    </row>
    <row r="23" spans="8:12" x14ac:dyDescent="0.3">
      <c r="H23" s="16">
        <f t="shared" ref="H23:H32" si="20">H22+50</f>
        <v>21800</v>
      </c>
      <c r="I23" s="6">
        <f t="shared" si="17"/>
        <v>-43</v>
      </c>
      <c r="J23" s="6">
        <f t="shared" si="18"/>
        <v>-23</v>
      </c>
      <c r="K23" s="6">
        <f t="shared" si="19"/>
        <v>-66</v>
      </c>
    </row>
    <row r="24" spans="8:12" x14ac:dyDescent="0.3">
      <c r="H24" s="16">
        <f t="shared" si="20"/>
        <v>21850</v>
      </c>
      <c r="I24" s="6">
        <f t="shared" si="17"/>
        <v>-43</v>
      </c>
      <c r="J24" s="6">
        <f t="shared" si="18"/>
        <v>-23</v>
      </c>
      <c r="K24" s="6">
        <f t="shared" si="19"/>
        <v>-66</v>
      </c>
    </row>
    <row r="25" spans="8:12" x14ac:dyDescent="0.3">
      <c r="H25" s="16">
        <f t="shared" si="20"/>
        <v>21900</v>
      </c>
      <c r="I25" s="6">
        <f t="shared" si="17"/>
        <v>-43</v>
      </c>
      <c r="J25" s="6">
        <f t="shared" si="18"/>
        <v>-23</v>
      </c>
      <c r="K25" s="6">
        <f t="shared" si="19"/>
        <v>-66</v>
      </c>
    </row>
    <row r="26" spans="8:12" x14ac:dyDescent="0.3">
      <c r="H26" s="16">
        <f t="shared" si="20"/>
        <v>21950</v>
      </c>
      <c r="I26" s="6">
        <f t="shared" si="17"/>
        <v>-43</v>
      </c>
      <c r="J26" s="6">
        <f t="shared" si="18"/>
        <v>-23</v>
      </c>
      <c r="K26" s="6">
        <f t="shared" si="19"/>
        <v>-66</v>
      </c>
    </row>
    <row r="27" spans="8:12" x14ac:dyDescent="0.3">
      <c r="H27" s="16">
        <f t="shared" si="20"/>
        <v>22000</v>
      </c>
      <c r="I27" s="6">
        <f t="shared" si="17"/>
        <v>-43</v>
      </c>
      <c r="J27" s="6">
        <f t="shared" si="18"/>
        <v>-23</v>
      </c>
      <c r="K27" s="6">
        <f t="shared" si="19"/>
        <v>-66</v>
      </c>
    </row>
    <row r="28" spans="8:12" x14ac:dyDescent="0.3">
      <c r="H28" s="16">
        <f t="shared" si="20"/>
        <v>22050</v>
      </c>
      <c r="I28" s="6">
        <f t="shared" si="17"/>
        <v>-43</v>
      </c>
      <c r="J28" s="6">
        <f t="shared" si="18"/>
        <v>-23</v>
      </c>
      <c r="K28" s="6">
        <f t="shared" si="19"/>
        <v>-66</v>
      </c>
    </row>
    <row r="29" spans="8:12" x14ac:dyDescent="0.3">
      <c r="H29" s="16">
        <f t="shared" si="20"/>
        <v>22100</v>
      </c>
      <c r="I29" s="6">
        <f t="shared" si="17"/>
        <v>-43</v>
      </c>
      <c r="J29" s="6">
        <f t="shared" si="18"/>
        <v>-23</v>
      </c>
      <c r="K29" s="6">
        <f t="shared" si="19"/>
        <v>-66</v>
      </c>
    </row>
    <row r="30" spans="8:12" x14ac:dyDescent="0.3">
      <c r="H30" s="16">
        <f t="shared" si="20"/>
        <v>22150</v>
      </c>
      <c r="I30" s="6">
        <f t="shared" si="17"/>
        <v>-43</v>
      </c>
      <c r="J30" s="6">
        <f t="shared" si="18"/>
        <v>-23</v>
      </c>
      <c r="K30" s="6">
        <f t="shared" si="19"/>
        <v>-66</v>
      </c>
    </row>
    <row r="31" spans="8:12" x14ac:dyDescent="0.3">
      <c r="H31" s="16">
        <f t="shared" si="20"/>
        <v>22200</v>
      </c>
      <c r="I31" s="6">
        <f t="shared" si="17"/>
        <v>-43</v>
      </c>
      <c r="J31" s="6">
        <f t="shared" si="18"/>
        <v>-23</v>
      </c>
      <c r="K31" s="6">
        <f t="shared" si="19"/>
        <v>-66</v>
      </c>
    </row>
    <row r="32" spans="8:12" x14ac:dyDescent="0.3">
      <c r="H32" s="16">
        <f t="shared" si="20"/>
        <v>22250</v>
      </c>
      <c r="I32" s="6">
        <f t="shared" si="17"/>
        <v>-43</v>
      </c>
      <c r="J32" s="6">
        <f t="shared" si="18"/>
        <v>27</v>
      </c>
      <c r="K32" s="6">
        <f t="shared" si="19"/>
        <v>-16</v>
      </c>
    </row>
    <row r="33" spans="8:12" x14ac:dyDescent="0.3">
      <c r="H33" s="16">
        <f>H32+16</f>
        <v>22266</v>
      </c>
      <c r="I33" s="6">
        <f t="shared" si="17"/>
        <v>-43</v>
      </c>
      <c r="J33" s="6">
        <f t="shared" si="18"/>
        <v>43</v>
      </c>
      <c r="K33" s="15">
        <f t="shared" si="19"/>
        <v>0</v>
      </c>
      <c r="L33" s="4" t="s">
        <v>24</v>
      </c>
    </row>
    <row r="34" spans="8:12" x14ac:dyDescent="0.3">
      <c r="H34" s="16">
        <f>H32+50</f>
        <v>22300</v>
      </c>
      <c r="I34" s="6">
        <f t="shared" si="17"/>
        <v>-43</v>
      </c>
      <c r="J34" s="6">
        <f t="shared" si="18"/>
        <v>77</v>
      </c>
      <c r="K34" s="6">
        <f t="shared" si="19"/>
        <v>34</v>
      </c>
    </row>
    <row r="35" spans="8:12" x14ac:dyDescent="0.3">
      <c r="H35" s="16">
        <f t="shared" ref="H35:H68" si="21">H34+50</f>
        <v>22350</v>
      </c>
      <c r="I35" s="6">
        <f t="shared" si="17"/>
        <v>-43</v>
      </c>
      <c r="J35" s="6">
        <f t="shared" si="18"/>
        <v>127</v>
      </c>
      <c r="K35" s="6">
        <f t="shared" si="19"/>
        <v>84</v>
      </c>
    </row>
    <row r="36" spans="8:12" x14ac:dyDescent="0.3">
      <c r="H36" s="16">
        <f t="shared" si="21"/>
        <v>22400</v>
      </c>
      <c r="I36" s="6">
        <f t="shared" si="17"/>
        <v>-43</v>
      </c>
      <c r="J36" s="6">
        <f t="shared" si="18"/>
        <v>177</v>
      </c>
      <c r="K36" s="6">
        <f t="shared" si="19"/>
        <v>134</v>
      </c>
    </row>
    <row r="37" spans="8:12" x14ac:dyDescent="0.3">
      <c r="H37" s="16">
        <f t="shared" si="21"/>
        <v>22450</v>
      </c>
      <c r="I37" s="6">
        <f t="shared" si="17"/>
        <v>-43</v>
      </c>
      <c r="J37" s="6">
        <f t="shared" si="18"/>
        <v>227</v>
      </c>
      <c r="K37" s="6">
        <f t="shared" si="19"/>
        <v>184</v>
      </c>
    </row>
    <row r="38" spans="8:12" x14ac:dyDescent="0.3">
      <c r="H38" s="16">
        <f t="shared" si="21"/>
        <v>22500</v>
      </c>
      <c r="I38" s="6">
        <f t="shared" si="17"/>
        <v>-43</v>
      </c>
      <c r="J38" s="6">
        <f t="shared" si="18"/>
        <v>277</v>
      </c>
      <c r="K38" s="6">
        <f t="shared" si="19"/>
        <v>234</v>
      </c>
    </row>
    <row r="39" spans="8:12" x14ac:dyDescent="0.3">
      <c r="H39" s="16">
        <f t="shared" si="21"/>
        <v>22550</v>
      </c>
      <c r="I39" s="6">
        <f t="shared" si="17"/>
        <v>-43</v>
      </c>
      <c r="J39" s="6">
        <f t="shared" si="18"/>
        <v>327</v>
      </c>
      <c r="K39" s="6">
        <f t="shared" si="19"/>
        <v>284</v>
      </c>
    </row>
    <row r="40" spans="8:12" x14ac:dyDescent="0.3">
      <c r="H40" s="16">
        <f t="shared" si="21"/>
        <v>22600</v>
      </c>
      <c r="I40" s="6">
        <f t="shared" si="17"/>
        <v>-43</v>
      </c>
      <c r="J40" s="6">
        <f t="shared" si="18"/>
        <v>377</v>
      </c>
      <c r="K40" s="6">
        <f t="shared" si="19"/>
        <v>334</v>
      </c>
    </row>
    <row r="41" spans="8:12" x14ac:dyDescent="0.3">
      <c r="H41" s="16">
        <f t="shared" si="21"/>
        <v>22650</v>
      </c>
      <c r="I41" s="6">
        <f t="shared" si="17"/>
        <v>-43</v>
      </c>
      <c r="J41" s="6">
        <f t="shared" si="18"/>
        <v>427</v>
      </c>
      <c r="K41" s="6">
        <f t="shared" si="19"/>
        <v>384</v>
      </c>
    </row>
    <row r="42" spans="8:12" x14ac:dyDescent="0.3">
      <c r="H42" s="16">
        <f t="shared" si="21"/>
        <v>22700</v>
      </c>
      <c r="I42" s="6">
        <f t="shared" si="17"/>
        <v>-43</v>
      </c>
      <c r="J42" s="6">
        <f t="shared" si="18"/>
        <v>477</v>
      </c>
      <c r="K42" s="6">
        <f t="shared" si="19"/>
        <v>434</v>
      </c>
    </row>
    <row r="43" spans="8:12" x14ac:dyDescent="0.3">
      <c r="H43" s="16">
        <f t="shared" si="21"/>
        <v>22750</v>
      </c>
      <c r="I43" s="6">
        <f t="shared" si="17"/>
        <v>-43</v>
      </c>
      <c r="J43" s="6">
        <f t="shared" si="18"/>
        <v>527</v>
      </c>
      <c r="K43" s="6">
        <f t="shared" si="19"/>
        <v>484</v>
      </c>
    </row>
    <row r="44" spans="8:12" x14ac:dyDescent="0.3">
      <c r="H44" s="16">
        <f t="shared" si="21"/>
        <v>22800</v>
      </c>
      <c r="I44" s="6">
        <f t="shared" si="17"/>
        <v>-43</v>
      </c>
      <c r="J44" s="6">
        <f t="shared" si="18"/>
        <v>577</v>
      </c>
      <c r="K44" s="6">
        <f t="shared" si="19"/>
        <v>534</v>
      </c>
    </row>
    <row r="45" spans="8:12" x14ac:dyDescent="0.3">
      <c r="H45" s="16">
        <f t="shared" si="21"/>
        <v>22850</v>
      </c>
      <c r="I45" s="6">
        <f t="shared" si="17"/>
        <v>-43</v>
      </c>
      <c r="J45" s="6">
        <f t="shared" si="18"/>
        <v>627</v>
      </c>
      <c r="K45" s="6">
        <f t="shared" si="19"/>
        <v>584</v>
      </c>
    </row>
    <row r="46" spans="8:12" x14ac:dyDescent="0.3">
      <c r="H46" s="16">
        <f t="shared" si="21"/>
        <v>22900</v>
      </c>
      <c r="I46" s="6">
        <f t="shared" si="17"/>
        <v>-43</v>
      </c>
      <c r="J46" s="6">
        <f t="shared" si="18"/>
        <v>677</v>
      </c>
      <c r="K46" s="6">
        <f t="shared" si="19"/>
        <v>634</v>
      </c>
    </row>
    <row r="47" spans="8:12" x14ac:dyDescent="0.3">
      <c r="H47" s="16">
        <f t="shared" si="21"/>
        <v>22950</v>
      </c>
      <c r="I47" s="6">
        <f t="shared" si="17"/>
        <v>-43</v>
      </c>
      <c r="J47" s="6">
        <f t="shared" si="18"/>
        <v>727</v>
      </c>
      <c r="K47" s="6">
        <f t="shared" si="19"/>
        <v>684</v>
      </c>
    </row>
    <row r="48" spans="8:12" x14ac:dyDescent="0.3">
      <c r="H48" s="16">
        <f t="shared" si="21"/>
        <v>23000</v>
      </c>
      <c r="I48" s="6">
        <f t="shared" si="17"/>
        <v>-43</v>
      </c>
      <c r="J48" s="6">
        <f t="shared" si="18"/>
        <v>777</v>
      </c>
      <c r="K48" s="6">
        <f t="shared" si="19"/>
        <v>734</v>
      </c>
    </row>
    <row r="49" spans="8:11" x14ac:dyDescent="0.3">
      <c r="H49" s="16">
        <f t="shared" si="21"/>
        <v>23050</v>
      </c>
      <c r="I49" s="6">
        <f t="shared" si="17"/>
        <v>-43</v>
      </c>
      <c r="J49" s="6">
        <f t="shared" si="18"/>
        <v>827</v>
      </c>
      <c r="K49" s="6">
        <f t="shared" si="19"/>
        <v>784</v>
      </c>
    </row>
    <row r="50" spans="8:11" x14ac:dyDescent="0.3">
      <c r="H50" s="16">
        <f t="shared" si="21"/>
        <v>23100</v>
      </c>
      <c r="I50" s="6">
        <f t="shared" si="17"/>
        <v>-43</v>
      </c>
      <c r="J50" s="6">
        <f t="shared" si="18"/>
        <v>877</v>
      </c>
      <c r="K50" s="6">
        <f t="shared" si="19"/>
        <v>834</v>
      </c>
    </row>
    <row r="51" spans="8:11" x14ac:dyDescent="0.3">
      <c r="H51" s="16">
        <f t="shared" si="21"/>
        <v>23150</v>
      </c>
      <c r="I51" s="6">
        <f t="shared" si="17"/>
        <v>-43</v>
      </c>
      <c r="J51" s="6">
        <f t="shared" si="18"/>
        <v>927</v>
      </c>
      <c r="K51" s="6">
        <f t="shared" si="19"/>
        <v>884</v>
      </c>
    </row>
    <row r="52" spans="8:11" x14ac:dyDescent="0.3">
      <c r="H52" s="16">
        <f t="shared" si="21"/>
        <v>23200</v>
      </c>
      <c r="I52" s="6">
        <f t="shared" si="17"/>
        <v>-43</v>
      </c>
      <c r="J52" s="6">
        <f t="shared" si="18"/>
        <v>977</v>
      </c>
      <c r="K52" s="6">
        <f t="shared" si="19"/>
        <v>934</v>
      </c>
    </row>
    <row r="53" spans="8:11" x14ac:dyDescent="0.3">
      <c r="H53" s="16">
        <f t="shared" si="21"/>
        <v>23250</v>
      </c>
      <c r="I53" s="6">
        <f t="shared" si="17"/>
        <v>-43</v>
      </c>
      <c r="J53" s="6">
        <f t="shared" si="18"/>
        <v>1027</v>
      </c>
      <c r="K53" s="6">
        <f t="shared" si="19"/>
        <v>984</v>
      </c>
    </row>
    <row r="54" spans="8:11" x14ac:dyDescent="0.3">
      <c r="H54" s="16">
        <f t="shared" si="21"/>
        <v>23300</v>
      </c>
      <c r="I54" s="6">
        <f t="shared" si="17"/>
        <v>-43</v>
      </c>
      <c r="J54" s="6">
        <f t="shared" si="18"/>
        <v>1077</v>
      </c>
      <c r="K54" s="6">
        <f t="shared" si="19"/>
        <v>1034</v>
      </c>
    </row>
    <row r="55" spans="8:11" x14ac:dyDescent="0.3">
      <c r="H55" s="16">
        <f t="shared" si="21"/>
        <v>23350</v>
      </c>
      <c r="I55" s="6">
        <f t="shared" si="17"/>
        <v>-43</v>
      </c>
      <c r="J55" s="6">
        <f t="shared" si="18"/>
        <v>1127</v>
      </c>
      <c r="K55" s="6">
        <f t="shared" si="19"/>
        <v>1084</v>
      </c>
    </row>
    <row r="56" spans="8:11" x14ac:dyDescent="0.3">
      <c r="H56" s="16">
        <f t="shared" si="21"/>
        <v>23400</v>
      </c>
      <c r="I56" s="6">
        <f t="shared" si="17"/>
        <v>-43</v>
      </c>
      <c r="J56" s="6">
        <f t="shared" si="18"/>
        <v>1177</v>
      </c>
      <c r="K56" s="6">
        <f t="shared" si="19"/>
        <v>1134</v>
      </c>
    </row>
    <row r="57" spans="8:11" x14ac:dyDescent="0.3">
      <c r="H57" s="16">
        <f t="shared" si="21"/>
        <v>23450</v>
      </c>
      <c r="I57" s="6">
        <f t="shared" si="17"/>
        <v>-43</v>
      </c>
      <c r="J57" s="6">
        <f t="shared" si="18"/>
        <v>1227</v>
      </c>
      <c r="K57" s="6">
        <f t="shared" si="19"/>
        <v>1184</v>
      </c>
    </row>
    <row r="58" spans="8:11" x14ac:dyDescent="0.3">
      <c r="H58" s="16">
        <f t="shared" si="21"/>
        <v>23500</v>
      </c>
      <c r="I58" s="6">
        <f t="shared" si="17"/>
        <v>-43</v>
      </c>
      <c r="J58" s="6">
        <f t="shared" si="18"/>
        <v>1277</v>
      </c>
      <c r="K58" s="6">
        <f t="shared" si="19"/>
        <v>1234</v>
      </c>
    </row>
    <row r="59" spans="8:11" x14ac:dyDescent="0.3">
      <c r="H59" s="16">
        <f t="shared" si="21"/>
        <v>23550</v>
      </c>
      <c r="I59" s="6">
        <f t="shared" si="17"/>
        <v>-43</v>
      </c>
      <c r="J59" s="6">
        <f t="shared" si="18"/>
        <v>1327</v>
      </c>
      <c r="K59" s="6">
        <f t="shared" si="19"/>
        <v>1284</v>
      </c>
    </row>
    <row r="60" spans="8:11" x14ac:dyDescent="0.3">
      <c r="H60" s="16">
        <f t="shared" si="21"/>
        <v>23600</v>
      </c>
      <c r="I60" s="6">
        <f t="shared" si="17"/>
        <v>-43</v>
      </c>
      <c r="J60" s="6">
        <f t="shared" si="18"/>
        <v>1377</v>
      </c>
      <c r="K60" s="6">
        <f t="shared" si="19"/>
        <v>1334</v>
      </c>
    </row>
    <row r="61" spans="8:11" x14ac:dyDescent="0.3">
      <c r="H61" s="16">
        <f t="shared" si="21"/>
        <v>23650</v>
      </c>
      <c r="I61" s="6">
        <f t="shared" si="17"/>
        <v>-43</v>
      </c>
      <c r="J61" s="6">
        <f t="shared" si="18"/>
        <v>1427</v>
      </c>
      <c r="K61" s="6">
        <f t="shared" si="19"/>
        <v>1384</v>
      </c>
    </row>
    <row r="62" spans="8:11" x14ac:dyDescent="0.3">
      <c r="H62" s="16">
        <f t="shared" si="21"/>
        <v>23700</v>
      </c>
      <c r="I62" s="6">
        <f t="shared" si="17"/>
        <v>-43</v>
      </c>
      <c r="J62" s="6">
        <f t="shared" si="18"/>
        <v>1477</v>
      </c>
      <c r="K62" s="6">
        <f t="shared" si="19"/>
        <v>1434</v>
      </c>
    </row>
    <row r="63" spans="8:11" x14ac:dyDescent="0.3">
      <c r="H63" s="16">
        <f t="shared" si="21"/>
        <v>23750</v>
      </c>
      <c r="I63" s="6">
        <f t="shared" si="17"/>
        <v>-43</v>
      </c>
      <c r="J63" s="6">
        <f t="shared" si="18"/>
        <v>1527</v>
      </c>
      <c r="K63" s="6">
        <f t="shared" si="19"/>
        <v>1484</v>
      </c>
    </row>
    <row r="64" spans="8:11" x14ac:dyDescent="0.3">
      <c r="H64" s="16">
        <f t="shared" si="21"/>
        <v>23800</v>
      </c>
      <c r="I64" s="6">
        <f t="shared" si="17"/>
        <v>-43</v>
      </c>
      <c r="J64" s="6">
        <f t="shared" si="18"/>
        <v>1577</v>
      </c>
      <c r="K64" s="6">
        <f t="shared" si="19"/>
        <v>1534</v>
      </c>
    </row>
    <row r="65" spans="8:11" x14ac:dyDescent="0.3">
      <c r="H65" s="16">
        <f t="shared" si="21"/>
        <v>23850</v>
      </c>
      <c r="I65" s="6">
        <f t="shared" si="17"/>
        <v>-43</v>
      </c>
      <c r="J65" s="6">
        <f t="shared" si="18"/>
        <v>1627</v>
      </c>
      <c r="K65" s="6">
        <f t="shared" si="19"/>
        <v>1584</v>
      </c>
    </row>
    <row r="66" spans="8:11" x14ac:dyDescent="0.3">
      <c r="H66" s="16">
        <f t="shared" si="21"/>
        <v>23900</v>
      </c>
      <c r="I66" s="6">
        <f t="shared" si="17"/>
        <v>-43</v>
      </c>
      <c r="J66" s="6">
        <f t="shared" si="18"/>
        <v>1677</v>
      </c>
      <c r="K66" s="6">
        <f t="shared" si="19"/>
        <v>1634</v>
      </c>
    </row>
    <row r="67" spans="8:11" x14ac:dyDescent="0.3">
      <c r="H67" s="16">
        <f t="shared" si="21"/>
        <v>23950</v>
      </c>
      <c r="I67" s="6">
        <f t="shared" si="17"/>
        <v>-43</v>
      </c>
      <c r="J67" s="6">
        <f t="shared" si="18"/>
        <v>1727</v>
      </c>
      <c r="K67" s="6">
        <f t="shared" si="19"/>
        <v>1684</v>
      </c>
    </row>
    <row r="68" spans="8:11" x14ac:dyDescent="0.3">
      <c r="H68" s="16">
        <f t="shared" si="21"/>
        <v>24000</v>
      </c>
      <c r="I68" s="6">
        <f t="shared" si="17"/>
        <v>-43</v>
      </c>
      <c r="J68" s="6">
        <f t="shared" si="18"/>
        <v>1777</v>
      </c>
      <c r="K68" s="6">
        <f t="shared" si="19"/>
        <v>1734</v>
      </c>
    </row>
    <row r="69" spans="8:11" x14ac:dyDescent="0.3">
      <c r="H69" s="16"/>
    </row>
    <row r="70" spans="8:11" x14ac:dyDescent="0.3">
      <c r="H70" s="16"/>
    </row>
    <row r="71" spans="8:11" x14ac:dyDescent="0.3">
      <c r="H71" s="16"/>
    </row>
    <row r="72" spans="8:11" x14ac:dyDescent="0.3">
      <c r="H72" s="16"/>
    </row>
    <row r="73" spans="8:11" x14ac:dyDescent="0.3">
      <c r="H73" s="16"/>
    </row>
    <row r="74" spans="8:11" x14ac:dyDescent="0.3">
      <c r="H74" s="16"/>
    </row>
    <row r="75" spans="8:11" x14ac:dyDescent="0.3">
      <c r="H75" s="16"/>
    </row>
    <row r="76" spans="8:11" x14ac:dyDescent="0.3">
      <c r="H76" s="16"/>
    </row>
    <row r="77" spans="8:11" x14ac:dyDescent="0.3">
      <c r="H77" s="16"/>
    </row>
    <row r="78" spans="8:11" x14ac:dyDescent="0.3">
      <c r="H78" s="16"/>
    </row>
    <row r="79" spans="8:11" x14ac:dyDescent="0.3">
      <c r="H79" s="16"/>
    </row>
    <row r="80" spans="8:11" x14ac:dyDescent="0.3">
      <c r="H80" s="16"/>
    </row>
    <row r="81" spans="8:8" x14ac:dyDescent="0.3">
      <c r="H81" s="16"/>
    </row>
    <row r="82" spans="8:8" x14ac:dyDescent="0.3">
      <c r="H82" s="16"/>
    </row>
    <row r="83" spans="8:8" x14ac:dyDescent="0.3">
      <c r="H83" s="16"/>
    </row>
    <row r="84" spans="8:8" x14ac:dyDescent="0.3">
      <c r="H84" s="16"/>
    </row>
    <row r="85" spans="8:8" x14ac:dyDescent="0.3">
      <c r="H85" s="16"/>
    </row>
    <row r="86" spans="8:8" x14ac:dyDescent="0.3">
      <c r="H86" s="16"/>
    </row>
    <row r="87" spans="8:8" x14ac:dyDescent="0.3">
      <c r="H87" s="16"/>
    </row>
    <row r="88" spans="8:8" x14ac:dyDescent="0.3">
      <c r="H88" s="16"/>
    </row>
    <row r="89" spans="8:8" x14ac:dyDescent="0.3">
      <c r="H89" s="16"/>
    </row>
    <row r="90" spans="8:8" x14ac:dyDescent="0.3">
      <c r="H90" s="16"/>
    </row>
    <row r="91" spans="8:8" x14ac:dyDescent="0.3">
      <c r="H91" s="16"/>
    </row>
    <row r="92" spans="8:8" x14ac:dyDescent="0.3">
      <c r="H92" s="16"/>
    </row>
    <row r="93" spans="8:8" x14ac:dyDescent="0.3">
      <c r="H93" s="16"/>
    </row>
    <row r="94" spans="8:8" x14ac:dyDescent="0.3">
      <c r="H94" s="16"/>
    </row>
    <row r="95" spans="8:8" x14ac:dyDescent="0.3">
      <c r="H95" s="16"/>
    </row>
    <row r="96" spans="8:8" x14ac:dyDescent="0.3">
      <c r="H96" s="16"/>
    </row>
    <row r="97" spans="8:8" x14ac:dyDescent="0.3">
      <c r="H97" s="16"/>
    </row>
    <row r="98" spans="8:8" x14ac:dyDescent="0.3">
      <c r="H98" s="16"/>
    </row>
    <row r="99" spans="8:8" x14ac:dyDescent="0.3">
      <c r="H99" s="16"/>
    </row>
    <row r="100" spans="8:8" x14ac:dyDescent="0.3">
      <c r="H100" s="16"/>
    </row>
    <row r="101" spans="8:8" x14ac:dyDescent="0.3">
      <c r="H101" s="16"/>
    </row>
    <row r="102" spans="8:8" x14ac:dyDescent="0.3">
      <c r="H102" s="16"/>
    </row>
    <row r="103" spans="8:8" x14ac:dyDescent="0.3">
      <c r="H103" s="16"/>
    </row>
    <row r="104" spans="8:8" x14ac:dyDescent="0.3">
      <c r="H104" s="16"/>
    </row>
    <row r="105" spans="8:8" x14ac:dyDescent="0.3">
      <c r="H105" s="16"/>
    </row>
    <row r="106" spans="8:8" x14ac:dyDescent="0.3">
      <c r="H106" s="16"/>
    </row>
    <row r="107" spans="8:8" x14ac:dyDescent="0.3">
      <c r="H107" s="16"/>
    </row>
    <row r="108" spans="8:8" x14ac:dyDescent="0.3">
      <c r="H108" s="16"/>
    </row>
    <row r="109" spans="8:8" x14ac:dyDescent="0.3">
      <c r="H109" s="16"/>
    </row>
    <row r="110" spans="8:8" x14ac:dyDescent="0.3">
      <c r="H110" s="16"/>
    </row>
    <row r="111" spans="8:8" x14ac:dyDescent="0.3">
      <c r="H111" s="16"/>
    </row>
    <row r="112" spans="8:8" x14ac:dyDescent="0.3">
      <c r="H112" s="16"/>
    </row>
    <row r="113" spans="8:8" x14ac:dyDescent="0.3">
      <c r="H113" s="16"/>
    </row>
    <row r="114" spans="8:8" x14ac:dyDescent="0.3">
      <c r="H114" s="16"/>
    </row>
    <row r="115" spans="8:8" x14ac:dyDescent="0.3">
      <c r="H115" s="16"/>
    </row>
    <row r="116" spans="8:8" x14ac:dyDescent="0.3">
      <c r="H116" s="16"/>
    </row>
    <row r="117" spans="8:8" x14ac:dyDescent="0.3">
      <c r="H117" s="16"/>
    </row>
    <row r="118" spans="8:8" x14ac:dyDescent="0.3">
      <c r="H118" s="16"/>
    </row>
    <row r="119" spans="8:8" x14ac:dyDescent="0.3">
      <c r="H119" s="16"/>
    </row>
    <row r="120" spans="8:8" x14ac:dyDescent="0.3">
      <c r="H120" s="16"/>
    </row>
    <row r="121" spans="8:8" x14ac:dyDescent="0.3">
      <c r="H121" s="16"/>
    </row>
    <row r="122" spans="8:8" x14ac:dyDescent="0.3">
      <c r="H122" s="16"/>
    </row>
    <row r="123" spans="8:8" x14ac:dyDescent="0.3">
      <c r="H123" s="16"/>
    </row>
    <row r="124" spans="8:8" x14ac:dyDescent="0.3">
      <c r="H124" s="16"/>
    </row>
    <row r="125" spans="8:8" x14ac:dyDescent="0.3">
      <c r="H125" s="16"/>
    </row>
    <row r="126" spans="8:8" x14ac:dyDescent="0.3">
      <c r="H126" s="16"/>
    </row>
    <row r="127" spans="8:8" x14ac:dyDescent="0.3">
      <c r="H127" s="16"/>
    </row>
    <row r="128" spans="8:8" x14ac:dyDescent="0.3">
      <c r="H128" s="16"/>
    </row>
    <row r="129" spans="8:8" x14ac:dyDescent="0.3">
      <c r="H129" s="16"/>
    </row>
    <row r="130" spans="8:8" x14ac:dyDescent="0.3">
      <c r="H130" s="16"/>
    </row>
    <row r="131" spans="8:8" x14ac:dyDescent="0.3">
      <c r="H131" s="16"/>
    </row>
    <row r="132" spans="8:8" x14ac:dyDescent="0.3">
      <c r="H132" s="16"/>
    </row>
    <row r="133" spans="8:8" x14ac:dyDescent="0.3">
      <c r="H133" s="16"/>
    </row>
    <row r="134" spans="8:8" x14ac:dyDescent="0.3">
      <c r="H134" s="16"/>
    </row>
    <row r="135" spans="8:8" x14ac:dyDescent="0.3">
      <c r="H135" s="16"/>
    </row>
    <row r="136" spans="8:8" x14ac:dyDescent="0.3">
      <c r="H136" s="16"/>
    </row>
    <row r="137" spans="8:8" x14ac:dyDescent="0.3">
      <c r="H137" s="16"/>
    </row>
    <row r="138" spans="8:8" x14ac:dyDescent="0.3">
      <c r="H138" s="16"/>
    </row>
    <row r="139" spans="8:8" x14ac:dyDescent="0.3">
      <c r="H139" s="16"/>
    </row>
    <row r="140" spans="8:8" x14ac:dyDescent="0.3">
      <c r="H140" s="16"/>
    </row>
    <row r="141" spans="8:8" x14ac:dyDescent="0.3">
      <c r="H141" s="16"/>
    </row>
    <row r="142" spans="8:8" x14ac:dyDescent="0.3">
      <c r="H142" s="16"/>
    </row>
    <row r="143" spans="8:8" x14ac:dyDescent="0.3">
      <c r="H143" s="16"/>
    </row>
    <row r="144" spans="8:8" x14ac:dyDescent="0.3">
      <c r="H144" s="16"/>
    </row>
    <row r="145" spans="8:8" x14ac:dyDescent="0.3">
      <c r="H145" s="16"/>
    </row>
    <row r="146" spans="8:8" x14ac:dyDescent="0.3">
      <c r="H146" s="16"/>
    </row>
    <row r="147" spans="8:8" x14ac:dyDescent="0.3">
      <c r="H147" s="16"/>
    </row>
    <row r="148" spans="8:8" x14ac:dyDescent="0.3">
      <c r="H148" s="16"/>
    </row>
    <row r="149" spans="8:8" x14ac:dyDescent="0.3">
      <c r="H149" s="16"/>
    </row>
    <row r="150" spans="8:8" x14ac:dyDescent="0.3">
      <c r="H150" s="16"/>
    </row>
    <row r="151" spans="8:8" x14ac:dyDescent="0.3">
      <c r="H151" s="16"/>
    </row>
    <row r="152" spans="8:8" x14ac:dyDescent="0.3">
      <c r="H152" s="16"/>
    </row>
    <row r="153" spans="8:8" x14ac:dyDescent="0.3">
      <c r="H153" s="16"/>
    </row>
    <row r="154" spans="8:8" x14ac:dyDescent="0.3">
      <c r="H154" s="16"/>
    </row>
    <row r="155" spans="8:8" x14ac:dyDescent="0.3">
      <c r="H155" s="16"/>
    </row>
    <row r="156" spans="8:8" x14ac:dyDescent="0.3">
      <c r="H156" s="16"/>
    </row>
    <row r="157" spans="8:8" x14ac:dyDescent="0.3">
      <c r="H157" s="16"/>
    </row>
    <row r="158" spans="8:8" x14ac:dyDescent="0.3">
      <c r="H158" s="16"/>
    </row>
    <row r="159" spans="8:8" x14ac:dyDescent="0.3">
      <c r="H159" s="16"/>
    </row>
    <row r="160" spans="8:8" x14ac:dyDescent="0.3">
      <c r="H160" s="16"/>
    </row>
    <row r="161" spans="8:8" x14ac:dyDescent="0.3">
      <c r="H161" s="16"/>
    </row>
    <row r="162" spans="8:8" x14ac:dyDescent="0.3">
      <c r="H162" s="16"/>
    </row>
    <row r="163" spans="8:8" x14ac:dyDescent="0.3">
      <c r="H163" s="16"/>
    </row>
    <row r="164" spans="8:8" x14ac:dyDescent="0.3">
      <c r="H164" s="16"/>
    </row>
    <row r="165" spans="8:8" x14ac:dyDescent="0.3">
      <c r="H165" s="16"/>
    </row>
    <row r="166" spans="8:8" x14ac:dyDescent="0.3">
      <c r="H166" s="16"/>
    </row>
    <row r="167" spans="8:8" x14ac:dyDescent="0.3">
      <c r="H167" s="16"/>
    </row>
  </sheetData>
  <sheetProtection algorithmName="SHA-512" hashValue="lDYjKcqntxYpnZfNaOJ0THop4iD9qkZaVXi5wn+/YkQJ5t5Un1mlJZfYRA+VkdsnyorOL+ghby0T2qmVBo8A7Q==" saltValue="YCWTcmbTHvS6sa/DpOwEmQ==" spinCount="100000" sheet="1" objects="1" scenarios="1"/>
  <mergeCells count="5">
    <mergeCell ref="B3:F8"/>
    <mergeCell ref="M4:P6"/>
    <mergeCell ref="M3:P3"/>
    <mergeCell ref="M9:P9"/>
    <mergeCell ref="M12:P12"/>
  </mergeCells>
  <conditionalFormatting sqref="I6:I68">
    <cfRule type="cellIs" dxfId="65" priority="9" operator="lessThan">
      <formula>$G$9</formula>
    </cfRule>
    <cfRule type="cellIs" dxfId="64" priority="10" operator="greaterThan">
      <formula>0</formula>
    </cfRule>
  </conditionalFormatting>
  <conditionalFormatting sqref="J6:K68">
    <cfRule type="cellIs" dxfId="63" priority="6" operator="lessThan">
      <formula>0</formula>
    </cfRule>
    <cfRule type="cellIs" dxfId="62" priority="7" operator="lessThan">
      <formula>#REF!</formula>
    </cfRule>
    <cfRule type="cellIs" dxfId="61" priority="8" operator="greaterThan">
      <formula>0</formula>
    </cfRule>
  </conditionalFormatting>
  <conditionalFormatting sqref="V6:V16">
    <cfRule type="cellIs" dxfId="60" priority="4" operator="lessThan">
      <formula>$G$9</formula>
    </cfRule>
    <cfRule type="cellIs" dxfId="59" priority="5" operator="greaterThan">
      <formula>0</formula>
    </cfRule>
  </conditionalFormatting>
  <conditionalFormatting sqref="W6:X16">
    <cfRule type="cellIs" dxfId="58" priority="1" operator="lessThan">
      <formula>0</formula>
    </cfRule>
    <cfRule type="cellIs" dxfId="57" priority="2" operator="lessThan">
      <formula>#REF!</formula>
    </cfRule>
    <cfRule type="cellIs" dxfId="56" priority="3" operator="greaterThan">
      <formula>0</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A3F68-6F20-45A8-A7A5-726CCCDE2DF4}">
  <sheetPr codeName="Sheet12"/>
  <dimension ref="B2:P50"/>
  <sheetViews>
    <sheetView topLeftCell="D1" workbookViewId="0">
      <selection activeCell="H3" sqref="H3:K6"/>
    </sheetView>
  </sheetViews>
  <sheetFormatPr defaultRowHeight="14.4" x14ac:dyDescent="0.3"/>
  <cols>
    <col min="8" max="8" width="11.21875" bestFit="1" customWidth="1"/>
    <col min="9" max="10" width="10.21875" bestFit="1" customWidth="1"/>
  </cols>
  <sheetData>
    <row r="2" spans="2:16" ht="15" thickBot="1" x14ac:dyDescent="0.35"/>
    <row r="3" spans="2:16" x14ac:dyDescent="0.3">
      <c r="B3" s="161" t="s">
        <v>92</v>
      </c>
      <c r="C3" s="162"/>
      <c r="D3" s="162"/>
      <c r="E3" s="162"/>
      <c r="F3" s="163"/>
      <c r="H3" s="1" t="s">
        <v>52</v>
      </c>
      <c r="I3" s="1" t="s">
        <v>93</v>
      </c>
      <c r="J3" s="1" t="s">
        <v>52</v>
      </c>
      <c r="K3" s="1" t="s">
        <v>53</v>
      </c>
      <c r="M3" s="51" t="s">
        <v>71</v>
      </c>
      <c r="N3" s="52"/>
      <c r="O3" s="52"/>
      <c r="P3" s="53"/>
    </row>
    <row r="4" spans="2:16" x14ac:dyDescent="0.3">
      <c r="B4" s="54"/>
      <c r="C4" s="55"/>
      <c r="D4" s="55"/>
      <c r="E4" s="55"/>
      <c r="F4" s="56"/>
      <c r="H4" s="19">
        <v>22200</v>
      </c>
      <c r="I4" s="19">
        <v>23</v>
      </c>
      <c r="J4" s="19">
        <v>21800</v>
      </c>
      <c r="K4" s="19">
        <v>43</v>
      </c>
      <c r="M4" s="35" t="s">
        <v>95</v>
      </c>
      <c r="N4" s="36"/>
      <c r="O4" s="36"/>
      <c r="P4" s="37"/>
    </row>
    <row r="5" spans="2:16" x14ac:dyDescent="0.3">
      <c r="B5" s="54"/>
      <c r="C5" s="55"/>
      <c r="D5" s="55"/>
      <c r="E5" s="55"/>
      <c r="F5" s="56"/>
      <c r="H5" s="1" t="s">
        <v>4</v>
      </c>
      <c r="I5" s="17" t="str">
        <f>K3</f>
        <v>PUT SELL</v>
      </c>
      <c r="J5" s="1" t="str">
        <f>I3</f>
        <v xml:space="preserve">CALL SELL  </v>
      </c>
      <c r="K5" s="1" t="s">
        <v>37</v>
      </c>
      <c r="M5" s="35"/>
      <c r="N5" s="36"/>
      <c r="O5" s="36"/>
      <c r="P5" s="37"/>
    </row>
    <row r="6" spans="2:16" x14ac:dyDescent="0.3">
      <c r="B6" s="54"/>
      <c r="C6" s="55"/>
      <c r="D6" s="55"/>
      <c r="E6" s="55"/>
      <c r="F6" s="56"/>
      <c r="H6" s="19">
        <v>21000</v>
      </c>
      <c r="I6" s="6">
        <f>(MAX($J$4-H6,0)-$K$4)*-1</f>
        <v>-757</v>
      </c>
      <c r="J6" s="6">
        <f>(MAX(H6-$H$4,0)-$I$4)*-1</f>
        <v>23</v>
      </c>
      <c r="K6" s="6">
        <f t="shared" ref="K6" si="0">I6+J6</f>
        <v>-734</v>
      </c>
      <c r="M6" s="35"/>
      <c r="N6" s="36"/>
      <c r="O6" s="36"/>
      <c r="P6" s="37"/>
    </row>
    <row r="7" spans="2:16" ht="15" thickBot="1" x14ac:dyDescent="0.35">
      <c r="B7" s="57"/>
      <c r="C7" s="58"/>
      <c r="D7" s="58"/>
      <c r="E7" s="58"/>
      <c r="F7" s="59"/>
      <c r="H7" s="19">
        <f>H6+50</f>
        <v>21050</v>
      </c>
      <c r="I7" s="6">
        <f t="shared" ref="I7:I21" si="1">(MAX($J$4-H7,0)-$K$4)*-1</f>
        <v>-707</v>
      </c>
      <c r="J7" s="6">
        <f t="shared" ref="J7:J21" si="2">(MAX(H7-$H$4,0)-$I$4)*-1</f>
        <v>23</v>
      </c>
      <c r="K7" s="6">
        <f t="shared" ref="K7:K21" si="3">I7+J7</f>
        <v>-684</v>
      </c>
      <c r="M7" s="38"/>
      <c r="N7" s="39"/>
      <c r="O7" s="39"/>
      <c r="P7" s="40"/>
    </row>
    <row r="8" spans="2:16" ht="15" thickBot="1" x14ac:dyDescent="0.35">
      <c r="H8" s="19">
        <f t="shared" ref="H8:H20" si="4">H7+50</f>
        <v>21100</v>
      </c>
      <c r="I8" s="6">
        <f t="shared" si="1"/>
        <v>-657</v>
      </c>
      <c r="J8" s="6">
        <f t="shared" si="2"/>
        <v>23</v>
      </c>
      <c r="K8" s="6">
        <f t="shared" si="3"/>
        <v>-634</v>
      </c>
    </row>
    <row r="9" spans="2:16" ht="15" thickBot="1" x14ac:dyDescent="0.35">
      <c r="H9" s="19">
        <f t="shared" si="4"/>
        <v>21150</v>
      </c>
      <c r="I9" s="6">
        <f t="shared" si="1"/>
        <v>-607</v>
      </c>
      <c r="J9" s="6">
        <f t="shared" si="2"/>
        <v>23</v>
      </c>
      <c r="K9" s="6">
        <f t="shared" si="3"/>
        <v>-584</v>
      </c>
      <c r="M9" s="151" t="s">
        <v>83</v>
      </c>
      <c r="N9" s="154"/>
      <c r="O9" s="154"/>
      <c r="P9" s="155"/>
    </row>
    <row r="10" spans="2:16" ht="15" thickBot="1" x14ac:dyDescent="0.35">
      <c r="H10" s="19">
        <f t="shared" si="4"/>
        <v>21200</v>
      </c>
      <c r="I10" s="6">
        <f t="shared" si="1"/>
        <v>-557</v>
      </c>
      <c r="J10" s="6">
        <f t="shared" si="2"/>
        <v>23</v>
      </c>
      <c r="K10" s="6">
        <f t="shared" si="3"/>
        <v>-534</v>
      </c>
    </row>
    <row r="11" spans="2:16" x14ac:dyDescent="0.3">
      <c r="H11" s="19">
        <f t="shared" si="4"/>
        <v>21250</v>
      </c>
      <c r="I11" s="6">
        <f t="shared" si="1"/>
        <v>-507</v>
      </c>
      <c r="J11" s="6">
        <f t="shared" si="2"/>
        <v>23</v>
      </c>
      <c r="K11" s="6">
        <f t="shared" si="3"/>
        <v>-484</v>
      </c>
      <c r="M11" s="139" t="s">
        <v>96</v>
      </c>
      <c r="N11" s="140"/>
      <c r="O11" s="140"/>
      <c r="P11" s="141"/>
    </row>
    <row r="12" spans="2:16" ht="15" thickBot="1" x14ac:dyDescent="0.35">
      <c r="H12" s="19">
        <f t="shared" si="4"/>
        <v>21300</v>
      </c>
      <c r="I12" s="6">
        <f t="shared" si="1"/>
        <v>-457</v>
      </c>
      <c r="J12" s="6">
        <f t="shared" si="2"/>
        <v>23</v>
      </c>
      <c r="K12" s="6">
        <f t="shared" si="3"/>
        <v>-434</v>
      </c>
      <c r="M12" s="145"/>
      <c r="N12" s="146"/>
      <c r="O12" s="146"/>
      <c r="P12" s="147"/>
    </row>
    <row r="13" spans="2:16" x14ac:dyDescent="0.3">
      <c r="H13" s="19">
        <f t="shared" si="4"/>
        <v>21350</v>
      </c>
      <c r="I13" s="6">
        <f t="shared" si="1"/>
        <v>-407</v>
      </c>
      <c r="J13" s="6">
        <f t="shared" si="2"/>
        <v>23</v>
      </c>
      <c r="K13" s="6">
        <f t="shared" si="3"/>
        <v>-384</v>
      </c>
    </row>
    <row r="14" spans="2:16" x14ac:dyDescent="0.3">
      <c r="H14" s="19">
        <f t="shared" si="4"/>
        <v>21400</v>
      </c>
      <c r="I14" s="6">
        <f t="shared" si="1"/>
        <v>-357</v>
      </c>
      <c r="J14" s="6">
        <f t="shared" si="2"/>
        <v>23</v>
      </c>
      <c r="K14" s="6">
        <f t="shared" si="3"/>
        <v>-334</v>
      </c>
    </row>
    <row r="15" spans="2:16" x14ac:dyDescent="0.3">
      <c r="H15" s="19">
        <f t="shared" si="4"/>
        <v>21450</v>
      </c>
      <c r="I15" s="6">
        <f t="shared" si="1"/>
        <v>-307</v>
      </c>
      <c r="J15" s="6">
        <f t="shared" si="2"/>
        <v>23</v>
      </c>
      <c r="K15" s="6">
        <f t="shared" si="3"/>
        <v>-284</v>
      </c>
    </row>
    <row r="16" spans="2:16" x14ac:dyDescent="0.3">
      <c r="H16" s="19">
        <f t="shared" si="4"/>
        <v>21500</v>
      </c>
      <c r="I16" s="6">
        <f t="shared" si="1"/>
        <v>-257</v>
      </c>
      <c r="J16" s="6">
        <f t="shared" si="2"/>
        <v>23</v>
      </c>
      <c r="K16" s="6">
        <f t="shared" si="3"/>
        <v>-234</v>
      </c>
    </row>
    <row r="17" spans="8:13" x14ac:dyDescent="0.3">
      <c r="H17" s="19">
        <f t="shared" si="4"/>
        <v>21550</v>
      </c>
      <c r="I17" s="6">
        <f t="shared" si="1"/>
        <v>-207</v>
      </c>
      <c r="J17" s="6">
        <f t="shared" si="2"/>
        <v>23</v>
      </c>
      <c r="K17" s="6">
        <f t="shared" si="3"/>
        <v>-184</v>
      </c>
    </row>
    <row r="18" spans="8:13" x14ac:dyDescent="0.3">
      <c r="H18" s="19">
        <f t="shared" si="4"/>
        <v>21600</v>
      </c>
      <c r="I18" s="6">
        <f t="shared" si="1"/>
        <v>-157</v>
      </c>
      <c r="J18" s="6">
        <f t="shared" si="2"/>
        <v>23</v>
      </c>
      <c r="K18" s="6">
        <f t="shared" si="3"/>
        <v>-134</v>
      </c>
    </row>
    <row r="19" spans="8:13" x14ac:dyDescent="0.3">
      <c r="H19" s="19">
        <f t="shared" si="4"/>
        <v>21650</v>
      </c>
      <c r="I19" s="6">
        <f t="shared" si="1"/>
        <v>-107</v>
      </c>
      <c r="J19" s="6">
        <f t="shared" si="2"/>
        <v>23</v>
      </c>
      <c r="K19" s="6">
        <f t="shared" si="3"/>
        <v>-84</v>
      </c>
    </row>
    <row r="20" spans="8:13" x14ac:dyDescent="0.3">
      <c r="H20" s="19">
        <f t="shared" si="4"/>
        <v>21700</v>
      </c>
      <c r="I20" s="6">
        <f t="shared" si="1"/>
        <v>-57</v>
      </c>
      <c r="J20" s="6">
        <f t="shared" si="2"/>
        <v>23</v>
      </c>
      <c r="K20" s="6">
        <f t="shared" si="3"/>
        <v>-34</v>
      </c>
    </row>
    <row r="21" spans="8:13" x14ac:dyDescent="0.3">
      <c r="H21" s="19">
        <f>H22-16</f>
        <v>21734</v>
      </c>
      <c r="I21" s="6">
        <f t="shared" si="1"/>
        <v>-23</v>
      </c>
      <c r="J21" s="6">
        <f t="shared" si="2"/>
        <v>23</v>
      </c>
      <c r="K21" s="15">
        <f t="shared" si="3"/>
        <v>0</v>
      </c>
      <c r="L21" s="50" t="s">
        <v>77</v>
      </c>
      <c r="M21" s="50"/>
    </row>
    <row r="22" spans="8:13" x14ac:dyDescent="0.3">
      <c r="H22" s="19">
        <f>H20+50</f>
        <v>21750</v>
      </c>
      <c r="I22" s="6">
        <f t="shared" ref="I22:I48" si="5">(MAX($J$4-H22,0)-$K$4)*-1</f>
        <v>-7</v>
      </c>
      <c r="J22" s="6">
        <f t="shared" ref="J22:J48" si="6">(MAX(H22-$H$4,0)-$I$4)*-1</f>
        <v>23</v>
      </c>
      <c r="K22" s="6">
        <f t="shared" ref="K22:K48" si="7">I22+J22</f>
        <v>16</v>
      </c>
    </row>
    <row r="23" spans="8:13" x14ac:dyDescent="0.3">
      <c r="H23" s="19">
        <f t="shared" ref="H23:H32" si="8">H22+50</f>
        <v>21800</v>
      </c>
      <c r="I23" s="6">
        <f t="shared" si="5"/>
        <v>43</v>
      </c>
      <c r="J23" s="6">
        <f t="shared" si="6"/>
        <v>23</v>
      </c>
      <c r="K23" s="6">
        <f t="shared" si="7"/>
        <v>66</v>
      </c>
    </row>
    <row r="24" spans="8:13" x14ac:dyDescent="0.3">
      <c r="H24" s="19">
        <f t="shared" si="8"/>
        <v>21850</v>
      </c>
      <c r="I24" s="6">
        <f t="shared" si="5"/>
        <v>43</v>
      </c>
      <c r="J24" s="6">
        <f t="shared" si="6"/>
        <v>23</v>
      </c>
      <c r="K24" s="6">
        <f t="shared" si="7"/>
        <v>66</v>
      </c>
    </row>
    <row r="25" spans="8:13" x14ac:dyDescent="0.3">
      <c r="H25" s="19">
        <f t="shared" si="8"/>
        <v>21900</v>
      </c>
      <c r="I25" s="6">
        <f t="shared" si="5"/>
        <v>43</v>
      </c>
      <c r="J25" s="6">
        <f t="shared" si="6"/>
        <v>23</v>
      </c>
      <c r="K25" s="6">
        <f t="shared" si="7"/>
        <v>66</v>
      </c>
    </row>
    <row r="26" spans="8:13" x14ac:dyDescent="0.3">
      <c r="H26" s="19">
        <f t="shared" si="8"/>
        <v>21950</v>
      </c>
      <c r="I26" s="6">
        <f t="shared" si="5"/>
        <v>43</v>
      </c>
      <c r="J26" s="6">
        <f t="shared" si="6"/>
        <v>23</v>
      </c>
      <c r="K26" s="6">
        <f t="shared" si="7"/>
        <v>66</v>
      </c>
    </row>
    <row r="27" spans="8:13" x14ac:dyDescent="0.3">
      <c r="H27" s="19">
        <f t="shared" si="8"/>
        <v>22000</v>
      </c>
      <c r="I27" s="6">
        <f t="shared" si="5"/>
        <v>43</v>
      </c>
      <c r="J27" s="6">
        <f t="shared" si="6"/>
        <v>23</v>
      </c>
      <c r="K27" s="6">
        <f t="shared" si="7"/>
        <v>66</v>
      </c>
    </row>
    <row r="28" spans="8:13" x14ac:dyDescent="0.3">
      <c r="H28" s="19">
        <f t="shared" si="8"/>
        <v>22050</v>
      </c>
      <c r="I28" s="6">
        <f t="shared" si="5"/>
        <v>43</v>
      </c>
      <c r="J28" s="6">
        <f t="shared" si="6"/>
        <v>23</v>
      </c>
      <c r="K28" s="6">
        <f t="shared" si="7"/>
        <v>66</v>
      </c>
    </row>
    <row r="29" spans="8:13" x14ac:dyDescent="0.3">
      <c r="H29" s="19">
        <f t="shared" si="8"/>
        <v>22100</v>
      </c>
      <c r="I29" s="6">
        <f t="shared" si="5"/>
        <v>43</v>
      </c>
      <c r="J29" s="6">
        <f t="shared" si="6"/>
        <v>23</v>
      </c>
      <c r="K29" s="6">
        <f t="shared" si="7"/>
        <v>66</v>
      </c>
    </row>
    <row r="30" spans="8:13" x14ac:dyDescent="0.3">
      <c r="H30" s="19">
        <f t="shared" si="8"/>
        <v>22150</v>
      </c>
      <c r="I30" s="6">
        <f t="shared" si="5"/>
        <v>43</v>
      </c>
      <c r="J30" s="6">
        <f t="shared" si="6"/>
        <v>23</v>
      </c>
      <c r="K30" s="6">
        <f t="shared" si="7"/>
        <v>66</v>
      </c>
    </row>
    <row r="31" spans="8:13" x14ac:dyDescent="0.3">
      <c r="H31" s="19">
        <f t="shared" si="8"/>
        <v>22200</v>
      </c>
      <c r="I31" s="6">
        <f t="shared" si="5"/>
        <v>43</v>
      </c>
      <c r="J31" s="6">
        <f t="shared" si="6"/>
        <v>23</v>
      </c>
      <c r="K31" s="6">
        <f t="shared" si="7"/>
        <v>66</v>
      </c>
    </row>
    <row r="32" spans="8:13" x14ac:dyDescent="0.3">
      <c r="H32" s="19">
        <f t="shared" si="8"/>
        <v>22250</v>
      </c>
      <c r="I32" s="6">
        <f t="shared" si="5"/>
        <v>43</v>
      </c>
      <c r="J32" s="6">
        <f t="shared" si="6"/>
        <v>-27</v>
      </c>
      <c r="K32" s="6">
        <f t="shared" si="7"/>
        <v>16</v>
      </c>
    </row>
    <row r="33" spans="8:13" x14ac:dyDescent="0.3">
      <c r="H33" s="19">
        <f>H32+16</f>
        <v>22266</v>
      </c>
      <c r="I33" s="6">
        <f t="shared" si="5"/>
        <v>43</v>
      </c>
      <c r="J33" s="6">
        <f t="shared" si="6"/>
        <v>-43</v>
      </c>
      <c r="K33" s="15">
        <f t="shared" si="7"/>
        <v>0</v>
      </c>
      <c r="L33" s="50" t="s">
        <v>94</v>
      </c>
      <c r="M33" s="50"/>
    </row>
    <row r="34" spans="8:13" x14ac:dyDescent="0.3">
      <c r="H34" s="19">
        <f>H32+50</f>
        <v>22300</v>
      </c>
      <c r="I34" s="6">
        <f t="shared" si="5"/>
        <v>43</v>
      </c>
      <c r="J34" s="6">
        <f t="shared" si="6"/>
        <v>-77</v>
      </c>
      <c r="K34" s="6">
        <f t="shared" si="7"/>
        <v>-34</v>
      </c>
    </row>
    <row r="35" spans="8:13" x14ac:dyDescent="0.3">
      <c r="H35" s="19">
        <f t="shared" ref="H35:H48" si="9">H34+50</f>
        <v>22350</v>
      </c>
      <c r="I35" s="6">
        <f t="shared" si="5"/>
        <v>43</v>
      </c>
      <c r="J35" s="6">
        <f t="shared" si="6"/>
        <v>-127</v>
      </c>
      <c r="K35" s="6">
        <f t="shared" si="7"/>
        <v>-84</v>
      </c>
    </row>
    <row r="36" spans="8:13" x14ac:dyDescent="0.3">
      <c r="H36" s="19">
        <f t="shared" si="9"/>
        <v>22400</v>
      </c>
      <c r="I36" s="6">
        <f t="shared" si="5"/>
        <v>43</v>
      </c>
      <c r="J36" s="6">
        <f t="shared" si="6"/>
        <v>-177</v>
      </c>
      <c r="K36" s="6">
        <f t="shared" si="7"/>
        <v>-134</v>
      </c>
    </row>
    <row r="37" spans="8:13" x14ac:dyDescent="0.3">
      <c r="H37" s="19">
        <f t="shared" si="9"/>
        <v>22450</v>
      </c>
      <c r="I37" s="6">
        <f t="shared" si="5"/>
        <v>43</v>
      </c>
      <c r="J37" s="6">
        <f t="shared" si="6"/>
        <v>-227</v>
      </c>
      <c r="K37" s="6">
        <f t="shared" si="7"/>
        <v>-184</v>
      </c>
    </row>
    <row r="38" spans="8:13" x14ac:dyDescent="0.3">
      <c r="H38" s="19">
        <f t="shared" si="9"/>
        <v>22500</v>
      </c>
      <c r="I38" s="6">
        <f t="shared" si="5"/>
        <v>43</v>
      </c>
      <c r="J38" s="6">
        <f t="shared" si="6"/>
        <v>-277</v>
      </c>
      <c r="K38" s="6">
        <f t="shared" si="7"/>
        <v>-234</v>
      </c>
    </row>
    <row r="39" spans="8:13" x14ac:dyDescent="0.3">
      <c r="H39" s="19">
        <f t="shared" si="9"/>
        <v>22550</v>
      </c>
      <c r="I39" s="6">
        <f t="shared" si="5"/>
        <v>43</v>
      </c>
      <c r="J39" s="6">
        <f t="shared" si="6"/>
        <v>-327</v>
      </c>
      <c r="K39" s="6">
        <f t="shared" si="7"/>
        <v>-284</v>
      </c>
    </row>
    <row r="40" spans="8:13" x14ac:dyDescent="0.3">
      <c r="H40" s="19">
        <f t="shared" si="9"/>
        <v>22600</v>
      </c>
      <c r="I40" s="6">
        <f t="shared" si="5"/>
        <v>43</v>
      </c>
      <c r="J40" s="6">
        <f t="shared" si="6"/>
        <v>-377</v>
      </c>
      <c r="K40" s="6">
        <f t="shared" si="7"/>
        <v>-334</v>
      </c>
    </row>
    <row r="41" spans="8:13" x14ac:dyDescent="0.3">
      <c r="H41" s="19">
        <f t="shared" si="9"/>
        <v>22650</v>
      </c>
      <c r="I41" s="6">
        <f t="shared" si="5"/>
        <v>43</v>
      </c>
      <c r="J41" s="6">
        <f t="shared" si="6"/>
        <v>-427</v>
      </c>
      <c r="K41" s="6">
        <f t="shared" si="7"/>
        <v>-384</v>
      </c>
    </row>
    <row r="42" spans="8:13" x14ac:dyDescent="0.3">
      <c r="H42" s="19">
        <f t="shared" si="9"/>
        <v>22700</v>
      </c>
      <c r="I42" s="6">
        <f t="shared" si="5"/>
        <v>43</v>
      </c>
      <c r="J42" s="6">
        <f t="shared" si="6"/>
        <v>-477</v>
      </c>
      <c r="K42" s="6">
        <f t="shared" si="7"/>
        <v>-434</v>
      </c>
    </row>
    <row r="43" spans="8:13" x14ac:dyDescent="0.3">
      <c r="H43" s="19">
        <f t="shared" si="9"/>
        <v>22750</v>
      </c>
      <c r="I43" s="6">
        <f t="shared" si="5"/>
        <v>43</v>
      </c>
      <c r="J43" s="6">
        <f t="shared" si="6"/>
        <v>-527</v>
      </c>
      <c r="K43" s="6">
        <f t="shared" si="7"/>
        <v>-484</v>
      </c>
    </row>
    <row r="44" spans="8:13" x14ac:dyDescent="0.3">
      <c r="H44" s="19">
        <f t="shared" si="9"/>
        <v>22800</v>
      </c>
      <c r="I44" s="6">
        <f t="shared" si="5"/>
        <v>43</v>
      </c>
      <c r="J44" s="6">
        <f t="shared" si="6"/>
        <v>-577</v>
      </c>
      <c r="K44" s="6">
        <f t="shared" si="7"/>
        <v>-534</v>
      </c>
    </row>
    <row r="45" spans="8:13" x14ac:dyDescent="0.3">
      <c r="H45" s="19">
        <f t="shared" si="9"/>
        <v>22850</v>
      </c>
      <c r="I45" s="6">
        <f t="shared" si="5"/>
        <v>43</v>
      </c>
      <c r="J45" s="6">
        <f t="shared" si="6"/>
        <v>-627</v>
      </c>
      <c r="K45" s="6">
        <f t="shared" si="7"/>
        <v>-584</v>
      </c>
    </row>
    <row r="46" spans="8:13" x14ac:dyDescent="0.3">
      <c r="H46" s="19">
        <f t="shared" si="9"/>
        <v>22900</v>
      </c>
      <c r="I46" s="6">
        <f t="shared" si="5"/>
        <v>43</v>
      </c>
      <c r="J46" s="6">
        <f t="shared" si="6"/>
        <v>-677</v>
      </c>
      <c r="K46" s="6">
        <f t="shared" si="7"/>
        <v>-634</v>
      </c>
    </row>
    <row r="47" spans="8:13" x14ac:dyDescent="0.3">
      <c r="H47" s="19">
        <f t="shared" si="9"/>
        <v>22950</v>
      </c>
      <c r="I47" s="6">
        <f t="shared" si="5"/>
        <v>43</v>
      </c>
      <c r="J47" s="6">
        <f t="shared" si="6"/>
        <v>-727</v>
      </c>
      <c r="K47" s="6">
        <f t="shared" si="7"/>
        <v>-684</v>
      </c>
    </row>
    <row r="48" spans="8:13" x14ac:dyDescent="0.3">
      <c r="H48" s="19">
        <f t="shared" si="9"/>
        <v>23000</v>
      </c>
      <c r="I48" s="6">
        <f t="shared" si="5"/>
        <v>43</v>
      </c>
      <c r="J48" s="6">
        <f t="shared" si="6"/>
        <v>-777</v>
      </c>
      <c r="K48" s="6">
        <f t="shared" si="7"/>
        <v>-734</v>
      </c>
    </row>
    <row r="49" spans="8:8" x14ac:dyDescent="0.3">
      <c r="H49" s="16"/>
    </row>
    <row r="50" spans="8:8" x14ac:dyDescent="0.3">
      <c r="H50" s="16"/>
    </row>
  </sheetData>
  <sheetProtection algorithmName="SHA-512" hashValue="7nemRajBwOZ8/BtPEg+O0sa6jfQHUmAHPMoNQw5V7Ib2Y/1FMT76JAsK4FGyLia0/ybLWuSbhwnhAbQSQIKqhg==" saltValue="f6TRsBKelUzwQ5AEnUA9hQ==" spinCount="100000" sheet="1" objects="1" scenarios="1"/>
  <mergeCells count="7">
    <mergeCell ref="B3:F7"/>
    <mergeCell ref="L21:M21"/>
    <mergeCell ref="L33:M33"/>
    <mergeCell ref="M4:P7"/>
    <mergeCell ref="M3:P3"/>
    <mergeCell ref="M9:P9"/>
    <mergeCell ref="M11:P12"/>
  </mergeCells>
  <conditionalFormatting sqref="I6:I48">
    <cfRule type="cellIs" dxfId="55" priority="4" operator="lessThan">
      <formula>$G$9</formula>
    </cfRule>
    <cfRule type="cellIs" dxfId="54" priority="5" operator="greaterThan">
      <formula>0</formula>
    </cfRule>
  </conditionalFormatting>
  <conditionalFormatting sqref="J6:K48">
    <cfRule type="cellIs" dxfId="53" priority="1" operator="lessThan">
      <formula>0</formula>
    </cfRule>
    <cfRule type="cellIs" dxfId="52" priority="2" operator="lessThan">
      <formula>#REF!</formula>
    </cfRule>
    <cfRule type="cellIs" dxfId="51" priority="3" operator="greaterThan">
      <formula>0</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DF385-124E-400A-8993-59FFF02D7F5D}">
  <sheetPr codeName="Sheet13"/>
  <dimension ref="B2:Q207"/>
  <sheetViews>
    <sheetView topLeftCell="F1" workbookViewId="0">
      <selection activeCell="H3" sqref="H3:L6"/>
    </sheetView>
  </sheetViews>
  <sheetFormatPr defaultRowHeight="14.4" x14ac:dyDescent="0.3"/>
  <cols>
    <col min="8" max="8" width="11.21875" bestFit="1" customWidth="1"/>
    <col min="10" max="10" width="10.21875" bestFit="1" customWidth="1"/>
    <col min="11" max="12" width="11.77734375" bestFit="1" customWidth="1"/>
  </cols>
  <sheetData>
    <row r="2" spans="2:17" ht="15" thickBot="1" x14ac:dyDescent="0.35"/>
    <row r="3" spans="2:17" x14ac:dyDescent="0.3">
      <c r="B3" s="136" t="s">
        <v>97</v>
      </c>
      <c r="C3" s="137"/>
      <c r="D3" s="137"/>
      <c r="E3" s="137"/>
      <c r="F3" s="138"/>
      <c r="H3" s="1" t="s">
        <v>52</v>
      </c>
      <c r="I3" s="1" t="s">
        <v>93</v>
      </c>
      <c r="J3" s="1" t="s">
        <v>52</v>
      </c>
      <c r="K3" s="1" t="s">
        <v>75</v>
      </c>
      <c r="L3" s="1" t="s">
        <v>98</v>
      </c>
      <c r="M3" s="26"/>
      <c r="N3" s="51" t="s">
        <v>71</v>
      </c>
      <c r="O3" s="52"/>
      <c r="P3" s="52"/>
      <c r="Q3" s="53"/>
    </row>
    <row r="4" spans="2:17" x14ac:dyDescent="0.3">
      <c r="B4" s="105"/>
      <c r="C4" s="106"/>
      <c r="D4" s="106"/>
      <c r="E4" s="106"/>
      <c r="F4" s="107"/>
      <c r="H4" s="19">
        <v>5000</v>
      </c>
      <c r="I4" s="19">
        <v>39</v>
      </c>
      <c r="J4" s="19">
        <v>4700</v>
      </c>
      <c r="K4" s="19">
        <v>27</v>
      </c>
      <c r="L4" s="19">
        <v>4758</v>
      </c>
      <c r="M4" s="19"/>
      <c r="N4" s="105" t="s">
        <v>100</v>
      </c>
      <c r="O4" s="106"/>
      <c r="P4" s="106"/>
      <c r="Q4" s="107"/>
    </row>
    <row r="5" spans="2:17" x14ac:dyDescent="0.3">
      <c r="B5" s="105"/>
      <c r="C5" s="106"/>
      <c r="D5" s="106"/>
      <c r="E5" s="106"/>
      <c r="F5" s="107"/>
      <c r="H5" s="1" t="s">
        <v>4</v>
      </c>
      <c r="I5" s="17" t="str">
        <f>K3</f>
        <v>PUT BUY</v>
      </c>
      <c r="J5" s="1" t="str">
        <f>I3</f>
        <v xml:space="preserve">CALL SELL  </v>
      </c>
      <c r="K5" s="1" t="str">
        <f>L3</f>
        <v>STOCK LONG</v>
      </c>
      <c r="L5" s="1" t="s">
        <v>37</v>
      </c>
      <c r="N5" s="105"/>
      <c r="O5" s="106"/>
      <c r="P5" s="106"/>
      <c r="Q5" s="107"/>
    </row>
    <row r="6" spans="2:17" x14ac:dyDescent="0.3">
      <c r="B6" s="105"/>
      <c r="C6" s="106"/>
      <c r="D6" s="106"/>
      <c r="E6" s="106"/>
      <c r="F6" s="107"/>
      <c r="H6" s="19">
        <v>4000</v>
      </c>
      <c r="I6" s="6">
        <f>(MAX($J$4-H6,0)-$K$4)</f>
        <v>673</v>
      </c>
      <c r="J6" s="6">
        <f>(MAX(H6-$H$4,0)-$I$4)*-1</f>
        <v>39</v>
      </c>
      <c r="K6" s="6">
        <f>H6-$L$4</f>
        <v>-758</v>
      </c>
      <c r="L6" s="6">
        <f>SUM(I6:K6)</f>
        <v>-46</v>
      </c>
      <c r="N6" s="105"/>
      <c r="O6" s="106"/>
      <c r="P6" s="106"/>
      <c r="Q6" s="107"/>
    </row>
    <row r="7" spans="2:17" x14ac:dyDescent="0.3">
      <c r="B7" s="105"/>
      <c r="C7" s="106"/>
      <c r="D7" s="106"/>
      <c r="E7" s="106"/>
      <c r="F7" s="107"/>
      <c r="H7" s="19">
        <f>H6+10</f>
        <v>4010</v>
      </c>
      <c r="I7" s="6">
        <f t="shared" ref="I7:I70" si="0">(MAX($J$4-H7,0)-$K$4)</f>
        <v>663</v>
      </c>
      <c r="J7" s="6">
        <f t="shared" ref="J7:J70" si="1">(MAX(H7-$H$4,0)-$I$4)*-1</f>
        <v>39</v>
      </c>
      <c r="K7" s="6">
        <f t="shared" ref="K7:K70" si="2">H7-$L$4</f>
        <v>-748</v>
      </c>
      <c r="L7" s="6">
        <f t="shared" ref="L7:L70" si="3">SUM(I7:K7)</f>
        <v>-46</v>
      </c>
      <c r="N7" s="105"/>
      <c r="O7" s="106"/>
      <c r="P7" s="106"/>
      <c r="Q7" s="107"/>
    </row>
    <row r="8" spans="2:17" x14ac:dyDescent="0.3">
      <c r="B8" s="105"/>
      <c r="C8" s="106"/>
      <c r="D8" s="106"/>
      <c r="E8" s="106"/>
      <c r="F8" s="107"/>
      <c r="H8" s="19">
        <f t="shared" ref="H8:H71" si="4">H7+10</f>
        <v>4020</v>
      </c>
      <c r="I8" s="6">
        <f t="shared" si="0"/>
        <v>653</v>
      </c>
      <c r="J8" s="6">
        <f t="shared" si="1"/>
        <v>39</v>
      </c>
      <c r="K8" s="6">
        <f t="shared" si="2"/>
        <v>-738</v>
      </c>
      <c r="L8" s="6">
        <f t="shared" si="3"/>
        <v>-46</v>
      </c>
      <c r="N8" s="105"/>
      <c r="O8" s="106"/>
      <c r="P8" s="106"/>
      <c r="Q8" s="107"/>
    </row>
    <row r="9" spans="2:17" ht="15" thickBot="1" x14ac:dyDescent="0.35">
      <c r="B9" s="105"/>
      <c r="C9" s="106"/>
      <c r="D9" s="106"/>
      <c r="E9" s="106"/>
      <c r="F9" s="107"/>
      <c r="H9" s="19">
        <f t="shared" si="4"/>
        <v>4030</v>
      </c>
      <c r="I9" s="6">
        <f t="shared" si="0"/>
        <v>643</v>
      </c>
      <c r="J9" s="6">
        <f t="shared" si="1"/>
        <v>39</v>
      </c>
      <c r="K9" s="6">
        <f t="shared" si="2"/>
        <v>-728</v>
      </c>
      <c r="L9" s="6">
        <f t="shared" si="3"/>
        <v>-46</v>
      </c>
      <c r="N9" s="108"/>
      <c r="O9" s="109"/>
      <c r="P9" s="109"/>
      <c r="Q9" s="110"/>
    </row>
    <row r="10" spans="2:17" ht="15" thickBot="1" x14ac:dyDescent="0.35">
      <c r="B10" s="105"/>
      <c r="C10" s="106"/>
      <c r="D10" s="106"/>
      <c r="E10" s="106"/>
      <c r="F10" s="107"/>
      <c r="H10" s="19">
        <f t="shared" si="4"/>
        <v>4040</v>
      </c>
      <c r="I10" s="6">
        <f t="shared" si="0"/>
        <v>633</v>
      </c>
      <c r="J10" s="6">
        <f t="shared" si="1"/>
        <v>39</v>
      </c>
      <c r="K10" s="6">
        <f t="shared" si="2"/>
        <v>-718</v>
      </c>
      <c r="L10" s="6">
        <f t="shared" si="3"/>
        <v>-46</v>
      </c>
    </row>
    <row r="11" spans="2:17" ht="15" thickBot="1" x14ac:dyDescent="0.35">
      <c r="B11" s="108"/>
      <c r="C11" s="109"/>
      <c r="D11" s="109"/>
      <c r="E11" s="109"/>
      <c r="F11" s="110"/>
      <c r="H11" s="19">
        <f t="shared" si="4"/>
        <v>4050</v>
      </c>
      <c r="I11" s="6">
        <f t="shared" si="0"/>
        <v>623</v>
      </c>
      <c r="J11" s="6">
        <f t="shared" si="1"/>
        <v>39</v>
      </c>
      <c r="K11" s="6">
        <f t="shared" si="2"/>
        <v>-708</v>
      </c>
      <c r="L11" s="6">
        <f t="shared" si="3"/>
        <v>-46</v>
      </c>
      <c r="N11" s="151" t="s">
        <v>101</v>
      </c>
      <c r="O11" s="152"/>
      <c r="P11" s="152"/>
      <c r="Q11" s="153"/>
    </row>
    <row r="12" spans="2:17" ht="15" thickBot="1" x14ac:dyDescent="0.35">
      <c r="H12" s="19">
        <f t="shared" si="4"/>
        <v>4060</v>
      </c>
      <c r="I12" s="6">
        <f t="shared" si="0"/>
        <v>613</v>
      </c>
      <c r="J12" s="6">
        <f t="shared" si="1"/>
        <v>39</v>
      </c>
      <c r="K12" s="6">
        <f t="shared" si="2"/>
        <v>-698</v>
      </c>
      <c r="L12" s="6">
        <f t="shared" si="3"/>
        <v>-46</v>
      </c>
    </row>
    <row r="13" spans="2:17" ht="15" thickBot="1" x14ac:dyDescent="0.35">
      <c r="H13" s="19">
        <f t="shared" si="4"/>
        <v>4070</v>
      </c>
      <c r="I13" s="6">
        <f t="shared" si="0"/>
        <v>603</v>
      </c>
      <c r="J13" s="6">
        <f t="shared" si="1"/>
        <v>39</v>
      </c>
      <c r="K13" s="6">
        <f t="shared" si="2"/>
        <v>-688</v>
      </c>
      <c r="L13" s="6">
        <f t="shared" si="3"/>
        <v>-46</v>
      </c>
      <c r="N13" s="151" t="s">
        <v>102</v>
      </c>
      <c r="O13" s="152"/>
      <c r="P13" s="152"/>
      <c r="Q13" s="153"/>
    </row>
    <row r="14" spans="2:17" x14ac:dyDescent="0.3">
      <c r="H14" s="19">
        <f t="shared" si="4"/>
        <v>4080</v>
      </c>
      <c r="I14" s="6">
        <f t="shared" si="0"/>
        <v>593</v>
      </c>
      <c r="J14" s="6">
        <f t="shared" si="1"/>
        <v>39</v>
      </c>
      <c r="K14" s="6">
        <f t="shared" si="2"/>
        <v>-678</v>
      </c>
      <c r="L14" s="6">
        <f t="shared" si="3"/>
        <v>-46</v>
      </c>
    </row>
    <row r="15" spans="2:17" x14ac:dyDescent="0.3">
      <c r="H15" s="19">
        <f t="shared" si="4"/>
        <v>4090</v>
      </c>
      <c r="I15" s="6">
        <f t="shared" si="0"/>
        <v>583</v>
      </c>
      <c r="J15" s="6">
        <f t="shared" si="1"/>
        <v>39</v>
      </c>
      <c r="K15" s="6">
        <f t="shared" si="2"/>
        <v>-668</v>
      </c>
      <c r="L15" s="6">
        <f t="shared" si="3"/>
        <v>-46</v>
      </c>
    </row>
    <row r="16" spans="2:17" x14ac:dyDescent="0.3">
      <c r="H16" s="19">
        <f t="shared" si="4"/>
        <v>4100</v>
      </c>
      <c r="I16" s="6">
        <f t="shared" si="0"/>
        <v>573</v>
      </c>
      <c r="J16" s="6">
        <f t="shared" si="1"/>
        <v>39</v>
      </c>
      <c r="K16" s="6">
        <f t="shared" si="2"/>
        <v>-658</v>
      </c>
      <c r="L16" s="6">
        <f t="shared" si="3"/>
        <v>-46</v>
      </c>
    </row>
    <row r="17" spans="8:12" x14ac:dyDescent="0.3">
      <c r="H17" s="19">
        <f t="shared" si="4"/>
        <v>4110</v>
      </c>
      <c r="I17" s="6">
        <f t="shared" si="0"/>
        <v>563</v>
      </c>
      <c r="J17" s="6">
        <f t="shared" si="1"/>
        <v>39</v>
      </c>
      <c r="K17" s="6">
        <f t="shared" si="2"/>
        <v>-648</v>
      </c>
      <c r="L17" s="6">
        <f t="shared" si="3"/>
        <v>-46</v>
      </c>
    </row>
    <row r="18" spans="8:12" x14ac:dyDescent="0.3">
      <c r="H18" s="19">
        <f t="shared" si="4"/>
        <v>4120</v>
      </c>
      <c r="I18" s="6">
        <f t="shared" si="0"/>
        <v>553</v>
      </c>
      <c r="J18" s="6">
        <f t="shared" si="1"/>
        <v>39</v>
      </c>
      <c r="K18" s="6">
        <f t="shared" si="2"/>
        <v>-638</v>
      </c>
      <c r="L18" s="6">
        <f t="shared" si="3"/>
        <v>-46</v>
      </c>
    </row>
    <row r="19" spans="8:12" x14ac:dyDescent="0.3">
      <c r="H19" s="19">
        <f t="shared" si="4"/>
        <v>4130</v>
      </c>
      <c r="I19" s="6">
        <f t="shared" si="0"/>
        <v>543</v>
      </c>
      <c r="J19" s="6">
        <f t="shared" si="1"/>
        <v>39</v>
      </c>
      <c r="K19" s="6">
        <f t="shared" si="2"/>
        <v>-628</v>
      </c>
      <c r="L19" s="6">
        <f t="shared" si="3"/>
        <v>-46</v>
      </c>
    </row>
    <row r="20" spans="8:12" x14ac:dyDescent="0.3">
      <c r="H20" s="19">
        <f t="shared" si="4"/>
        <v>4140</v>
      </c>
      <c r="I20" s="6">
        <f t="shared" si="0"/>
        <v>533</v>
      </c>
      <c r="J20" s="6">
        <f t="shared" si="1"/>
        <v>39</v>
      </c>
      <c r="K20" s="6">
        <f t="shared" si="2"/>
        <v>-618</v>
      </c>
      <c r="L20" s="6">
        <f t="shared" si="3"/>
        <v>-46</v>
      </c>
    </row>
    <row r="21" spans="8:12" x14ac:dyDescent="0.3">
      <c r="H21" s="19">
        <f t="shared" si="4"/>
        <v>4150</v>
      </c>
      <c r="I21" s="6">
        <f t="shared" si="0"/>
        <v>523</v>
      </c>
      <c r="J21" s="6">
        <f t="shared" si="1"/>
        <v>39</v>
      </c>
      <c r="K21" s="6">
        <f t="shared" si="2"/>
        <v>-608</v>
      </c>
      <c r="L21" s="6">
        <f t="shared" si="3"/>
        <v>-46</v>
      </c>
    </row>
    <row r="22" spans="8:12" x14ac:dyDescent="0.3">
      <c r="H22" s="19">
        <f t="shared" si="4"/>
        <v>4160</v>
      </c>
      <c r="I22" s="6">
        <f t="shared" si="0"/>
        <v>513</v>
      </c>
      <c r="J22" s="6">
        <f t="shared" si="1"/>
        <v>39</v>
      </c>
      <c r="K22" s="6">
        <f t="shared" si="2"/>
        <v>-598</v>
      </c>
      <c r="L22" s="6">
        <f t="shared" si="3"/>
        <v>-46</v>
      </c>
    </row>
    <row r="23" spans="8:12" x14ac:dyDescent="0.3">
      <c r="H23" s="19">
        <f t="shared" si="4"/>
        <v>4170</v>
      </c>
      <c r="I23" s="6">
        <f t="shared" si="0"/>
        <v>503</v>
      </c>
      <c r="J23" s="6">
        <f t="shared" si="1"/>
        <v>39</v>
      </c>
      <c r="K23" s="6">
        <f t="shared" si="2"/>
        <v>-588</v>
      </c>
      <c r="L23" s="6">
        <f t="shared" si="3"/>
        <v>-46</v>
      </c>
    </row>
    <row r="24" spans="8:12" x14ac:dyDescent="0.3">
      <c r="H24" s="19">
        <f t="shared" si="4"/>
        <v>4180</v>
      </c>
      <c r="I24" s="6">
        <f t="shared" si="0"/>
        <v>493</v>
      </c>
      <c r="J24" s="6">
        <f t="shared" si="1"/>
        <v>39</v>
      </c>
      <c r="K24" s="6">
        <f t="shared" si="2"/>
        <v>-578</v>
      </c>
      <c r="L24" s="6">
        <f t="shared" si="3"/>
        <v>-46</v>
      </c>
    </row>
    <row r="25" spans="8:12" x14ac:dyDescent="0.3">
      <c r="H25" s="19">
        <f t="shared" si="4"/>
        <v>4190</v>
      </c>
      <c r="I25" s="6">
        <f t="shared" si="0"/>
        <v>483</v>
      </c>
      <c r="J25" s="6">
        <f t="shared" si="1"/>
        <v>39</v>
      </c>
      <c r="K25" s="6">
        <f t="shared" si="2"/>
        <v>-568</v>
      </c>
      <c r="L25" s="6">
        <f t="shared" si="3"/>
        <v>-46</v>
      </c>
    </row>
    <row r="26" spans="8:12" x14ac:dyDescent="0.3">
      <c r="H26" s="19">
        <f t="shared" si="4"/>
        <v>4200</v>
      </c>
      <c r="I26" s="6">
        <f t="shared" si="0"/>
        <v>473</v>
      </c>
      <c r="J26" s="6">
        <f t="shared" si="1"/>
        <v>39</v>
      </c>
      <c r="K26" s="6">
        <f t="shared" si="2"/>
        <v>-558</v>
      </c>
      <c r="L26" s="6">
        <f t="shared" si="3"/>
        <v>-46</v>
      </c>
    </row>
    <row r="27" spans="8:12" x14ac:dyDescent="0.3">
      <c r="H27" s="19">
        <f t="shared" si="4"/>
        <v>4210</v>
      </c>
      <c r="I27" s="6">
        <f t="shared" si="0"/>
        <v>463</v>
      </c>
      <c r="J27" s="6">
        <f t="shared" si="1"/>
        <v>39</v>
      </c>
      <c r="K27" s="6">
        <f t="shared" si="2"/>
        <v>-548</v>
      </c>
      <c r="L27" s="6">
        <f t="shared" si="3"/>
        <v>-46</v>
      </c>
    </row>
    <row r="28" spans="8:12" x14ac:dyDescent="0.3">
      <c r="H28" s="19">
        <f t="shared" si="4"/>
        <v>4220</v>
      </c>
      <c r="I28" s="6">
        <f t="shared" si="0"/>
        <v>453</v>
      </c>
      <c r="J28" s="6">
        <f t="shared" si="1"/>
        <v>39</v>
      </c>
      <c r="K28" s="6">
        <f t="shared" si="2"/>
        <v>-538</v>
      </c>
      <c r="L28" s="6">
        <f t="shared" si="3"/>
        <v>-46</v>
      </c>
    </row>
    <row r="29" spans="8:12" x14ac:dyDescent="0.3">
      <c r="H29" s="19">
        <f t="shared" si="4"/>
        <v>4230</v>
      </c>
      <c r="I29" s="6">
        <f t="shared" si="0"/>
        <v>443</v>
      </c>
      <c r="J29" s="6">
        <f t="shared" si="1"/>
        <v>39</v>
      </c>
      <c r="K29" s="6">
        <f t="shared" si="2"/>
        <v>-528</v>
      </c>
      <c r="L29" s="6">
        <f t="shared" si="3"/>
        <v>-46</v>
      </c>
    </row>
    <row r="30" spans="8:12" x14ac:dyDescent="0.3">
      <c r="H30" s="19">
        <f t="shared" si="4"/>
        <v>4240</v>
      </c>
      <c r="I30" s="6">
        <f t="shared" si="0"/>
        <v>433</v>
      </c>
      <c r="J30" s="6">
        <f t="shared" si="1"/>
        <v>39</v>
      </c>
      <c r="K30" s="6">
        <f t="shared" si="2"/>
        <v>-518</v>
      </c>
      <c r="L30" s="6">
        <f t="shared" si="3"/>
        <v>-46</v>
      </c>
    </row>
    <row r="31" spans="8:12" x14ac:dyDescent="0.3">
      <c r="H31" s="19">
        <f t="shared" si="4"/>
        <v>4250</v>
      </c>
      <c r="I31" s="6">
        <f t="shared" si="0"/>
        <v>423</v>
      </c>
      <c r="J31" s="6">
        <f t="shared" si="1"/>
        <v>39</v>
      </c>
      <c r="K31" s="6">
        <f t="shared" si="2"/>
        <v>-508</v>
      </c>
      <c r="L31" s="6">
        <f t="shared" si="3"/>
        <v>-46</v>
      </c>
    </row>
    <row r="32" spans="8:12" x14ac:dyDescent="0.3">
      <c r="H32" s="19">
        <f t="shared" si="4"/>
        <v>4260</v>
      </c>
      <c r="I32" s="6">
        <f t="shared" si="0"/>
        <v>413</v>
      </c>
      <c r="J32" s="6">
        <f t="shared" si="1"/>
        <v>39</v>
      </c>
      <c r="K32" s="6">
        <f t="shared" si="2"/>
        <v>-498</v>
      </c>
      <c r="L32" s="6">
        <f t="shared" si="3"/>
        <v>-46</v>
      </c>
    </row>
    <row r="33" spans="8:12" x14ac:dyDescent="0.3">
      <c r="H33" s="19">
        <f t="shared" si="4"/>
        <v>4270</v>
      </c>
      <c r="I33" s="6">
        <f t="shared" si="0"/>
        <v>403</v>
      </c>
      <c r="J33" s="6">
        <f t="shared" si="1"/>
        <v>39</v>
      </c>
      <c r="K33" s="6">
        <f t="shared" si="2"/>
        <v>-488</v>
      </c>
      <c r="L33" s="6">
        <f t="shared" si="3"/>
        <v>-46</v>
      </c>
    </row>
    <row r="34" spans="8:12" x14ac:dyDescent="0.3">
      <c r="H34" s="19">
        <f t="shared" si="4"/>
        <v>4280</v>
      </c>
      <c r="I34" s="6">
        <f t="shared" si="0"/>
        <v>393</v>
      </c>
      <c r="J34" s="6">
        <f t="shared" si="1"/>
        <v>39</v>
      </c>
      <c r="K34" s="6">
        <f t="shared" si="2"/>
        <v>-478</v>
      </c>
      <c r="L34" s="6">
        <f t="shared" si="3"/>
        <v>-46</v>
      </c>
    </row>
    <row r="35" spans="8:12" x14ac:dyDescent="0.3">
      <c r="H35" s="19">
        <f t="shared" si="4"/>
        <v>4290</v>
      </c>
      <c r="I35" s="6">
        <f t="shared" si="0"/>
        <v>383</v>
      </c>
      <c r="J35" s="6">
        <f t="shared" si="1"/>
        <v>39</v>
      </c>
      <c r="K35" s="6">
        <f t="shared" si="2"/>
        <v>-468</v>
      </c>
      <c r="L35" s="6">
        <f t="shared" si="3"/>
        <v>-46</v>
      </c>
    </row>
    <row r="36" spans="8:12" x14ac:dyDescent="0.3">
      <c r="H36" s="19">
        <f t="shared" si="4"/>
        <v>4300</v>
      </c>
      <c r="I36" s="6">
        <f t="shared" si="0"/>
        <v>373</v>
      </c>
      <c r="J36" s="6">
        <f t="shared" si="1"/>
        <v>39</v>
      </c>
      <c r="K36" s="6">
        <f t="shared" si="2"/>
        <v>-458</v>
      </c>
      <c r="L36" s="6">
        <f t="shared" si="3"/>
        <v>-46</v>
      </c>
    </row>
    <row r="37" spans="8:12" x14ac:dyDescent="0.3">
      <c r="H37" s="19">
        <f t="shared" si="4"/>
        <v>4310</v>
      </c>
      <c r="I37" s="6">
        <f t="shared" si="0"/>
        <v>363</v>
      </c>
      <c r="J37" s="6">
        <f t="shared" si="1"/>
        <v>39</v>
      </c>
      <c r="K37" s="6">
        <f t="shared" si="2"/>
        <v>-448</v>
      </c>
      <c r="L37" s="6">
        <f t="shared" si="3"/>
        <v>-46</v>
      </c>
    </row>
    <row r="38" spans="8:12" x14ac:dyDescent="0.3">
      <c r="H38" s="19">
        <f t="shared" si="4"/>
        <v>4320</v>
      </c>
      <c r="I38" s="6">
        <f t="shared" si="0"/>
        <v>353</v>
      </c>
      <c r="J38" s="6">
        <f t="shared" si="1"/>
        <v>39</v>
      </c>
      <c r="K38" s="6">
        <f t="shared" si="2"/>
        <v>-438</v>
      </c>
      <c r="L38" s="6">
        <f t="shared" si="3"/>
        <v>-46</v>
      </c>
    </row>
    <row r="39" spans="8:12" x14ac:dyDescent="0.3">
      <c r="H39" s="19">
        <f t="shared" si="4"/>
        <v>4330</v>
      </c>
      <c r="I39" s="6">
        <f t="shared" si="0"/>
        <v>343</v>
      </c>
      <c r="J39" s="6">
        <f t="shared" si="1"/>
        <v>39</v>
      </c>
      <c r="K39" s="6">
        <f t="shared" si="2"/>
        <v>-428</v>
      </c>
      <c r="L39" s="6">
        <f t="shared" si="3"/>
        <v>-46</v>
      </c>
    </row>
    <row r="40" spans="8:12" x14ac:dyDescent="0.3">
      <c r="H40" s="19">
        <f t="shared" si="4"/>
        <v>4340</v>
      </c>
      <c r="I40" s="6">
        <f t="shared" si="0"/>
        <v>333</v>
      </c>
      <c r="J40" s="6">
        <f t="shared" si="1"/>
        <v>39</v>
      </c>
      <c r="K40" s="6">
        <f t="shared" si="2"/>
        <v>-418</v>
      </c>
      <c r="L40" s="6">
        <f t="shared" si="3"/>
        <v>-46</v>
      </c>
    </row>
    <row r="41" spans="8:12" x14ac:dyDescent="0.3">
      <c r="H41" s="19">
        <f t="shared" si="4"/>
        <v>4350</v>
      </c>
      <c r="I41" s="6">
        <f t="shared" si="0"/>
        <v>323</v>
      </c>
      <c r="J41" s="6">
        <f t="shared" si="1"/>
        <v>39</v>
      </c>
      <c r="K41" s="6">
        <f t="shared" si="2"/>
        <v>-408</v>
      </c>
      <c r="L41" s="6">
        <f t="shared" si="3"/>
        <v>-46</v>
      </c>
    </row>
    <row r="42" spans="8:12" x14ac:dyDescent="0.3">
      <c r="H42" s="19">
        <f t="shared" si="4"/>
        <v>4360</v>
      </c>
      <c r="I42" s="6">
        <f t="shared" si="0"/>
        <v>313</v>
      </c>
      <c r="J42" s="6">
        <f t="shared" si="1"/>
        <v>39</v>
      </c>
      <c r="K42" s="6">
        <f t="shared" si="2"/>
        <v>-398</v>
      </c>
      <c r="L42" s="6">
        <f t="shared" si="3"/>
        <v>-46</v>
      </c>
    </row>
    <row r="43" spans="8:12" x14ac:dyDescent="0.3">
      <c r="H43" s="19">
        <f t="shared" si="4"/>
        <v>4370</v>
      </c>
      <c r="I43" s="6">
        <f t="shared" si="0"/>
        <v>303</v>
      </c>
      <c r="J43" s="6">
        <f t="shared" si="1"/>
        <v>39</v>
      </c>
      <c r="K43" s="6">
        <f t="shared" si="2"/>
        <v>-388</v>
      </c>
      <c r="L43" s="6">
        <f t="shared" si="3"/>
        <v>-46</v>
      </c>
    </row>
    <row r="44" spans="8:12" x14ac:dyDescent="0.3">
      <c r="H44" s="19">
        <f t="shared" si="4"/>
        <v>4380</v>
      </c>
      <c r="I44" s="6">
        <f t="shared" si="0"/>
        <v>293</v>
      </c>
      <c r="J44" s="6">
        <f t="shared" si="1"/>
        <v>39</v>
      </c>
      <c r="K44" s="6">
        <f t="shared" si="2"/>
        <v>-378</v>
      </c>
      <c r="L44" s="6">
        <f t="shared" si="3"/>
        <v>-46</v>
      </c>
    </row>
    <row r="45" spans="8:12" x14ac:dyDescent="0.3">
      <c r="H45" s="19">
        <f t="shared" si="4"/>
        <v>4390</v>
      </c>
      <c r="I45" s="6">
        <f t="shared" si="0"/>
        <v>283</v>
      </c>
      <c r="J45" s="6">
        <f t="shared" si="1"/>
        <v>39</v>
      </c>
      <c r="K45" s="6">
        <f t="shared" si="2"/>
        <v>-368</v>
      </c>
      <c r="L45" s="6">
        <f t="shared" si="3"/>
        <v>-46</v>
      </c>
    </row>
    <row r="46" spans="8:12" x14ac:dyDescent="0.3">
      <c r="H46" s="19">
        <f t="shared" si="4"/>
        <v>4400</v>
      </c>
      <c r="I46" s="6">
        <f t="shared" si="0"/>
        <v>273</v>
      </c>
      <c r="J46" s="6">
        <f t="shared" si="1"/>
        <v>39</v>
      </c>
      <c r="K46" s="6">
        <f t="shared" si="2"/>
        <v>-358</v>
      </c>
      <c r="L46" s="6">
        <f t="shared" si="3"/>
        <v>-46</v>
      </c>
    </row>
    <row r="47" spans="8:12" x14ac:dyDescent="0.3">
      <c r="H47" s="19">
        <f t="shared" si="4"/>
        <v>4410</v>
      </c>
      <c r="I47" s="6">
        <f t="shared" si="0"/>
        <v>263</v>
      </c>
      <c r="J47" s="6">
        <f t="shared" si="1"/>
        <v>39</v>
      </c>
      <c r="K47" s="6">
        <f t="shared" si="2"/>
        <v>-348</v>
      </c>
      <c r="L47" s="6">
        <f t="shared" si="3"/>
        <v>-46</v>
      </c>
    </row>
    <row r="48" spans="8:12" x14ac:dyDescent="0.3">
      <c r="H48" s="19">
        <f t="shared" si="4"/>
        <v>4420</v>
      </c>
      <c r="I48" s="6">
        <f t="shared" si="0"/>
        <v>253</v>
      </c>
      <c r="J48" s="6">
        <f t="shared" si="1"/>
        <v>39</v>
      </c>
      <c r="K48" s="6">
        <f t="shared" si="2"/>
        <v>-338</v>
      </c>
      <c r="L48" s="6">
        <f t="shared" si="3"/>
        <v>-46</v>
      </c>
    </row>
    <row r="49" spans="8:12" x14ac:dyDescent="0.3">
      <c r="H49" s="19">
        <f t="shared" si="4"/>
        <v>4430</v>
      </c>
      <c r="I49" s="6">
        <f t="shared" si="0"/>
        <v>243</v>
      </c>
      <c r="J49" s="6">
        <f t="shared" si="1"/>
        <v>39</v>
      </c>
      <c r="K49" s="6">
        <f t="shared" si="2"/>
        <v>-328</v>
      </c>
      <c r="L49" s="6">
        <f t="shared" si="3"/>
        <v>-46</v>
      </c>
    </row>
    <row r="50" spans="8:12" x14ac:dyDescent="0.3">
      <c r="H50" s="19">
        <f t="shared" si="4"/>
        <v>4440</v>
      </c>
      <c r="I50" s="6">
        <f t="shared" si="0"/>
        <v>233</v>
      </c>
      <c r="J50" s="6">
        <f t="shared" si="1"/>
        <v>39</v>
      </c>
      <c r="K50" s="6">
        <f t="shared" si="2"/>
        <v>-318</v>
      </c>
      <c r="L50" s="6">
        <f t="shared" si="3"/>
        <v>-46</v>
      </c>
    </row>
    <row r="51" spans="8:12" x14ac:dyDescent="0.3">
      <c r="H51" s="19">
        <f t="shared" si="4"/>
        <v>4450</v>
      </c>
      <c r="I51" s="6">
        <f t="shared" si="0"/>
        <v>223</v>
      </c>
      <c r="J51" s="6">
        <f t="shared" si="1"/>
        <v>39</v>
      </c>
      <c r="K51" s="6">
        <f t="shared" si="2"/>
        <v>-308</v>
      </c>
      <c r="L51" s="6">
        <f t="shared" si="3"/>
        <v>-46</v>
      </c>
    </row>
    <row r="52" spans="8:12" x14ac:dyDescent="0.3">
      <c r="H52" s="19">
        <f t="shared" si="4"/>
        <v>4460</v>
      </c>
      <c r="I52" s="6">
        <f t="shared" si="0"/>
        <v>213</v>
      </c>
      <c r="J52" s="6">
        <f t="shared" si="1"/>
        <v>39</v>
      </c>
      <c r="K52" s="6">
        <f t="shared" si="2"/>
        <v>-298</v>
      </c>
      <c r="L52" s="6">
        <f t="shared" si="3"/>
        <v>-46</v>
      </c>
    </row>
    <row r="53" spans="8:12" x14ac:dyDescent="0.3">
      <c r="H53" s="19">
        <f t="shared" si="4"/>
        <v>4470</v>
      </c>
      <c r="I53" s="6">
        <f t="shared" si="0"/>
        <v>203</v>
      </c>
      <c r="J53" s="6">
        <f t="shared" si="1"/>
        <v>39</v>
      </c>
      <c r="K53" s="6">
        <f t="shared" si="2"/>
        <v>-288</v>
      </c>
      <c r="L53" s="6">
        <f t="shared" si="3"/>
        <v>-46</v>
      </c>
    </row>
    <row r="54" spans="8:12" x14ac:dyDescent="0.3">
      <c r="H54" s="19">
        <f t="shared" si="4"/>
        <v>4480</v>
      </c>
      <c r="I54" s="6">
        <f t="shared" si="0"/>
        <v>193</v>
      </c>
      <c r="J54" s="6">
        <f t="shared" si="1"/>
        <v>39</v>
      </c>
      <c r="K54" s="6">
        <f t="shared" si="2"/>
        <v>-278</v>
      </c>
      <c r="L54" s="6">
        <f t="shared" si="3"/>
        <v>-46</v>
      </c>
    </row>
    <row r="55" spans="8:12" x14ac:dyDescent="0.3">
      <c r="H55" s="19">
        <f t="shared" si="4"/>
        <v>4490</v>
      </c>
      <c r="I55" s="6">
        <f t="shared" si="0"/>
        <v>183</v>
      </c>
      <c r="J55" s="6">
        <f t="shared" si="1"/>
        <v>39</v>
      </c>
      <c r="K55" s="6">
        <f t="shared" si="2"/>
        <v>-268</v>
      </c>
      <c r="L55" s="6">
        <f t="shared" si="3"/>
        <v>-46</v>
      </c>
    </row>
    <row r="56" spans="8:12" x14ac:dyDescent="0.3">
      <c r="H56" s="19">
        <f t="shared" si="4"/>
        <v>4500</v>
      </c>
      <c r="I56" s="6">
        <f t="shared" si="0"/>
        <v>173</v>
      </c>
      <c r="J56" s="6">
        <f t="shared" si="1"/>
        <v>39</v>
      </c>
      <c r="K56" s="6">
        <f t="shared" si="2"/>
        <v>-258</v>
      </c>
      <c r="L56" s="6">
        <f t="shared" si="3"/>
        <v>-46</v>
      </c>
    </row>
    <row r="57" spans="8:12" x14ac:dyDescent="0.3">
      <c r="H57" s="19">
        <f t="shared" si="4"/>
        <v>4510</v>
      </c>
      <c r="I57" s="6">
        <f t="shared" si="0"/>
        <v>163</v>
      </c>
      <c r="J57" s="6">
        <f t="shared" si="1"/>
        <v>39</v>
      </c>
      <c r="K57" s="6">
        <f t="shared" si="2"/>
        <v>-248</v>
      </c>
      <c r="L57" s="6">
        <f t="shared" si="3"/>
        <v>-46</v>
      </c>
    </row>
    <row r="58" spans="8:12" x14ac:dyDescent="0.3">
      <c r="H58" s="19">
        <f t="shared" si="4"/>
        <v>4520</v>
      </c>
      <c r="I58" s="6">
        <f t="shared" si="0"/>
        <v>153</v>
      </c>
      <c r="J58" s="6">
        <f t="shared" si="1"/>
        <v>39</v>
      </c>
      <c r="K58" s="6">
        <f t="shared" si="2"/>
        <v>-238</v>
      </c>
      <c r="L58" s="6">
        <f t="shared" si="3"/>
        <v>-46</v>
      </c>
    </row>
    <row r="59" spans="8:12" x14ac:dyDescent="0.3">
      <c r="H59" s="19">
        <f t="shared" si="4"/>
        <v>4530</v>
      </c>
      <c r="I59" s="6">
        <f t="shared" si="0"/>
        <v>143</v>
      </c>
      <c r="J59" s="6">
        <f t="shared" si="1"/>
        <v>39</v>
      </c>
      <c r="K59" s="6">
        <f t="shared" si="2"/>
        <v>-228</v>
      </c>
      <c r="L59" s="6">
        <f t="shared" si="3"/>
        <v>-46</v>
      </c>
    </row>
    <row r="60" spans="8:12" x14ac:dyDescent="0.3">
      <c r="H60" s="19">
        <f t="shared" si="4"/>
        <v>4540</v>
      </c>
      <c r="I60" s="6">
        <f t="shared" si="0"/>
        <v>133</v>
      </c>
      <c r="J60" s="6">
        <f t="shared" si="1"/>
        <v>39</v>
      </c>
      <c r="K60" s="6">
        <f t="shared" si="2"/>
        <v>-218</v>
      </c>
      <c r="L60" s="6">
        <f t="shared" si="3"/>
        <v>-46</v>
      </c>
    </row>
    <row r="61" spans="8:12" x14ac:dyDescent="0.3">
      <c r="H61" s="19">
        <f t="shared" si="4"/>
        <v>4550</v>
      </c>
      <c r="I61" s="6">
        <f t="shared" si="0"/>
        <v>123</v>
      </c>
      <c r="J61" s="6">
        <f t="shared" si="1"/>
        <v>39</v>
      </c>
      <c r="K61" s="6">
        <f t="shared" si="2"/>
        <v>-208</v>
      </c>
      <c r="L61" s="6">
        <f t="shared" si="3"/>
        <v>-46</v>
      </c>
    </row>
    <row r="62" spans="8:12" x14ac:dyDescent="0.3">
      <c r="H62" s="19">
        <f t="shared" si="4"/>
        <v>4560</v>
      </c>
      <c r="I62" s="6">
        <f t="shared" si="0"/>
        <v>113</v>
      </c>
      <c r="J62" s="6">
        <f t="shared" si="1"/>
        <v>39</v>
      </c>
      <c r="K62" s="6">
        <f t="shared" si="2"/>
        <v>-198</v>
      </c>
      <c r="L62" s="6">
        <f t="shared" si="3"/>
        <v>-46</v>
      </c>
    </row>
    <row r="63" spans="8:12" x14ac:dyDescent="0.3">
      <c r="H63" s="19">
        <f t="shared" si="4"/>
        <v>4570</v>
      </c>
      <c r="I63" s="6">
        <f t="shared" si="0"/>
        <v>103</v>
      </c>
      <c r="J63" s="6">
        <f t="shared" si="1"/>
        <v>39</v>
      </c>
      <c r="K63" s="6">
        <f t="shared" si="2"/>
        <v>-188</v>
      </c>
      <c r="L63" s="6">
        <f t="shared" si="3"/>
        <v>-46</v>
      </c>
    </row>
    <row r="64" spans="8:12" x14ac:dyDescent="0.3">
      <c r="H64" s="19">
        <f t="shared" si="4"/>
        <v>4580</v>
      </c>
      <c r="I64" s="6">
        <f t="shared" si="0"/>
        <v>93</v>
      </c>
      <c r="J64" s="6">
        <f t="shared" si="1"/>
        <v>39</v>
      </c>
      <c r="K64" s="6">
        <f t="shared" si="2"/>
        <v>-178</v>
      </c>
      <c r="L64" s="6">
        <f t="shared" si="3"/>
        <v>-46</v>
      </c>
    </row>
    <row r="65" spans="8:12" x14ac:dyDescent="0.3">
      <c r="H65" s="19">
        <f t="shared" si="4"/>
        <v>4590</v>
      </c>
      <c r="I65" s="6">
        <f t="shared" si="0"/>
        <v>83</v>
      </c>
      <c r="J65" s="6">
        <f t="shared" si="1"/>
        <v>39</v>
      </c>
      <c r="K65" s="6">
        <f t="shared" si="2"/>
        <v>-168</v>
      </c>
      <c r="L65" s="6">
        <f t="shared" si="3"/>
        <v>-46</v>
      </c>
    </row>
    <row r="66" spans="8:12" x14ac:dyDescent="0.3">
      <c r="H66" s="19">
        <f t="shared" si="4"/>
        <v>4600</v>
      </c>
      <c r="I66" s="6">
        <f t="shared" si="0"/>
        <v>73</v>
      </c>
      <c r="J66" s="6">
        <f t="shared" si="1"/>
        <v>39</v>
      </c>
      <c r="K66" s="6">
        <f t="shared" si="2"/>
        <v>-158</v>
      </c>
      <c r="L66" s="6">
        <f t="shared" si="3"/>
        <v>-46</v>
      </c>
    </row>
    <row r="67" spans="8:12" x14ac:dyDescent="0.3">
      <c r="H67" s="19">
        <f t="shared" si="4"/>
        <v>4610</v>
      </c>
      <c r="I67" s="6">
        <f t="shared" si="0"/>
        <v>63</v>
      </c>
      <c r="J67" s="6">
        <f t="shared" si="1"/>
        <v>39</v>
      </c>
      <c r="K67" s="6">
        <f t="shared" si="2"/>
        <v>-148</v>
      </c>
      <c r="L67" s="6">
        <f t="shared" si="3"/>
        <v>-46</v>
      </c>
    </row>
    <row r="68" spans="8:12" x14ac:dyDescent="0.3">
      <c r="H68" s="19">
        <f t="shared" si="4"/>
        <v>4620</v>
      </c>
      <c r="I68" s="6">
        <f t="shared" si="0"/>
        <v>53</v>
      </c>
      <c r="J68" s="6">
        <f t="shared" si="1"/>
        <v>39</v>
      </c>
      <c r="K68" s="6">
        <f t="shared" si="2"/>
        <v>-138</v>
      </c>
      <c r="L68" s="6">
        <f t="shared" si="3"/>
        <v>-46</v>
      </c>
    </row>
    <row r="69" spans="8:12" x14ac:dyDescent="0.3">
      <c r="H69" s="19">
        <f t="shared" si="4"/>
        <v>4630</v>
      </c>
      <c r="I69" s="6">
        <f t="shared" si="0"/>
        <v>43</v>
      </c>
      <c r="J69" s="6">
        <f t="shared" si="1"/>
        <v>39</v>
      </c>
      <c r="K69" s="6">
        <f t="shared" si="2"/>
        <v>-128</v>
      </c>
      <c r="L69" s="6">
        <f t="shared" si="3"/>
        <v>-46</v>
      </c>
    </row>
    <row r="70" spans="8:12" x14ac:dyDescent="0.3">
      <c r="H70" s="19">
        <f t="shared" si="4"/>
        <v>4640</v>
      </c>
      <c r="I70" s="6">
        <f t="shared" si="0"/>
        <v>33</v>
      </c>
      <c r="J70" s="6">
        <f t="shared" si="1"/>
        <v>39</v>
      </c>
      <c r="K70" s="6">
        <f t="shared" si="2"/>
        <v>-118</v>
      </c>
      <c r="L70" s="6">
        <f t="shared" si="3"/>
        <v>-46</v>
      </c>
    </row>
    <row r="71" spans="8:12" x14ac:dyDescent="0.3">
      <c r="H71" s="19">
        <f t="shared" si="4"/>
        <v>4650</v>
      </c>
      <c r="I71" s="6">
        <f t="shared" ref="I71:I81" si="5">(MAX($J$4-H71,0)-$K$4)</f>
        <v>23</v>
      </c>
      <c r="J71" s="6">
        <f t="shared" ref="J71:J81" si="6">(MAX(H71-$H$4,0)-$I$4)*-1</f>
        <v>39</v>
      </c>
      <c r="K71" s="6">
        <f t="shared" ref="K71:K81" si="7">H71-$L$4</f>
        <v>-108</v>
      </c>
      <c r="L71" s="6">
        <f t="shared" ref="L71:L81" si="8">SUM(I71:K71)</f>
        <v>-46</v>
      </c>
    </row>
    <row r="72" spans="8:12" x14ac:dyDescent="0.3">
      <c r="H72" s="19">
        <f t="shared" ref="H72:H80" si="9">H71+10</f>
        <v>4660</v>
      </c>
      <c r="I72" s="6">
        <f t="shared" si="5"/>
        <v>13</v>
      </c>
      <c r="J72" s="6">
        <f t="shared" si="6"/>
        <v>39</v>
      </c>
      <c r="K72" s="6">
        <f t="shared" si="7"/>
        <v>-98</v>
      </c>
      <c r="L72" s="6">
        <f t="shared" si="8"/>
        <v>-46</v>
      </c>
    </row>
    <row r="73" spans="8:12" x14ac:dyDescent="0.3">
      <c r="H73" s="19">
        <f t="shared" si="9"/>
        <v>4670</v>
      </c>
      <c r="I73" s="6">
        <f t="shared" si="5"/>
        <v>3</v>
      </c>
      <c r="J73" s="6">
        <f t="shared" si="6"/>
        <v>39</v>
      </c>
      <c r="K73" s="6">
        <f t="shared" si="7"/>
        <v>-88</v>
      </c>
      <c r="L73" s="6">
        <f t="shared" si="8"/>
        <v>-46</v>
      </c>
    </row>
    <row r="74" spans="8:12" x14ac:dyDescent="0.3">
      <c r="H74" s="19">
        <f t="shared" si="9"/>
        <v>4680</v>
      </c>
      <c r="I74" s="6">
        <f t="shared" si="5"/>
        <v>-7</v>
      </c>
      <c r="J74" s="6">
        <f t="shared" si="6"/>
        <v>39</v>
      </c>
      <c r="K74" s="6">
        <f t="shared" si="7"/>
        <v>-78</v>
      </c>
      <c r="L74" s="6">
        <f t="shared" si="8"/>
        <v>-46</v>
      </c>
    </row>
    <row r="75" spans="8:12" x14ac:dyDescent="0.3">
      <c r="H75" s="19">
        <f t="shared" si="9"/>
        <v>4690</v>
      </c>
      <c r="I75" s="6">
        <f t="shared" si="5"/>
        <v>-17</v>
      </c>
      <c r="J75" s="6">
        <f t="shared" si="6"/>
        <v>39</v>
      </c>
      <c r="K75" s="6">
        <f t="shared" si="7"/>
        <v>-68</v>
      </c>
      <c r="L75" s="6">
        <f t="shared" si="8"/>
        <v>-46</v>
      </c>
    </row>
    <row r="76" spans="8:12" x14ac:dyDescent="0.3">
      <c r="H76" s="19">
        <f t="shared" si="9"/>
        <v>4700</v>
      </c>
      <c r="I76" s="6">
        <f t="shared" si="5"/>
        <v>-27</v>
      </c>
      <c r="J76" s="6">
        <f t="shared" si="6"/>
        <v>39</v>
      </c>
      <c r="K76" s="6">
        <f t="shared" si="7"/>
        <v>-58</v>
      </c>
      <c r="L76" s="6">
        <f t="shared" si="8"/>
        <v>-46</v>
      </c>
    </row>
    <row r="77" spans="8:12" x14ac:dyDescent="0.3">
      <c r="H77" s="19">
        <f t="shared" si="9"/>
        <v>4710</v>
      </c>
      <c r="I77" s="6">
        <f t="shared" si="5"/>
        <v>-27</v>
      </c>
      <c r="J77" s="6">
        <f t="shared" si="6"/>
        <v>39</v>
      </c>
      <c r="K77" s="6">
        <f t="shared" si="7"/>
        <v>-48</v>
      </c>
      <c r="L77" s="6">
        <f t="shared" si="8"/>
        <v>-36</v>
      </c>
    </row>
    <row r="78" spans="8:12" x14ac:dyDescent="0.3">
      <c r="H78" s="19">
        <f t="shared" si="9"/>
        <v>4720</v>
      </c>
      <c r="I78" s="6">
        <f t="shared" si="5"/>
        <v>-27</v>
      </c>
      <c r="J78" s="6">
        <f t="shared" si="6"/>
        <v>39</v>
      </c>
      <c r="K78" s="6">
        <f t="shared" si="7"/>
        <v>-38</v>
      </c>
      <c r="L78" s="6">
        <f t="shared" si="8"/>
        <v>-26</v>
      </c>
    </row>
    <row r="79" spans="8:12" x14ac:dyDescent="0.3">
      <c r="H79" s="19">
        <f t="shared" si="9"/>
        <v>4730</v>
      </c>
      <c r="I79" s="6">
        <f t="shared" si="5"/>
        <v>-27</v>
      </c>
      <c r="J79" s="6">
        <f t="shared" si="6"/>
        <v>39</v>
      </c>
      <c r="K79" s="6">
        <f t="shared" si="7"/>
        <v>-28</v>
      </c>
      <c r="L79" s="6">
        <f t="shared" si="8"/>
        <v>-16</v>
      </c>
    </row>
    <row r="80" spans="8:12" x14ac:dyDescent="0.3">
      <c r="H80" s="19">
        <f t="shared" si="9"/>
        <v>4740</v>
      </c>
      <c r="I80" s="6">
        <f t="shared" si="5"/>
        <v>-27</v>
      </c>
      <c r="J80" s="6">
        <f t="shared" si="6"/>
        <v>39</v>
      </c>
      <c r="K80" s="6">
        <f t="shared" si="7"/>
        <v>-18</v>
      </c>
      <c r="L80" s="6">
        <f t="shared" si="8"/>
        <v>-6</v>
      </c>
    </row>
    <row r="81" spans="8:15" x14ac:dyDescent="0.3">
      <c r="H81" s="19">
        <f>H80+6</f>
        <v>4746</v>
      </c>
      <c r="I81" s="6">
        <f t="shared" si="5"/>
        <v>-27</v>
      </c>
      <c r="J81" s="6">
        <f t="shared" si="6"/>
        <v>39</v>
      </c>
      <c r="K81" s="6">
        <f t="shared" si="7"/>
        <v>-12</v>
      </c>
      <c r="L81" s="15">
        <f t="shared" si="8"/>
        <v>0</v>
      </c>
      <c r="M81" s="50" t="s">
        <v>99</v>
      </c>
      <c r="N81" s="50"/>
      <c r="O81" s="50"/>
    </row>
    <row r="82" spans="8:15" x14ac:dyDescent="0.3">
      <c r="H82" s="19">
        <f>H80+10</f>
        <v>4750</v>
      </c>
      <c r="I82" s="6">
        <f t="shared" ref="I82:I113" si="10">(MAX($J$4-H82,0)-$K$4)</f>
        <v>-27</v>
      </c>
      <c r="J82" s="6">
        <f t="shared" ref="J82:J113" si="11">(MAX(H82-$H$4,0)-$I$4)*-1</f>
        <v>39</v>
      </c>
      <c r="K82" s="6">
        <f t="shared" ref="K82:K113" si="12">H82-$L$4</f>
        <v>-8</v>
      </c>
      <c r="L82" s="6">
        <f t="shared" ref="L82:L113" si="13">SUM(I82:K82)</f>
        <v>4</v>
      </c>
    </row>
    <row r="83" spans="8:15" x14ac:dyDescent="0.3">
      <c r="H83" s="19">
        <f t="shared" ref="H83:H114" si="14">H82+10</f>
        <v>4760</v>
      </c>
      <c r="I83" s="6">
        <f t="shared" si="10"/>
        <v>-27</v>
      </c>
      <c r="J83" s="6">
        <f t="shared" si="11"/>
        <v>39</v>
      </c>
      <c r="K83" s="6">
        <f t="shared" si="12"/>
        <v>2</v>
      </c>
      <c r="L83" s="6">
        <f t="shared" si="13"/>
        <v>14</v>
      </c>
    </row>
    <row r="84" spans="8:15" x14ac:dyDescent="0.3">
      <c r="H84" s="19">
        <f t="shared" si="14"/>
        <v>4770</v>
      </c>
      <c r="I84" s="6">
        <f t="shared" si="10"/>
        <v>-27</v>
      </c>
      <c r="J84" s="6">
        <f t="shared" si="11"/>
        <v>39</v>
      </c>
      <c r="K84" s="6">
        <f t="shared" si="12"/>
        <v>12</v>
      </c>
      <c r="L84" s="6">
        <f t="shared" si="13"/>
        <v>24</v>
      </c>
    </row>
    <row r="85" spans="8:15" x14ac:dyDescent="0.3">
      <c r="H85" s="19">
        <f t="shared" si="14"/>
        <v>4780</v>
      </c>
      <c r="I85" s="6">
        <f t="shared" si="10"/>
        <v>-27</v>
      </c>
      <c r="J85" s="6">
        <f t="shared" si="11"/>
        <v>39</v>
      </c>
      <c r="K85" s="6">
        <f t="shared" si="12"/>
        <v>22</v>
      </c>
      <c r="L85" s="6">
        <f t="shared" si="13"/>
        <v>34</v>
      </c>
    </row>
    <row r="86" spans="8:15" x14ac:dyDescent="0.3">
      <c r="H86" s="19">
        <f t="shared" si="14"/>
        <v>4790</v>
      </c>
      <c r="I86" s="6">
        <f t="shared" si="10"/>
        <v>-27</v>
      </c>
      <c r="J86" s="6">
        <f t="shared" si="11"/>
        <v>39</v>
      </c>
      <c r="K86" s="6">
        <f t="shared" si="12"/>
        <v>32</v>
      </c>
      <c r="L86" s="6">
        <f t="shared" si="13"/>
        <v>44</v>
      </c>
    </row>
    <row r="87" spans="8:15" x14ac:dyDescent="0.3">
      <c r="H87" s="19">
        <f t="shared" si="14"/>
        <v>4800</v>
      </c>
      <c r="I87" s="6">
        <f t="shared" si="10"/>
        <v>-27</v>
      </c>
      <c r="J87" s="6">
        <f t="shared" si="11"/>
        <v>39</v>
      </c>
      <c r="K87" s="6">
        <f t="shared" si="12"/>
        <v>42</v>
      </c>
      <c r="L87" s="6">
        <f t="shared" si="13"/>
        <v>54</v>
      </c>
    </row>
    <row r="88" spans="8:15" x14ac:dyDescent="0.3">
      <c r="H88" s="19">
        <f t="shared" si="14"/>
        <v>4810</v>
      </c>
      <c r="I88" s="6">
        <f t="shared" si="10"/>
        <v>-27</v>
      </c>
      <c r="J88" s="6">
        <f t="shared" si="11"/>
        <v>39</v>
      </c>
      <c r="K88" s="6">
        <f t="shared" si="12"/>
        <v>52</v>
      </c>
      <c r="L88" s="6">
        <f t="shared" si="13"/>
        <v>64</v>
      </c>
    </row>
    <row r="89" spans="8:15" x14ac:dyDescent="0.3">
      <c r="H89" s="19">
        <f t="shared" si="14"/>
        <v>4820</v>
      </c>
      <c r="I89" s="6">
        <f t="shared" si="10"/>
        <v>-27</v>
      </c>
      <c r="J89" s="6">
        <f t="shared" si="11"/>
        <v>39</v>
      </c>
      <c r="K89" s="6">
        <f t="shared" si="12"/>
        <v>62</v>
      </c>
      <c r="L89" s="6">
        <f t="shared" si="13"/>
        <v>74</v>
      </c>
    </row>
    <row r="90" spans="8:15" x14ac:dyDescent="0.3">
      <c r="H90" s="19">
        <f t="shared" si="14"/>
        <v>4830</v>
      </c>
      <c r="I90" s="6">
        <f t="shared" si="10"/>
        <v>-27</v>
      </c>
      <c r="J90" s="6">
        <f t="shared" si="11"/>
        <v>39</v>
      </c>
      <c r="K90" s="6">
        <f t="shared" si="12"/>
        <v>72</v>
      </c>
      <c r="L90" s="6">
        <f t="shared" si="13"/>
        <v>84</v>
      </c>
    </row>
    <row r="91" spans="8:15" x14ac:dyDescent="0.3">
      <c r="H91" s="19">
        <f t="shared" si="14"/>
        <v>4840</v>
      </c>
      <c r="I91" s="6">
        <f t="shared" si="10"/>
        <v>-27</v>
      </c>
      <c r="J91" s="6">
        <f t="shared" si="11"/>
        <v>39</v>
      </c>
      <c r="K91" s="6">
        <f t="shared" si="12"/>
        <v>82</v>
      </c>
      <c r="L91" s="6">
        <f t="shared" si="13"/>
        <v>94</v>
      </c>
    </row>
    <row r="92" spans="8:15" x14ac:dyDescent="0.3">
      <c r="H92" s="19">
        <f t="shared" si="14"/>
        <v>4850</v>
      </c>
      <c r="I92" s="6">
        <f t="shared" si="10"/>
        <v>-27</v>
      </c>
      <c r="J92" s="6">
        <f t="shared" si="11"/>
        <v>39</v>
      </c>
      <c r="K92" s="6">
        <f t="shared" si="12"/>
        <v>92</v>
      </c>
      <c r="L92" s="6">
        <f t="shared" si="13"/>
        <v>104</v>
      </c>
    </row>
    <row r="93" spans="8:15" x14ac:dyDescent="0.3">
      <c r="H93" s="19">
        <f t="shared" si="14"/>
        <v>4860</v>
      </c>
      <c r="I93" s="6">
        <f t="shared" si="10"/>
        <v>-27</v>
      </c>
      <c r="J93" s="6">
        <f t="shared" si="11"/>
        <v>39</v>
      </c>
      <c r="K93" s="6">
        <f t="shared" si="12"/>
        <v>102</v>
      </c>
      <c r="L93" s="6">
        <f t="shared" si="13"/>
        <v>114</v>
      </c>
    </row>
    <row r="94" spans="8:15" x14ac:dyDescent="0.3">
      <c r="H94" s="19">
        <f t="shared" si="14"/>
        <v>4870</v>
      </c>
      <c r="I94" s="6">
        <f t="shared" si="10"/>
        <v>-27</v>
      </c>
      <c r="J94" s="6">
        <f t="shared" si="11"/>
        <v>39</v>
      </c>
      <c r="K94" s="6">
        <f t="shared" si="12"/>
        <v>112</v>
      </c>
      <c r="L94" s="6">
        <f t="shared" si="13"/>
        <v>124</v>
      </c>
    </row>
    <row r="95" spans="8:15" x14ac:dyDescent="0.3">
      <c r="H95" s="19">
        <f t="shared" si="14"/>
        <v>4880</v>
      </c>
      <c r="I95" s="6">
        <f t="shared" si="10"/>
        <v>-27</v>
      </c>
      <c r="J95" s="6">
        <f t="shared" si="11"/>
        <v>39</v>
      </c>
      <c r="K95" s="6">
        <f t="shared" si="12"/>
        <v>122</v>
      </c>
      <c r="L95" s="6">
        <f t="shared" si="13"/>
        <v>134</v>
      </c>
    </row>
    <row r="96" spans="8:15" x14ac:dyDescent="0.3">
      <c r="H96" s="19">
        <f t="shared" si="14"/>
        <v>4890</v>
      </c>
      <c r="I96" s="6">
        <f t="shared" si="10"/>
        <v>-27</v>
      </c>
      <c r="J96" s="6">
        <f t="shared" si="11"/>
        <v>39</v>
      </c>
      <c r="K96" s="6">
        <f t="shared" si="12"/>
        <v>132</v>
      </c>
      <c r="L96" s="6">
        <f t="shared" si="13"/>
        <v>144</v>
      </c>
    </row>
    <row r="97" spans="8:12" x14ac:dyDescent="0.3">
      <c r="H97" s="19">
        <f t="shared" si="14"/>
        <v>4900</v>
      </c>
      <c r="I97" s="6">
        <f t="shared" si="10"/>
        <v>-27</v>
      </c>
      <c r="J97" s="6">
        <f t="shared" si="11"/>
        <v>39</v>
      </c>
      <c r="K97" s="6">
        <f t="shared" si="12"/>
        <v>142</v>
      </c>
      <c r="L97" s="6">
        <f t="shared" si="13"/>
        <v>154</v>
      </c>
    </row>
    <row r="98" spans="8:12" x14ac:dyDescent="0.3">
      <c r="H98" s="19">
        <f t="shared" si="14"/>
        <v>4910</v>
      </c>
      <c r="I98" s="6">
        <f t="shared" si="10"/>
        <v>-27</v>
      </c>
      <c r="J98" s="6">
        <f t="shared" si="11"/>
        <v>39</v>
      </c>
      <c r="K98" s="6">
        <f t="shared" si="12"/>
        <v>152</v>
      </c>
      <c r="L98" s="6">
        <f t="shared" si="13"/>
        <v>164</v>
      </c>
    </row>
    <row r="99" spans="8:12" x14ac:dyDescent="0.3">
      <c r="H99" s="19">
        <f t="shared" si="14"/>
        <v>4920</v>
      </c>
      <c r="I99" s="6">
        <f t="shared" si="10"/>
        <v>-27</v>
      </c>
      <c r="J99" s="6">
        <f t="shared" si="11"/>
        <v>39</v>
      </c>
      <c r="K99" s="6">
        <f t="shared" si="12"/>
        <v>162</v>
      </c>
      <c r="L99" s="6">
        <f t="shared" si="13"/>
        <v>174</v>
      </c>
    </row>
    <row r="100" spans="8:12" x14ac:dyDescent="0.3">
      <c r="H100" s="19">
        <f t="shared" si="14"/>
        <v>4930</v>
      </c>
      <c r="I100" s="6">
        <f t="shared" si="10"/>
        <v>-27</v>
      </c>
      <c r="J100" s="6">
        <f t="shared" si="11"/>
        <v>39</v>
      </c>
      <c r="K100" s="6">
        <f t="shared" si="12"/>
        <v>172</v>
      </c>
      <c r="L100" s="6">
        <f t="shared" si="13"/>
        <v>184</v>
      </c>
    </row>
    <row r="101" spans="8:12" x14ac:dyDescent="0.3">
      <c r="H101" s="19">
        <f t="shared" si="14"/>
        <v>4940</v>
      </c>
      <c r="I101" s="6">
        <f t="shared" si="10"/>
        <v>-27</v>
      </c>
      <c r="J101" s="6">
        <f t="shared" si="11"/>
        <v>39</v>
      </c>
      <c r="K101" s="6">
        <f t="shared" si="12"/>
        <v>182</v>
      </c>
      <c r="L101" s="6">
        <f t="shared" si="13"/>
        <v>194</v>
      </c>
    </row>
    <row r="102" spans="8:12" x14ac:dyDescent="0.3">
      <c r="H102" s="19">
        <f t="shared" si="14"/>
        <v>4950</v>
      </c>
      <c r="I102" s="6">
        <f t="shared" si="10"/>
        <v>-27</v>
      </c>
      <c r="J102" s="6">
        <f t="shared" si="11"/>
        <v>39</v>
      </c>
      <c r="K102" s="6">
        <f t="shared" si="12"/>
        <v>192</v>
      </c>
      <c r="L102" s="6">
        <f t="shared" si="13"/>
        <v>204</v>
      </c>
    </row>
    <row r="103" spans="8:12" x14ac:dyDescent="0.3">
      <c r="H103" s="19">
        <f t="shared" si="14"/>
        <v>4960</v>
      </c>
      <c r="I103" s="6">
        <f t="shared" si="10"/>
        <v>-27</v>
      </c>
      <c r="J103" s="6">
        <f t="shared" si="11"/>
        <v>39</v>
      </c>
      <c r="K103" s="6">
        <f t="shared" si="12"/>
        <v>202</v>
      </c>
      <c r="L103" s="6">
        <f t="shared" si="13"/>
        <v>214</v>
      </c>
    </row>
    <row r="104" spans="8:12" x14ac:dyDescent="0.3">
      <c r="H104" s="19">
        <f t="shared" si="14"/>
        <v>4970</v>
      </c>
      <c r="I104" s="6">
        <f t="shared" si="10"/>
        <v>-27</v>
      </c>
      <c r="J104" s="6">
        <f t="shared" si="11"/>
        <v>39</v>
      </c>
      <c r="K104" s="6">
        <f t="shared" si="12"/>
        <v>212</v>
      </c>
      <c r="L104" s="6">
        <f t="shared" si="13"/>
        <v>224</v>
      </c>
    </row>
    <row r="105" spans="8:12" x14ac:dyDescent="0.3">
      <c r="H105" s="19">
        <f t="shared" si="14"/>
        <v>4980</v>
      </c>
      <c r="I105" s="6">
        <f t="shared" si="10"/>
        <v>-27</v>
      </c>
      <c r="J105" s="6">
        <f t="shared" si="11"/>
        <v>39</v>
      </c>
      <c r="K105" s="6">
        <f t="shared" si="12"/>
        <v>222</v>
      </c>
      <c r="L105" s="6">
        <f t="shared" si="13"/>
        <v>234</v>
      </c>
    </row>
    <row r="106" spans="8:12" x14ac:dyDescent="0.3">
      <c r="H106" s="19">
        <f t="shared" si="14"/>
        <v>4990</v>
      </c>
      <c r="I106" s="6">
        <f t="shared" si="10"/>
        <v>-27</v>
      </c>
      <c r="J106" s="6">
        <f t="shared" si="11"/>
        <v>39</v>
      </c>
      <c r="K106" s="6">
        <f t="shared" si="12"/>
        <v>232</v>
      </c>
      <c r="L106" s="6">
        <f t="shared" si="13"/>
        <v>244</v>
      </c>
    </row>
    <row r="107" spans="8:12" x14ac:dyDescent="0.3">
      <c r="H107" s="19">
        <f t="shared" si="14"/>
        <v>5000</v>
      </c>
      <c r="I107" s="6">
        <f t="shared" si="10"/>
        <v>-27</v>
      </c>
      <c r="J107" s="6">
        <f t="shared" si="11"/>
        <v>39</v>
      </c>
      <c r="K107" s="6">
        <f t="shared" si="12"/>
        <v>242</v>
      </c>
      <c r="L107" s="6">
        <f t="shared" si="13"/>
        <v>254</v>
      </c>
    </row>
    <row r="108" spans="8:12" x14ac:dyDescent="0.3">
      <c r="H108" s="19">
        <f t="shared" si="14"/>
        <v>5010</v>
      </c>
      <c r="I108" s="6">
        <f t="shared" si="10"/>
        <v>-27</v>
      </c>
      <c r="J108" s="6">
        <f t="shared" si="11"/>
        <v>29</v>
      </c>
      <c r="K108" s="6">
        <f t="shared" si="12"/>
        <v>252</v>
      </c>
      <c r="L108" s="6">
        <f t="shared" si="13"/>
        <v>254</v>
      </c>
    </row>
    <row r="109" spans="8:12" x14ac:dyDescent="0.3">
      <c r="H109" s="19">
        <f t="shared" si="14"/>
        <v>5020</v>
      </c>
      <c r="I109" s="6">
        <f t="shared" si="10"/>
        <v>-27</v>
      </c>
      <c r="J109" s="6">
        <f t="shared" si="11"/>
        <v>19</v>
      </c>
      <c r="K109" s="6">
        <f t="shared" si="12"/>
        <v>262</v>
      </c>
      <c r="L109" s="6">
        <f t="shared" si="13"/>
        <v>254</v>
      </c>
    </row>
    <row r="110" spans="8:12" x14ac:dyDescent="0.3">
      <c r="H110" s="19">
        <f t="shared" si="14"/>
        <v>5030</v>
      </c>
      <c r="I110" s="6">
        <f t="shared" si="10"/>
        <v>-27</v>
      </c>
      <c r="J110" s="6">
        <f t="shared" si="11"/>
        <v>9</v>
      </c>
      <c r="K110" s="6">
        <f t="shared" si="12"/>
        <v>272</v>
      </c>
      <c r="L110" s="6">
        <f t="shared" si="13"/>
        <v>254</v>
      </c>
    </row>
    <row r="111" spans="8:12" x14ac:dyDescent="0.3">
      <c r="H111" s="19">
        <f t="shared" si="14"/>
        <v>5040</v>
      </c>
      <c r="I111" s="6">
        <f t="shared" si="10"/>
        <v>-27</v>
      </c>
      <c r="J111" s="6">
        <f t="shared" si="11"/>
        <v>-1</v>
      </c>
      <c r="K111" s="6">
        <f t="shared" si="12"/>
        <v>282</v>
      </c>
      <c r="L111" s="6">
        <f t="shared" si="13"/>
        <v>254</v>
      </c>
    </row>
    <row r="112" spans="8:12" x14ac:dyDescent="0.3">
      <c r="H112" s="19">
        <f t="shared" si="14"/>
        <v>5050</v>
      </c>
      <c r="I112" s="6">
        <f t="shared" si="10"/>
        <v>-27</v>
      </c>
      <c r="J112" s="6">
        <f t="shared" si="11"/>
        <v>-11</v>
      </c>
      <c r="K112" s="6">
        <f t="shared" si="12"/>
        <v>292</v>
      </c>
      <c r="L112" s="6">
        <f t="shared" si="13"/>
        <v>254</v>
      </c>
    </row>
    <row r="113" spans="8:12" x14ac:dyDescent="0.3">
      <c r="H113" s="19">
        <f t="shared" si="14"/>
        <v>5060</v>
      </c>
      <c r="I113" s="6">
        <f t="shared" si="10"/>
        <v>-27</v>
      </c>
      <c r="J113" s="6">
        <f t="shared" si="11"/>
        <v>-21</v>
      </c>
      <c r="K113" s="6">
        <f t="shared" si="12"/>
        <v>302</v>
      </c>
      <c r="L113" s="6">
        <f t="shared" si="13"/>
        <v>254</v>
      </c>
    </row>
    <row r="114" spans="8:12" x14ac:dyDescent="0.3">
      <c r="H114" s="19">
        <f t="shared" si="14"/>
        <v>5070</v>
      </c>
      <c r="I114" s="6">
        <f t="shared" ref="I114:I135" si="15">(MAX($J$4-H114,0)-$K$4)</f>
        <v>-27</v>
      </c>
      <c r="J114" s="6">
        <f t="shared" ref="J114:J135" si="16">(MAX(H114-$H$4,0)-$I$4)*-1</f>
        <v>-31</v>
      </c>
      <c r="K114" s="6">
        <f t="shared" ref="K114:K135" si="17">H114-$L$4</f>
        <v>312</v>
      </c>
      <c r="L114" s="6">
        <f t="shared" ref="L114:L135" si="18">SUM(I114:K114)</f>
        <v>254</v>
      </c>
    </row>
    <row r="115" spans="8:12" x14ac:dyDescent="0.3">
      <c r="H115" s="19">
        <f t="shared" ref="H115:H136" si="19">H114+10</f>
        <v>5080</v>
      </c>
      <c r="I115" s="6">
        <f t="shared" si="15"/>
        <v>-27</v>
      </c>
      <c r="J115" s="6">
        <f t="shared" si="16"/>
        <v>-41</v>
      </c>
      <c r="K115" s="6">
        <f t="shared" si="17"/>
        <v>322</v>
      </c>
      <c r="L115" s="6">
        <f t="shared" si="18"/>
        <v>254</v>
      </c>
    </row>
    <row r="116" spans="8:12" x14ac:dyDescent="0.3">
      <c r="H116" s="19">
        <f t="shared" si="19"/>
        <v>5090</v>
      </c>
      <c r="I116" s="6">
        <f t="shared" si="15"/>
        <v>-27</v>
      </c>
      <c r="J116" s="6">
        <f t="shared" si="16"/>
        <v>-51</v>
      </c>
      <c r="K116" s="6">
        <f t="shared" si="17"/>
        <v>332</v>
      </c>
      <c r="L116" s="6">
        <f t="shared" si="18"/>
        <v>254</v>
      </c>
    </row>
    <row r="117" spans="8:12" x14ac:dyDescent="0.3">
      <c r="H117" s="19">
        <f t="shared" si="19"/>
        <v>5100</v>
      </c>
      <c r="I117" s="6">
        <f t="shared" si="15"/>
        <v>-27</v>
      </c>
      <c r="J117" s="6">
        <f t="shared" si="16"/>
        <v>-61</v>
      </c>
      <c r="K117" s="6">
        <f t="shared" si="17"/>
        <v>342</v>
      </c>
      <c r="L117" s="6">
        <f t="shared" si="18"/>
        <v>254</v>
      </c>
    </row>
    <row r="118" spans="8:12" x14ac:dyDescent="0.3">
      <c r="H118" s="19">
        <f t="shared" si="19"/>
        <v>5110</v>
      </c>
      <c r="I118" s="6">
        <f t="shared" si="15"/>
        <v>-27</v>
      </c>
      <c r="J118" s="6">
        <f t="shared" si="16"/>
        <v>-71</v>
      </c>
      <c r="K118" s="6">
        <f t="shared" si="17"/>
        <v>352</v>
      </c>
      <c r="L118" s="6">
        <f t="shared" si="18"/>
        <v>254</v>
      </c>
    </row>
    <row r="119" spans="8:12" x14ac:dyDescent="0.3">
      <c r="H119" s="19">
        <f t="shared" si="19"/>
        <v>5120</v>
      </c>
      <c r="I119" s="6">
        <f t="shared" si="15"/>
        <v>-27</v>
      </c>
      <c r="J119" s="6">
        <f t="shared" si="16"/>
        <v>-81</v>
      </c>
      <c r="K119" s="6">
        <f t="shared" si="17"/>
        <v>362</v>
      </c>
      <c r="L119" s="6">
        <f t="shared" si="18"/>
        <v>254</v>
      </c>
    </row>
    <row r="120" spans="8:12" x14ac:dyDescent="0.3">
      <c r="H120" s="19">
        <f t="shared" si="19"/>
        <v>5130</v>
      </c>
      <c r="I120" s="6">
        <f t="shared" si="15"/>
        <v>-27</v>
      </c>
      <c r="J120" s="6">
        <f t="shared" si="16"/>
        <v>-91</v>
      </c>
      <c r="K120" s="6">
        <f t="shared" si="17"/>
        <v>372</v>
      </c>
      <c r="L120" s="6">
        <f t="shared" si="18"/>
        <v>254</v>
      </c>
    </row>
    <row r="121" spans="8:12" x14ac:dyDescent="0.3">
      <c r="H121" s="19">
        <f t="shared" si="19"/>
        <v>5140</v>
      </c>
      <c r="I121" s="6">
        <f t="shared" si="15"/>
        <v>-27</v>
      </c>
      <c r="J121" s="6">
        <f t="shared" si="16"/>
        <v>-101</v>
      </c>
      <c r="K121" s="6">
        <f t="shared" si="17"/>
        <v>382</v>
      </c>
      <c r="L121" s="6">
        <f t="shared" si="18"/>
        <v>254</v>
      </c>
    </row>
    <row r="122" spans="8:12" x14ac:dyDescent="0.3">
      <c r="H122" s="19">
        <f t="shared" si="19"/>
        <v>5150</v>
      </c>
      <c r="I122" s="6">
        <f t="shared" si="15"/>
        <v>-27</v>
      </c>
      <c r="J122" s="6">
        <f t="shared" si="16"/>
        <v>-111</v>
      </c>
      <c r="K122" s="6">
        <f t="shared" si="17"/>
        <v>392</v>
      </c>
      <c r="L122" s="6">
        <f t="shared" si="18"/>
        <v>254</v>
      </c>
    </row>
    <row r="123" spans="8:12" x14ac:dyDescent="0.3">
      <c r="H123" s="19">
        <f t="shared" si="19"/>
        <v>5160</v>
      </c>
      <c r="I123" s="6">
        <f t="shared" si="15"/>
        <v>-27</v>
      </c>
      <c r="J123" s="6">
        <f t="shared" si="16"/>
        <v>-121</v>
      </c>
      <c r="K123" s="6">
        <f t="shared" si="17"/>
        <v>402</v>
      </c>
      <c r="L123" s="6">
        <f t="shared" si="18"/>
        <v>254</v>
      </c>
    </row>
    <row r="124" spans="8:12" x14ac:dyDescent="0.3">
      <c r="H124" s="19">
        <f t="shared" si="19"/>
        <v>5170</v>
      </c>
      <c r="I124" s="6">
        <f t="shared" si="15"/>
        <v>-27</v>
      </c>
      <c r="J124" s="6">
        <f t="shared" si="16"/>
        <v>-131</v>
      </c>
      <c r="K124" s="6">
        <f t="shared" si="17"/>
        <v>412</v>
      </c>
      <c r="L124" s="6">
        <f t="shared" si="18"/>
        <v>254</v>
      </c>
    </row>
    <row r="125" spans="8:12" x14ac:dyDescent="0.3">
      <c r="H125" s="19">
        <f t="shared" si="19"/>
        <v>5180</v>
      </c>
      <c r="I125" s="6">
        <f t="shared" si="15"/>
        <v>-27</v>
      </c>
      <c r="J125" s="6">
        <f t="shared" si="16"/>
        <v>-141</v>
      </c>
      <c r="K125" s="6">
        <f t="shared" si="17"/>
        <v>422</v>
      </c>
      <c r="L125" s="6">
        <f t="shared" si="18"/>
        <v>254</v>
      </c>
    </row>
    <row r="126" spans="8:12" x14ac:dyDescent="0.3">
      <c r="H126" s="19">
        <f t="shared" si="19"/>
        <v>5190</v>
      </c>
      <c r="I126" s="6">
        <f t="shared" si="15"/>
        <v>-27</v>
      </c>
      <c r="J126" s="6">
        <f t="shared" si="16"/>
        <v>-151</v>
      </c>
      <c r="K126" s="6">
        <f t="shared" si="17"/>
        <v>432</v>
      </c>
      <c r="L126" s="6">
        <f t="shared" si="18"/>
        <v>254</v>
      </c>
    </row>
    <row r="127" spans="8:12" x14ac:dyDescent="0.3">
      <c r="H127" s="19">
        <f t="shared" si="19"/>
        <v>5200</v>
      </c>
      <c r="I127" s="6">
        <f t="shared" si="15"/>
        <v>-27</v>
      </c>
      <c r="J127" s="6">
        <f t="shared" si="16"/>
        <v>-161</v>
      </c>
      <c r="K127" s="6">
        <f t="shared" si="17"/>
        <v>442</v>
      </c>
      <c r="L127" s="6">
        <f t="shared" si="18"/>
        <v>254</v>
      </c>
    </row>
    <row r="128" spans="8:12" x14ac:dyDescent="0.3">
      <c r="H128" s="19">
        <f t="shared" si="19"/>
        <v>5210</v>
      </c>
      <c r="I128" s="6">
        <f t="shared" si="15"/>
        <v>-27</v>
      </c>
      <c r="J128" s="6">
        <f t="shared" si="16"/>
        <v>-171</v>
      </c>
      <c r="K128" s="6">
        <f t="shared" si="17"/>
        <v>452</v>
      </c>
      <c r="L128" s="6">
        <f t="shared" si="18"/>
        <v>254</v>
      </c>
    </row>
    <row r="129" spans="8:12" x14ac:dyDescent="0.3">
      <c r="H129" s="19">
        <f t="shared" si="19"/>
        <v>5220</v>
      </c>
      <c r="I129" s="6">
        <f t="shared" si="15"/>
        <v>-27</v>
      </c>
      <c r="J129" s="6">
        <f t="shared" si="16"/>
        <v>-181</v>
      </c>
      <c r="K129" s="6">
        <f t="shared" si="17"/>
        <v>462</v>
      </c>
      <c r="L129" s="6">
        <f t="shared" si="18"/>
        <v>254</v>
      </c>
    </row>
    <row r="130" spans="8:12" x14ac:dyDescent="0.3">
      <c r="H130" s="19">
        <f t="shared" si="19"/>
        <v>5230</v>
      </c>
      <c r="I130" s="6">
        <f t="shared" si="15"/>
        <v>-27</v>
      </c>
      <c r="J130" s="6">
        <f t="shared" si="16"/>
        <v>-191</v>
      </c>
      <c r="K130" s="6">
        <f t="shared" si="17"/>
        <v>472</v>
      </c>
      <c r="L130" s="6">
        <f t="shared" si="18"/>
        <v>254</v>
      </c>
    </row>
    <row r="131" spans="8:12" x14ac:dyDescent="0.3">
      <c r="H131" s="19">
        <f t="shared" si="19"/>
        <v>5240</v>
      </c>
      <c r="I131" s="6">
        <f t="shared" si="15"/>
        <v>-27</v>
      </c>
      <c r="J131" s="6">
        <f t="shared" si="16"/>
        <v>-201</v>
      </c>
      <c r="K131" s="6">
        <f t="shared" si="17"/>
        <v>482</v>
      </c>
      <c r="L131" s="6">
        <f t="shared" si="18"/>
        <v>254</v>
      </c>
    </row>
    <row r="132" spans="8:12" x14ac:dyDescent="0.3">
      <c r="H132" s="19">
        <f t="shared" si="19"/>
        <v>5250</v>
      </c>
      <c r="I132" s="6">
        <f t="shared" si="15"/>
        <v>-27</v>
      </c>
      <c r="J132" s="6">
        <f t="shared" si="16"/>
        <v>-211</v>
      </c>
      <c r="K132" s="6">
        <f t="shared" si="17"/>
        <v>492</v>
      </c>
      <c r="L132" s="6">
        <f t="shared" si="18"/>
        <v>254</v>
      </c>
    </row>
    <row r="133" spans="8:12" x14ac:dyDescent="0.3">
      <c r="H133" s="19">
        <f t="shared" si="19"/>
        <v>5260</v>
      </c>
      <c r="I133" s="6">
        <f t="shared" si="15"/>
        <v>-27</v>
      </c>
      <c r="J133" s="6">
        <f t="shared" si="16"/>
        <v>-221</v>
      </c>
      <c r="K133" s="6">
        <f t="shared" si="17"/>
        <v>502</v>
      </c>
      <c r="L133" s="6">
        <f t="shared" si="18"/>
        <v>254</v>
      </c>
    </row>
    <row r="134" spans="8:12" x14ac:dyDescent="0.3">
      <c r="H134" s="19">
        <f t="shared" si="19"/>
        <v>5270</v>
      </c>
      <c r="I134" s="6">
        <f t="shared" si="15"/>
        <v>-27</v>
      </c>
      <c r="J134" s="6">
        <f t="shared" si="16"/>
        <v>-231</v>
      </c>
      <c r="K134" s="6">
        <f t="shared" si="17"/>
        <v>512</v>
      </c>
      <c r="L134" s="6">
        <f t="shared" si="18"/>
        <v>254</v>
      </c>
    </row>
    <row r="135" spans="8:12" x14ac:dyDescent="0.3">
      <c r="H135" s="19">
        <f t="shared" si="19"/>
        <v>5280</v>
      </c>
      <c r="I135" s="6">
        <f t="shared" si="15"/>
        <v>-27</v>
      </c>
      <c r="J135" s="6">
        <f t="shared" si="16"/>
        <v>-241</v>
      </c>
      <c r="K135" s="6">
        <f t="shared" si="17"/>
        <v>522</v>
      </c>
      <c r="L135" s="6">
        <f t="shared" si="18"/>
        <v>254</v>
      </c>
    </row>
    <row r="136" spans="8:12" x14ac:dyDescent="0.3">
      <c r="H136" s="19">
        <f t="shared" si="19"/>
        <v>5290</v>
      </c>
      <c r="I136" s="6">
        <f t="shared" ref="I136:I199" si="20">(MAX($J$4-H136,0)-$K$4)</f>
        <v>-27</v>
      </c>
      <c r="J136" s="6">
        <f t="shared" ref="J136:J199" si="21">(MAX(H136-$H$4,0)-$I$4)*-1</f>
        <v>-251</v>
      </c>
      <c r="K136" s="6">
        <f t="shared" ref="K136:K199" si="22">H136-$L$4</f>
        <v>532</v>
      </c>
      <c r="L136" s="6">
        <f t="shared" ref="L136:L199" si="23">SUM(I136:K136)</f>
        <v>254</v>
      </c>
    </row>
    <row r="137" spans="8:12" x14ac:dyDescent="0.3">
      <c r="H137" s="19">
        <f t="shared" ref="H137:H200" si="24">H136+10</f>
        <v>5300</v>
      </c>
      <c r="I137" s="6">
        <f t="shared" si="20"/>
        <v>-27</v>
      </c>
      <c r="J137" s="6">
        <f t="shared" si="21"/>
        <v>-261</v>
      </c>
      <c r="K137" s="6">
        <f t="shared" si="22"/>
        <v>542</v>
      </c>
      <c r="L137" s="6">
        <f t="shared" si="23"/>
        <v>254</v>
      </c>
    </row>
    <row r="138" spans="8:12" x14ac:dyDescent="0.3">
      <c r="H138" s="19">
        <f t="shared" si="24"/>
        <v>5310</v>
      </c>
      <c r="I138" s="6">
        <f t="shared" si="20"/>
        <v>-27</v>
      </c>
      <c r="J138" s="6">
        <f t="shared" si="21"/>
        <v>-271</v>
      </c>
      <c r="K138" s="6">
        <f t="shared" si="22"/>
        <v>552</v>
      </c>
      <c r="L138" s="6">
        <f t="shared" si="23"/>
        <v>254</v>
      </c>
    </row>
    <row r="139" spans="8:12" x14ac:dyDescent="0.3">
      <c r="H139" s="19">
        <f t="shared" si="24"/>
        <v>5320</v>
      </c>
      <c r="I139" s="6">
        <f t="shared" si="20"/>
        <v>-27</v>
      </c>
      <c r="J139" s="6">
        <f t="shared" si="21"/>
        <v>-281</v>
      </c>
      <c r="K139" s="6">
        <f t="shared" si="22"/>
        <v>562</v>
      </c>
      <c r="L139" s="6">
        <f t="shared" si="23"/>
        <v>254</v>
      </c>
    </row>
    <row r="140" spans="8:12" x14ac:dyDescent="0.3">
      <c r="H140" s="19">
        <f t="shared" si="24"/>
        <v>5330</v>
      </c>
      <c r="I140" s="6">
        <f t="shared" si="20"/>
        <v>-27</v>
      </c>
      <c r="J140" s="6">
        <f t="shared" si="21"/>
        <v>-291</v>
      </c>
      <c r="K140" s="6">
        <f t="shared" si="22"/>
        <v>572</v>
      </c>
      <c r="L140" s="6">
        <f t="shared" si="23"/>
        <v>254</v>
      </c>
    </row>
    <row r="141" spans="8:12" x14ac:dyDescent="0.3">
      <c r="H141" s="19">
        <f t="shared" si="24"/>
        <v>5340</v>
      </c>
      <c r="I141" s="6">
        <f t="shared" si="20"/>
        <v>-27</v>
      </c>
      <c r="J141" s="6">
        <f t="shared" si="21"/>
        <v>-301</v>
      </c>
      <c r="K141" s="6">
        <f t="shared" si="22"/>
        <v>582</v>
      </c>
      <c r="L141" s="6">
        <f t="shared" si="23"/>
        <v>254</v>
      </c>
    </row>
    <row r="142" spans="8:12" x14ac:dyDescent="0.3">
      <c r="H142" s="19">
        <f t="shared" si="24"/>
        <v>5350</v>
      </c>
      <c r="I142" s="6">
        <f t="shared" si="20"/>
        <v>-27</v>
      </c>
      <c r="J142" s="6">
        <f t="shared" si="21"/>
        <v>-311</v>
      </c>
      <c r="K142" s="6">
        <f t="shared" si="22"/>
        <v>592</v>
      </c>
      <c r="L142" s="6">
        <f t="shared" si="23"/>
        <v>254</v>
      </c>
    </row>
    <row r="143" spans="8:12" x14ac:dyDescent="0.3">
      <c r="H143" s="19">
        <f t="shared" si="24"/>
        <v>5360</v>
      </c>
      <c r="I143" s="6">
        <f t="shared" si="20"/>
        <v>-27</v>
      </c>
      <c r="J143" s="6">
        <f t="shared" si="21"/>
        <v>-321</v>
      </c>
      <c r="K143" s="6">
        <f t="shared" si="22"/>
        <v>602</v>
      </c>
      <c r="L143" s="6">
        <f t="shared" si="23"/>
        <v>254</v>
      </c>
    </row>
    <row r="144" spans="8:12" x14ac:dyDescent="0.3">
      <c r="H144" s="19">
        <f t="shared" si="24"/>
        <v>5370</v>
      </c>
      <c r="I144" s="6">
        <f t="shared" si="20"/>
        <v>-27</v>
      </c>
      <c r="J144" s="6">
        <f t="shared" si="21"/>
        <v>-331</v>
      </c>
      <c r="K144" s="6">
        <f t="shared" si="22"/>
        <v>612</v>
      </c>
      <c r="L144" s="6">
        <f t="shared" si="23"/>
        <v>254</v>
      </c>
    </row>
    <row r="145" spans="8:12" x14ac:dyDescent="0.3">
      <c r="H145" s="19">
        <f t="shared" si="24"/>
        <v>5380</v>
      </c>
      <c r="I145" s="6">
        <f t="shared" si="20"/>
        <v>-27</v>
      </c>
      <c r="J145" s="6">
        <f t="shared" si="21"/>
        <v>-341</v>
      </c>
      <c r="K145" s="6">
        <f t="shared" si="22"/>
        <v>622</v>
      </c>
      <c r="L145" s="6">
        <f t="shared" si="23"/>
        <v>254</v>
      </c>
    </row>
    <row r="146" spans="8:12" x14ac:dyDescent="0.3">
      <c r="H146" s="19">
        <f t="shared" si="24"/>
        <v>5390</v>
      </c>
      <c r="I146" s="6">
        <f t="shared" si="20"/>
        <v>-27</v>
      </c>
      <c r="J146" s="6">
        <f t="shared" si="21"/>
        <v>-351</v>
      </c>
      <c r="K146" s="6">
        <f t="shared" si="22"/>
        <v>632</v>
      </c>
      <c r="L146" s="6">
        <f t="shared" si="23"/>
        <v>254</v>
      </c>
    </row>
    <row r="147" spans="8:12" x14ac:dyDescent="0.3">
      <c r="H147" s="19">
        <f t="shared" si="24"/>
        <v>5400</v>
      </c>
      <c r="I147" s="6">
        <f t="shared" si="20"/>
        <v>-27</v>
      </c>
      <c r="J147" s="6">
        <f t="shared" si="21"/>
        <v>-361</v>
      </c>
      <c r="K147" s="6">
        <f t="shared" si="22"/>
        <v>642</v>
      </c>
      <c r="L147" s="6">
        <f t="shared" si="23"/>
        <v>254</v>
      </c>
    </row>
    <row r="148" spans="8:12" x14ac:dyDescent="0.3">
      <c r="H148" s="19">
        <f t="shared" si="24"/>
        <v>5410</v>
      </c>
      <c r="I148" s="6">
        <f t="shared" si="20"/>
        <v>-27</v>
      </c>
      <c r="J148" s="6">
        <f t="shared" si="21"/>
        <v>-371</v>
      </c>
      <c r="K148" s="6">
        <f t="shared" si="22"/>
        <v>652</v>
      </c>
      <c r="L148" s="6">
        <f t="shared" si="23"/>
        <v>254</v>
      </c>
    </row>
    <row r="149" spans="8:12" x14ac:dyDescent="0.3">
      <c r="H149" s="19">
        <f t="shared" si="24"/>
        <v>5420</v>
      </c>
      <c r="I149" s="6">
        <f t="shared" si="20"/>
        <v>-27</v>
      </c>
      <c r="J149" s="6">
        <f t="shared" si="21"/>
        <v>-381</v>
      </c>
      <c r="K149" s="6">
        <f t="shared" si="22"/>
        <v>662</v>
      </c>
      <c r="L149" s="6">
        <f t="shared" si="23"/>
        <v>254</v>
      </c>
    </row>
    <row r="150" spans="8:12" x14ac:dyDescent="0.3">
      <c r="H150" s="19">
        <f t="shared" si="24"/>
        <v>5430</v>
      </c>
      <c r="I150" s="6">
        <f t="shared" si="20"/>
        <v>-27</v>
      </c>
      <c r="J150" s="6">
        <f t="shared" si="21"/>
        <v>-391</v>
      </c>
      <c r="K150" s="6">
        <f t="shared" si="22"/>
        <v>672</v>
      </c>
      <c r="L150" s="6">
        <f t="shared" si="23"/>
        <v>254</v>
      </c>
    </row>
    <row r="151" spans="8:12" x14ac:dyDescent="0.3">
      <c r="H151" s="19">
        <f t="shared" si="24"/>
        <v>5440</v>
      </c>
      <c r="I151" s="6">
        <f t="shared" si="20"/>
        <v>-27</v>
      </c>
      <c r="J151" s="6">
        <f t="shared" si="21"/>
        <v>-401</v>
      </c>
      <c r="K151" s="6">
        <f t="shared" si="22"/>
        <v>682</v>
      </c>
      <c r="L151" s="6">
        <f t="shared" si="23"/>
        <v>254</v>
      </c>
    </row>
    <row r="152" spans="8:12" x14ac:dyDescent="0.3">
      <c r="H152" s="19">
        <f t="shared" si="24"/>
        <v>5450</v>
      </c>
      <c r="I152" s="6">
        <f t="shared" si="20"/>
        <v>-27</v>
      </c>
      <c r="J152" s="6">
        <f t="shared" si="21"/>
        <v>-411</v>
      </c>
      <c r="K152" s="6">
        <f t="shared" si="22"/>
        <v>692</v>
      </c>
      <c r="L152" s="6">
        <f t="shared" si="23"/>
        <v>254</v>
      </c>
    </row>
    <row r="153" spans="8:12" x14ac:dyDescent="0.3">
      <c r="H153" s="19">
        <f t="shared" si="24"/>
        <v>5460</v>
      </c>
      <c r="I153" s="6">
        <f t="shared" si="20"/>
        <v>-27</v>
      </c>
      <c r="J153" s="6">
        <f t="shared" si="21"/>
        <v>-421</v>
      </c>
      <c r="K153" s="6">
        <f t="shared" si="22"/>
        <v>702</v>
      </c>
      <c r="L153" s="6">
        <f t="shared" si="23"/>
        <v>254</v>
      </c>
    </row>
    <row r="154" spans="8:12" x14ac:dyDescent="0.3">
      <c r="H154" s="19">
        <f t="shared" si="24"/>
        <v>5470</v>
      </c>
      <c r="I154" s="6">
        <f t="shared" si="20"/>
        <v>-27</v>
      </c>
      <c r="J154" s="6">
        <f t="shared" si="21"/>
        <v>-431</v>
      </c>
      <c r="K154" s="6">
        <f t="shared" si="22"/>
        <v>712</v>
      </c>
      <c r="L154" s="6">
        <f t="shared" si="23"/>
        <v>254</v>
      </c>
    </row>
    <row r="155" spans="8:12" x14ac:dyDescent="0.3">
      <c r="H155" s="19">
        <f t="shared" si="24"/>
        <v>5480</v>
      </c>
      <c r="I155" s="6">
        <f t="shared" si="20"/>
        <v>-27</v>
      </c>
      <c r="J155" s="6">
        <f t="shared" si="21"/>
        <v>-441</v>
      </c>
      <c r="K155" s="6">
        <f t="shared" si="22"/>
        <v>722</v>
      </c>
      <c r="L155" s="6">
        <f t="shared" si="23"/>
        <v>254</v>
      </c>
    </row>
    <row r="156" spans="8:12" x14ac:dyDescent="0.3">
      <c r="H156" s="19">
        <f t="shared" si="24"/>
        <v>5490</v>
      </c>
      <c r="I156" s="6">
        <f t="shared" si="20"/>
        <v>-27</v>
      </c>
      <c r="J156" s="6">
        <f t="shared" si="21"/>
        <v>-451</v>
      </c>
      <c r="K156" s="6">
        <f t="shared" si="22"/>
        <v>732</v>
      </c>
      <c r="L156" s="6">
        <f t="shared" si="23"/>
        <v>254</v>
      </c>
    </row>
    <row r="157" spans="8:12" x14ac:dyDescent="0.3">
      <c r="H157" s="19">
        <f t="shared" si="24"/>
        <v>5500</v>
      </c>
      <c r="I157" s="6">
        <f t="shared" si="20"/>
        <v>-27</v>
      </c>
      <c r="J157" s="6">
        <f t="shared" si="21"/>
        <v>-461</v>
      </c>
      <c r="K157" s="6">
        <f t="shared" si="22"/>
        <v>742</v>
      </c>
      <c r="L157" s="6">
        <f t="shared" si="23"/>
        <v>254</v>
      </c>
    </row>
    <row r="158" spans="8:12" x14ac:dyDescent="0.3">
      <c r="H158" s="19">
        <f t="shared" si="24"/>
        <v>5510</v>
      </c>
      <c r="I158" s="6">
        <f t="shared" si="20"/>
        <v>-27</v>
      </c>
      <c r="J158" s="6">
        <f t="shared" si="21"/>
        <v>-471</v>
      </c>
      <c r="K158" s="6">
        <f t="shared" si="22"/>
        <v>752</v>
      </c>
      <c r="L158" s="6">
        <f t="shared" si="23"/>
        <v>254</v>
      </c>
    </row>
    <row r="159" spans="8:12" x14ac:dyDescent="0.3">
      <c r="H159" s="19">
        <f t="shared" si="24"/>
        <v>5520</v>
      </c>
      <c r="I159" s="6">
        <f t="shared" si="20"/>
        <v>-27</v>
      </c>
      <c r="J159" s="6">
        <f t="shared" si="21"/>
        <v>-481</v>
      </c>
      <c r="K159" s="6">
        <f t="shared" si="22"/>
        <v>762</v>
      </c>
      <c r="L159" s="6">
        <f t="shared" si="23"/>
        <v>254</v>
      </c>
    </row>
    <row r="160" spans="8:12" x14ac:dyDescent="0.3">
      <c r="H160" s="19">
        <f t="shared" si="24"/>
        <v>5530</v>
      </c>
      <c r="I160" s="6">
        <f t="shared" si="20"/>
        <v>-27</v>
      </c>
      <c r="J160" s="6">
        <f t="shared" si="21"/>
        <v>-491</v>
      </c>
      <c r="K160" s="6">
        <f t="shared" si="22"/>
        <v>772</v>
      </c>
      <c r="L160" s="6">
        <f t="shared" si="23"/>
        <v>254</v>
      </c>
    </row>
    <row r="161" spans="8:12" x14ac:dyDescent="0.3">
      <c r="H161" s="19">
        <f t="shared" si="24"/>
        <v>5540</v>
      </c>
      <c r="I161" s="6">
        <f t="shared" si="20"/>
        <v>-27</v>
      </c>
      <c r="J161" s="6">
        <f t="shared" si="21"/>
        <v>-501</v>
      </c>
      <c r="K161" s="6">
        <f t="shared" si="22"/>
        <v>782</v>
      </c>
      <c r="L161" s="6">
        <f t="shared" si="23"/>
        <v>254</v>
      </c>
    </row>
    <row r="162" spans="8:12" x14ac:dyDescent="0.3">
      <c r="H162" s="19">
        <f t="shared" si="24"/>
        <v>5550</v>
      </c>
      <c r="I162" s="6">
        <f t="shared" si="20"/>
        <v>-27</v>
      </c>
      <c r="J162" s="6">
        <f t="shared" si="21"/>
        <v>-511</v>
      </c>
      <c r="K162" s="6">
        <f t="shared" si="22"/>
        <v>792</v>
      </c>
      <c r="L162" s="6">
        <f t="shared" si="23"/>
        <v>254</v>
      </c>
    </row>
    <row r="163" spans="8:12" x14ac:dyDescent="0.3">
      <c r="H163" s="19">
        <f t="shared" si="24"/>
        <v>5560</v>
      </c>
      <c r="I163" s="6">
        <f t="shared" si="20"/>
        <v>-27</v>
      </c>
      <c r="J163" s="6">
        <f t="shared" si="21"/>
        <v>-521</v>
      </c>
      <c r="K163" s="6">
        <f t="shared" si="22"/>
        <v>802</v>
      </c>
      <c r="L163" s="6">
        <f t="shared" si="23"/>
        <v>254</v>
      </c>
    </row>
    <row r="164" spans="8:12" x14ac:dyDescent="0.3">
      <c r="H164" s="19">
        <f t="shared" si="24"/>
        <v>5570</v>
      </c>
      <c r="I164" s="6">
        <f t="shared" si="20"/>
        <v>-27</v>
      </c>
      <c r="J164" s="6">
        <f t="shared" si="21"/>
        <v>-531</v>
      </c>
      <c r="K164" s="6">
        <f t="shared" si="22"/>
        <v>812</v>
      </c>
      <c r="L164" s="6">
        <f t="shared" si="23"/>
        <v>254</v>
      </c>
    </row>
    <row r="165" spans="8:12" x14ac:dyDescent="0.3">
      <c r="H165" s="19">
        <f t="shared" si="24"/>
        <v>5580</v>
      </c>
      <c r="I165" s="6">
        <f t="shared" si="20"/>
        <v>-27</v>
      </c>
      <c r="J165" s="6">
        <f t="shared" si="21"/>
        <v>-541</v>
      </c>
      <c r="K165" s="6">
        <f t="shared" si="22"/>
        <v>822</v>
      </c>
      <c r="L165" s="6">
        <f t="shared" si="23"/>
        <v>254</v>
      </c>
    </row>
    <row r="166" spans="8:12" x14ac:dyDescent="0.3">
      <c r="H166" s="19">
        <f t="shared" si="24"/>
        <v>5590</v>
      </c>
      <c r="I166" s="6">
        <f t="shared" si="20"/>
        <v>-27</v>
      </c>
      <c r="J166" s="6">
        <f t="shared" si="21"/>
        <v>-551</v>
      </c>
      <c r="K166" s="6">
        <f t="shared" si="22"/>
        <v>832</v>
      </c>
      <c r="L166" s="6">
        <f t="shared" si="23"/>
        <v>254</v>
      </c>
    </row>
    <row r="167" spans="8:12" x14ac:dyDescent="0.3">
      <c r="H167" s="19">
        <f t="shared" si="24"/>
        <v>5600</v>
      </c>
      <c r="I167" s="6">
        <f t="shared" si="20"/>
        <v>-27</v>
      </c>
      <c r="J167" s="6">
        <f t="shared" si="21"/>
        <v>-561</v>
      </c>
      <c r="K167" s="6">
        <f t="shared" si="22"/>
        <v>842</v>
      </c>
      <c r="L167" s="6">
        <f t="shared" si="23"/>
        <v>254</v>
      </c>
    </row>
    <row r="168" spans="8:12" x14ac:dyDescent="0.3">
      <c r="H168" s="19">
        <f t="shared" si="24"/>
        <v>5610</v>
      </c>
      <c r="I168" s="6">
        <f t="shared" si="20"/>
        <v>-27</v>
      </c>
      <c r="J168" s="6">
        <f t="shared" si="21"/>
        <v>-571</v>
      </c>
      <c r="K168" s="6">
        <f t="shared" si="22"/>
        <v>852</v>
      </c>
      <c r="L168" s="6">
        <f t="shared" si="23"/>
        <v>254</v>
      </c>
    </row>
    <row r="169" spans="8:12" x14ac:dyDescent="0.3">
      <c r="H169" s="19">
        <f t="shared" si="24"/>
        <v>5620</v>
      </c>
      <c r="I169" s="6">
        <f t="shared" si="20"/>
        <v>-27</v>
      </c>
      <c r="J169" s="6">
        <f t="shared" si="21"/>
        <v>-581</v>
      </c>
      <c r="K169" s="6">
        <f t="shared" si="22"/>
        <v>862</v>
      </c>
      <c r="L169" s="6">
        <f t="shared" si="23"/>
        <v>254</v>
      </c>
    </row>
    <row r="170" spans="8:12" x14ac:dyDescent="0.3">
      <c r="H170" s="19">
        <f t="shared" si="24"/>
        <v>5630</v>
      </c>
      <c r="I170" s="6">
        <f t="shared" si="20"/>
        <v>-27</v>
      </c>
      <c r="J170" s="6">
        <f t="shared" si="21"/>
        <v>-591</v>
      </c>
      <c r="K170" s="6">
        <f t="shared" si="22"/>
        <v>872</v>
      </c>
      <c r="L170" s="6">
        <f t="shared" si="23"/>
        <v>254</v>
      </c>
    </row>
    <row r="171" spans="8:12" x14ac:dyDescent="0.3">
      <c r="H171" s="19">
        <f t="shared" si="24"/>
        <v>5640</v>
      </c>
      <c r="I171" s="6">
        <f t="shared" si="20"/>
        <v>-27</v>
      </c>
      <c r="J171" s="6">
        <f t="shared" si="21"/>
        <v>-601</v>
      </c>
      <c r="K171" s="6">
        <f t="shared" si="22"/>
        <v>882</v>
      </c>
      <c r="L171" s="6">
        <f t="shared" si="23"/>
        <v>254</v>
      </c>
    </row>
    <row r="172" spans="8:12" x14ac:dyDescent="0.3">
      <c r="H172" s="19">
        <f t="shared" si="24"/>
        <v>5650</v>
      </c>
      <c r="I172" s="6">
        <f t="shared" si="20"/>
        <v>-27</v>
      </c>
      <c r="J172" s="6">
        <f t="shared" si="21"/>
        <v>-611</v>
      </c>
      <c r="K172" s="6">
        <f t="shared" si="22"/>
        <v>892</v>
      </c>
      <c r="L172" s="6">
        <f t="shared" si="23"/>
        <v>254</v>
      </c>
    </row>
    <row r="173" spans="8:12" x14ac:dyDescent="0.3">
      <c r="H173" s="19">
        <f t="shared" si="24"/>
        <v>5660</v>
      </c>
      <c r="I173" s="6">
        <f t="shared" si="20"/>
        <v>-27</v>
      </c>
      <c r="J173" s="6">
        <f t="shared" si="21"/>
        <v>-621</v>
      </c>
      <c r="K173" s="6">
        <f t="shared" si="22"/>
        <v>902</v>
      </c>
      <c r="L173" s="6">
        <f t="shared" si="23"/>
        <v>254</v>
      </c>
    </row>
    <row r="174" spans="8:12" x14ac:dyDescent="0.3">
      <c r="H174" s="19">
        <f t="shared" si="24"/>
        <v>5670</v>
      </c>
      <c r="I174" s="6">
        <f t="shared" si="20"/>
        <v>-27</v>
      </c>
      <c r="J174" s="6">
        <f t="shared" si="21"/>
        <v>-631</v>
      </c>
      <c r="K174" s="6">
        <f t="shared" si="22"/>
        <v>912</v>
      </c>
      <c r="L174" s="6">
        <f t="shared" si="23"/>
        <v>254</v>
      </c>
    </row>
    <row r="175" spans="8:12" x14ac:dyDescent="0.3">
      <c r="H175" s="19">
        <f t="shared" si="24"/>
        <v>5680</v>
      </c>
      <c r="I175" s="6">
        <f t="shared" si="20"/>
        <v>-27</v>
      </c>
      <c r="J175" s="6">
        <f t="shared" si="21"/>
        <v>-641</v>
      </c>
      <c r="K175" s="6">
        <f t="shared" si="22"/>
        <v>922</v>
      </c>
      <c r="L175" s="6">
        <f t="shared" si="23"/>
        <v>254</v>
      </c>
    </row>
    <row r="176" spans="8:12" x14ac:dyDescent="0.3">
      <c r="H176" s="19">
        <f t="shared" si="24"/>
        <v>5690</v>
      </c>
      <c r="I176" s="6">
        <f t="shared" si="20"/>
        <v>-27</v>
      </c>
      <c r="J176" s="6">
        <f t="shared" si="21"/>
        <v>-651</v>
      </c>
      <c r="K176" s="6">
        <f t="shared" si="22"/>
        <v>932</v>
      </c>
      <c r="L176" s="6">
        <f t="shared" si="23"/>
        <v>254</v>
      </c>
    </row>
    <row r="177" spans="8:12" x14ac:dyDescent="0.3">
      <c r="H177" s="19">
        <f t="shared" si="24"/>
        <v>5700</v>
      </c>
      <c r="I177" s="6">
        <f t="shared" si="20"/>
        <v>-27</v>
      </c>
      <c r="J177" s="6">
        <f t="shared" si="21"/>
        <v>-661</v>
      </c>
      <c r="K177" s="6">
        <f t="shared" si="22"/>
        <v>942</v>
      </c>
      <c r="L177" s="6">
        <f t="shared" si="23"/>
        <v>254</v>
      </c>
    </row>
    <row r="178" spans="8:12" x14ac:dyDescent="0.3">
      <c r="H178" s="19">
        <f t="shared" si="24"/>
        <v>5710</v>
      </c>
      <c r="I178" s="6">
        <f t="shared" si="20"/>
        <v>-27</v>
      </c>
      <c r="J178" s="6">
        <f t="shared" si="21"/>
        <v>-671</v>
      </c>
      <c r="K178" s="6">
        <f t="shared" si="22"/>
        <v>952</v>
      </c>
      <c r="L178" s="6">
        <f t="shared" si="23"/>
        <v>254</v>
      </c>
    </row>
    <row r="179" spans="8:12" x14ac:dyDescent="0.3">
      <c r="H179" s="19">
        <f t="shared" si="24"/>
        <v>5720</v>
      </c>
      <c r="I179" s="6">
        <f t="shared" si="20"/>
        <v>-27</v>
      </c>
      <c r="J179" s="6">
        <f t="shared" si="21"/>
        <v>-681</v>
      </c>
      <c r="K179" s="6">
        <f t="shared" si="22"/>
        <v>962</v>
      </c>
      <c r="L179" s="6">
        <f t="shared" si="23"/>
        <v>254</v>
      </c>
    </row>
    <row r="180" spans="8:12" x14ac:dyDescent="0.3">
      <c r="H180" s="19">
        <f t="shared" si="24"/>
        <v>5730</v>
      </c>
      <c r="I180" s="6">
        <f t="shared" si="20"/>
        <v>-27</v>
      </c>
      <c r="J180" s="6">
        <f t="shared" si="21"/>
        <v>-691</v>
      </c>
      <c r="K180" s="6">
        <f t="shared" si="22"/>
        <v>972</v>
      </c>
      <c r="L180" s="6">
        <f t="shared" si="23"/>
        <v>254</v>
      </c>
    </row>
    <row r="181" spans="8:12" x14ac:dyDescent="0.3">
      <c r="H181" s="19">
        <f t="shared" si="24"/>
        <v>5740</v>
      </c>
      <c r="I181" s="6">
        <f t="shared" si="20"/>
        <v>-27</v>
      </c>
      <c r="J181" s="6">
        <f t="shared" si="21"/>
        <v>-701</v>
      </c>
      <c r="K181" s="6">
        <f t="shared" si="22"/>
        <v>982</v>
      </c>
      <c r="L181" s="6">
        <f t="shared" si="23"/>
        <v>254</v>
      </c>
    </row>
    <row r="182" spans="8:12" x14ac:dyDescent="0.3">
      <c r="H182" s="19">
        <f t="shared" si="24"/>
        <v>5750</v>
      </c>
      <c r="I182" s="6">
        <f t="shared" si="20"/>
        <v>-27</v>
      </c>
      <c r="J182" s="6">
        <f t="shared" si="21"/>
        <v>-711</v>
      </c>
      <c r="K182" s="6">
        <f t="shared" si="22"/>
        <v>992</v>
      </c>
      <c r="L182" s="6">
        <f t="shared" si="23"/>
        <v>254</v>
      </c>
    </row>
    <row r="183" spans="8:12" x14ac:dyDescent="0.3">
      <c r="H183" s="19">
        <f t="shared" si="24"/>
        <v>5760</v>
      </c>
      <c r="I183" s="6">
        <f t="shared" si="20"/>
        <v>-27</v>
      </c>
      <c r="J183" s="6">
        <f t="shared" si="21"/>
        <v>-721</v>
      </c>
      <c r="K183" s="6">
        <f t="shared" si="22"/>
        <v>1002</v>
      </c>
      <c r="L183" s="6">
        <f t="shared" si="23"/>
        <v>254</v>
      </c>
    </row>
    <row r="184" spans="8:12" x14ac:dyDescent="0.3">
      <c r="H184" s="19">
        <f t="shared" si="24"/>
        <v>5770</v>
      </c>
      <c r="I184" s="6">
        <f t="shared" si="20"/>
        <v>-27</v>
      </c>
      <c r="J184" s="6">
        <f t="shared" si="21"/>
        <v>-731</v>
      </c>
      <c r="K184" s="6">
        <f t="shared" si="22"/>
        <v>1012</v>
      </c>
      <c r="L184" s="6">
        <f t="shared" si="23"/>
        <v>254</v>
      </c>
    </row>
    <row r="185" spans="8:12" x14ac:dyDescent="0.3">
      <c r="H185" s="19">
        <f t="shared" si="24"/>
        <v>5780</v>
      </c>
      <c r="I185" s="6">
        <f t="shared" si="20"/>
        <v>-27</v>
      </c>
      <c r="J185" s="6">
        <f t="shared" si="21"/>
        <v>-741</v>
      </c>
      <c r="K185" s="6">
        <f t="shared" si="22"/>
        <v>1022</v>
      </c>
      <c r="L185" s="6">
        <f t="shared" si="23"/>
        <v>254</v>
      </c>
    </row>
    <row r="186" spans="8:12" x14ac:dyDescent="0.3">
      <c r="H186" s="19">
        <f t="shared" si="24"/>
        <v>5790</v>
      </c>
      <c r="I186" s="6">
        <f t="shared" si="20"/>
        <v>-27</v>
      </c>
      <c r="J186" s="6">
        <f t="shared" si="21"/>
        <v>-751</v>
      </c>
      <c r="K186" s="6">
        <f t="shared" si="22"/>
        <v>1032</v>
      </c>
      <c r="L186" s="6">
        <f t="shared" si="23"/>
        <v>254</v>
      </c>
    </row>
    <row r="187" spans="8:12" x14ac:dyDescent="0.3">
      <c r="H187" s="19">
        <f t="shared" si="24"/>
        <v>5800</v>
      </c>
      <c r="I187" s="6">
        <f t="shared" si="20"/>
        <v>-27</v>
      </c>
      <c r="J187" s="6">
        <f t="shared" si="21"/>
        <v>-761</v>
      </c>
      <c r="K187" s="6">
        <f t="shared" si="22"/>
        <v>1042</v>
      </c>
      <c r="L187" s="6">
        <f t="shared" si="23"/>
        <v>254</v>
      </c>
    </row>
    <row r="188" spans="8:12" x14ac:dyDescent="0.3">
      <c r="H188" s="19">
        <f t="shared" si="24"/>
        <v>5810</v>
      </c>
      <c r="I188" s="6">
        <f t="shared" si="20"/>
        <v>-27</v>
      </c>
      <c r="J188" s="6">
        <f t="shared" si="21"/>
        <v>-771</v>
      </c>
      <c r="K188" s="6">
        <f t="shared" si="22"/>
        <v>1052</v>
      </c>
      <c r="L188" s="6">
        <f t="shared" si="23"/>
        <v>254</v>
      </c>
    </row>
    <row r="189" spans="8:12" x14ac:dyDescent="0.3">
      <c r="H189" s="19">
        <f t="shared" si="24"/>
        <v>5820</v>
      </c>
      <c r="I189" s="6">
        <f t="shared" si="20"/>
        <v>-27</v>
      </c>
      <c r="J189" s="6">
        <f t="shared" si="21"/>
        <v>-781</v>
      </c>
      <c r="K189" s="6">
        <f t="shared" si="22"/>
        <v>1062</v>
      </c>
      <c r="L189" s="6">
        <f t="shared" si="23"/>
        <v>254</v>
      </c>
    </row>
    <row r="190" spans="8:12" x14ac:dyDescent="0.3">
      <c r="H190" s="19">
        <f t="shared" si="24"/>
        <v>5830</v>
      </c>
      <c r="I190" s="6">
        <f t="shared" si="20"/>
        <v>-27</v>
      </c>
      <c r="J190" s="6">
        <f t="shared" si="21"/>
        <v>-791</v>
      </c>
      <c r="K190" s="6">
        <f t="shared" si="22"/>
        <v>1072</v>
      </c>
      <c r="L190" s="6">
        <f t="shared" si="23"/>
        <v>254</v>
      </c>
    </row>
    <row r="191" spans="8:12" x14ac:dyDescent="0.3">
      <c r="H191" s="19">
        <f t="shared" si="24"/>
        <v>5840</v>
      </c>
      <c r="I191" s="6">
        <f t="shared" si="20"/>
        <v>-27</v>
      </c>
      <c r="J191" s="6">
        <f t="shared" si="21"/>
        <v>-801</v>
      </c>
      <c r="K191" s="6">
        <f t="shared" si="22"/>
        <v>1082</v>
      </c>
      <c r="L191" s="6">
        <f t="shared" si="23"/>
        <v>254</v>
      </c>
    </row>
    <row r="192" spans="8:12" x14ac:dyDescent="0.3">
      <c r="H192" s="19">
        <f t="shared" si="24"/>
        <v>5850</v>
      </c>
      <c r="I192" s="6">
        <f t="shared" si="20"/>
        <v>-27</v>
      </c>
      <c r="J192" s="6">
        <f t="shared" si="21"/>
        <v>-811</v>
      </c>
      <c r="K192" s="6">
        <f t="shared" si="22"/>
        <v>1092</v>
      </c>
      <c r="L192" s="6">
        <f t="shared" si="23"/>
        <v>254</v>
      </c>
    </row>
    <row r="193" spans="8:12" x14ac:dyDescent="0.3">
      <c r="H193" s="19">
        <f t="shared" si="24"/>
        <v>5860</v>
      </c>
      <c r="I193" s="6">
        <f t="shared" si="20"/>
        <v>-27</v>
      </c>
      <c r="J193" s="6">
        <f t="shared" si="21"/>
        <v>-821</v>
      </c>
      <c r="K193" s="6">
        <f t="shared" si="22"/>
        <v>1102</v>
      </c>
      <c r="L193" s="6">
        <f t="shared" si="23"/>
        <v>254</v>
      </c>
    </row>
    <row r="194" spans="8:12" x14ac:dyDescent="0.3">
      <c r="H194" s="19">
        <f t="shared" si="24"/>
        <v>5870</v>
      </c>
      <c r="I194" s="6">
        <f t="shared" si="20"/>
        <v>-27</v>
      </c>
      <c r="J194" s="6">
        <f t="shared" si="21"/>
        <v>-831</v>
      </c>
      <c r="K194" s="6">
        <f t="shared" si="22"/>
        <v>1112</v>
      </c>
      <c r="L194" s="6">
        <f t="shared" si="23"/>
        <v>254</v>
      </c>
    </row>
    <row r="195" spans="8:12" x14ac:dyDescent="0.3">
      <c r="H195" s="19">
        <f t="shared" si="24"/>
        <v>5880</v>
      </c>
      <c r="I195" s="6">
        <f t="shared" si="20"/>
        <v>-27</v>
      </c>
      <c r="J195" s="6">
        <f t="shared" si="21"/>
        <v>-841</v>
      </c>
      <c r="K195" s="6">
        <f t="shared" si="22"/>
        <v>1122</v>
      </c>
      <c r="L195" s="6">
        <f t="shared" si="23"/>
        <v>254</v>
      </c>
    </row>
    <row r="196" spans="8:12" x14ac:dyDescent="0.3">
      <c r="H196" s="19">
        <f t="shared" si="24"/>
        <v>5890</v>
      </c>
      <c r="I196" s="6">
        <f t="shared" si="20"/>
        <v>-27</v>
      </c>
      <c r="J196" s="6">
        <f t="shared" si="21"/>
        <v>-851</v>
      </c>
      <c r="K196" s="6">
        <f t="shared" si="22"/>
        <v>1132</v>
      </c>
      <c r="L196" s="6">
        <f t="shared" si="23"/>
        <v>254</v>
      </c>
    </row>
    <row r="197" spans="8:12" x14ac:dyDescent="0.3">
      <c r="H197" s="19">
        <f t="shared" si="24"/>
        <v>5900</v>
      </c>
      <c r="I197" s="6">
        <f t="shared" si="20"/>
        <v>-27</v>
      </c>
      <c r="J197" s="6">
        <f t="shared" si="21"/>
        <v>-861</v>
      </c>
      <c r="K197" s="6">
        <f t="shared" si="22"/>
        <v>1142</v>
      </c>
      <c r="L197" s="6">
        <f t="shared" si="23"/>
        <v>254</v>
      </c>
    </row>
    <row r="198" spans="8:12" x14ac:dyDescent="0.3">
      <c r="H198" s="19">
        <f t="shared" si="24"/>
        <v>5910</v>
      </c>
      <c r="I198" s="6">
        <f t="shared" si="20"/>
        <v>-27</v>
      </c>
      <c r="J198" s="6">
        <f t="shared" si="21"/>
        <v>-871</v>
      </c>
      <c r="K198" s="6">
        <f t="shared" si="22"/>
        <v>1152</v>
      </c>
      <c r="L198" s="6">
        <f t="shared" si="23"/>
        <v>254</v>
      </c>
    </row>
    <row r="199" spans="8:12" x14ac:dyDescent="0.3">
      <c r="H199" s="19">
        <f t="shared" si="24"/>
        <v>5920</v>
      </c>
      <c r="I199" s="6">
        <f t="shared" si="20"/>
        <v>-27</v>
      </c>
      <c r="J199" s="6">
        <f t="shared" si="21"/>
        <v>-881</v>
      </c>
      <c r="K199" s="6">
        <f t="shared" si="22"/>
        <v>1162</v>
      </c>
      <c r="L199" s="6">
        <f t="shared" si="23"/>
        <v>254</v>
      </c>
    </row>
    <row r="200" spans="8:12" x14ac:dyDescent="0.3">
      <c r="H200" s="19">
        <f t="shared" si="24"/>
        <v>5930</v>
      </c>
      <c r="I200" s="6">
        <f t="shared" ref="I200:I207" si="25">(MAX($J$4-H200,0)-$K$4)</f>
        <v>-27</v>
      </c>
      <c r="J200" s="6">
        <f t="shared" ref="J200:J207" si="26">(MAX(H200-$H$4,0)-$I$4)*-1</f>
        <v>-891</v>
      </c>
      <c r="K200" s="6">
        <f t="shared" ref="K200:K207" si="27">H200-$L$4</f>
        <v>1172</v>
      </c>
      <c r="L200" s="6">
        <f t="shared" ref="L200:L207" si="28">SUM(I200:K200)</f>
        <v>254</v>
      </c>
    </row>
    <row r="201" spans="8:12" x14ac:dyDescent="0.3">
      <c r="H201" s="19">
        <f t="shared" ref="H201:H205" si="29">H200+10</f>
        <v>5940</v>
      </c>
      <c r="I201" s="6">
        <f t="shared" si="25"/>
        <v>-27</v>
      </c>
      <c r="J201" s="6">
        <f t="shared" si="26"/>
        <v>-901</v>
      </c>
      <c r="K201" s="6">
        <f t="shared" si="27"/>
        <v>1182</v>
      </c>
      <c r="L201" s="6">
        <f t="shared" si="28"/>
        <v>254</v>
      </c>
    </row>
    <row r="202" spans="8:12" x14ac:dyDescent="0.3">
      <c r="H202" s="19">
        <f t="shared" si="29"/>
        <v>5950</v>
      </c>
      <c r="I202" s="6">
        <f t="shared" si="25"/>
        <v>-27</v>
      </c>
      <c r="J202" s="6">
        <f t="shared" si="26"/>
        <v>-911</v>
      </c>
      <c r="K202" s="6">
        <f t="shared" si="27"/>
        <v>1192</v>
      </c>
      <c r="L202" s="6">
        <f t="shared" si="28"/>
        <v>254</v>
      </c>
    </row>
    <row r="203" spans="8:12" x14ac:dyDescent="0.3">
      <c r="H203" s="19">
        <f t="shared" si="29"/>
        <v>5960</v>
      </c>
      <c r="I203" s="6">
        <f t="shared" si="25"/>
        <v>-27</v>
      </c>
      <c r="J203" s="6">
        <f t="shared" si="26"/>
        <v>-921</v>
      </c>
      <c r="K203" s="6">
        <f t="shared" si="27"/>
        <v>1202</v>
      </c>
      <c r="L203" s="6">
        <f t="shared" si="28"/>
        <v>254</v>
      </c>
    </row>
    <row r="204" spans="8:12" x14ac:dyDescent="0.3">
      <c r="H204" s="19">
        <f t="shared" si="29"/>
        <v>5970</v>
      </c>
      <c r="I204" s="6">
        <f t="shared" si="25"/>
        <v>-27</v>
      </c>
      <c r="J204" s="6">
        <f t="shared" si="26"/>
        <v>-931</v>
      </c>
      <c r="K204" s="6">
        <f t="shared" si="27"/>
        <v>1212</v>
      </c>
      <c r="L204" s="6">
        <f t="shared" si="28"/>
        <v>254</v>
      </c>
    </row>
    <row r="205" spans="8:12" x14ac:dyDescent="0.3">
      <c r="H205" s="19">
        <f t="shared" si="29"/>
        <v>5980</v>
      </c>
      <c r="I205" s="6">
        <f t="shared" si="25"/>
        <v>-27</v>
      </c>
      <c r="J205" s="6">
        <f t="shared" si="26"/>
        <v>-941</v>
      </c>
      <c r="K205" s="6">
        <f t="shared" si="27"/>
        <v>1222</v>
      </c>
      <c r="L205" s="6">
        <f t="shared" si="28"/>
        <v>254</v>
      </c>
    </row>
    <row r="206" spans="8:12" x14ac:dyDescent="0.3">
      <c r="H206" s="19">
        <f>H205+10</f>
        <v>5990</v>
      </c>
      <c r="I206" s="6">
        <f t="shared" si="25"/>
        <v>-27</v>
      </c>
      <c r="J206" s="6">
        <f t="shared" si="26"/>
        <v>-951</v>
      </c>
      <c r="K206" s="6">
        <f t="shared" si="27"/>
        <v>1232</v>
      </c>
      <c r="L206" s="6">
        <f t="shared" si="28"/>
        <v>254</v>
      </c>
    </row>
    <row r="207" spans="8:12" x14ac:dyDescent="0.3">
      <c r="H207" s="19">
        <f>H206+10</f>
        <v>6000</v>
      </c>
      <c r="I207" s="6">
        <f t="shared" si="25"/>
        <v>-27</v>
      </c>
      <c r="J207" s="6">
        <f t="shared" si="26"/>
        <v>-961</v>
      </c>
      <c r="K207" s="6">
        <f t="shared" si="27"/>
        <v>1242</v>
      </c>
      <c r="L207" s="6">
        <f t="shared" si="28"/>
        <v>254</v>
      </c>
    </row>
  </sheetData>
  <sheetProtection algorithmName="SHA-512" hashValue="6btYY/wmp4Ts/G7Hx7Db3ZyomXL2dni3oVcwxf/rgKmnCgqPYz7fBDPCKd5bwhU5YeichGwfAH8ToB6OhDzEAA==" saltValue="RqAmOr/7iqrNEmToO1L3jQ==" spinCount="100000" sheet="1" objects="1" scenarios="1"/>
  <mergeCells count="6">
    <mergeCell ref="B3:F11"/>
    <mergeCell ref="M81:O81"/>
    <mergeCell ref="N3:Q3"/>
    <mergeCell ref="N4:Q9"/>
    <mergeCell ref="N11:Q11"/>
    <mergeCell ref="N13:Q13"/>
  </mergeCells>
  <conditionalFormatting sqref="I6:I207">
    <cfRule type="cellIs" dxfId="50" priority="4" operator="lessThan">
      <formula>$G$9</formula>
    </cfRule>
    <cfRule type="cellIs" dxfId="49" priority="5" operator="greaterThan">
      <formula>0</formula>
    </cfRule>
  </conditionalFormatting>
  <conditionalFormatting sqref="J6:L207">
    <cfRule type="cellIs" dxfId="48" priority="1" operator="lessThan">
      <formula>0</formula>
    </cfRule>
    <cfRule type="cellIs" dxfId="47" priority="2" operator="lessThan">
      <formula>#REF!</formula>
    </cfRule>
    <cfRule type="cellIs" dxfId="46" priority="3" operator="greaterThan">
      <formula>0</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E3E88-3B63-45EB-9A3F-560A3A20BDDC}">
  <sheetPr codeName="Sheet14"/>
  <dimension ref="B2:P47"/>
  <sheetViews>
    <sheetView topLeftCell="J14" zoomScale="97" workbookViewId="0">
      <selection activeCell="L34" sqref="L34"/>
    </sheetView>
  </sheetViews>
  <sheetFormatPr defaultRowHeight="14.4" x14ac:dyDescent="0.3"/>
  <cols>
    <col min="7" max="7" width="11.21875" bestFit="1" customWidth="1"/>
    <col min="8" max="9" width="10.21875" bestFit="1" customWidth="1"/>
    <col min="10" max="10" width="11.77734375" bestFit="1" customWidth="1"/>
    <col min="11" max="11" width="11.88671875" bestFit="1" customWidth="1"/>
    <col min="12" max="12" width="11.77734375" bestFit="1" customWidth="1"/>
  </cols>
  <sheetData>
    <row r="2" spans="2:16" ht="15" thickBot="1" x14ac:dyDescent="0.35"/>
    <row r="3" spans="2:16" x14ac:dyDescent="0.3">
      <c r="B3" s="161" t="s">
        <v>103</v>
      </c>
      <c r="C3" s="162"/>
      <c r="D3" s="162"/>
      <c r="E3" s="163"/>
      <c r="G3" s="1" t="s">
        <v>52</v>
      </c>
      <c r="H3" s="1" t="s">
        <v>93</v>
      </c>
      <c r="I3" s="1" t="s">
        <v>52</v>
      </c>
      <c r="J3" s="1" t="s">
        <v>105</v>
      </c>
      <c r="K3" s="26"/>
      <c r="M3" s="178" t="s">
        <v>71</v>
      </c>
      <c r="N3" s="179"/>
      <c r="O3" s="179"/>
      <c r="P3" s="180"/>
    </row>
    <row r="4" spans="2:16" x14ac:dyDescent="0.3">
      <c r="B4" s="54"/>
      <c r="C4" s="55"/>
      <c r="D4" s="55"/>
      <c r="E4" s="56"/>
      <c r="G4" s="19">
        <v>22400</v>
      </c>
      <c r="H4" s="19">
        <v>35.4</v>
      </c>
      <c r="I4" s="19">
        <v>22000</v>
      </c>
      <c r="J4" s="19">
        <v>170.45</v>
      </c>
      <c r="K4" s="19"/>
      <c r="M4" s="105" t="s">
        <v>107</v>
      </c>
      <c r="N4" s="173"/>
      <c r="O4" s="173"/>
      <c r="P4" s="174"/>
    </row>
    <row r="5" spans="2:16" ht="15" thickBot="1" x14ac:dyDescent="0.35">
      <c r="B5" s="54"/>
      <c r="C5" s="55"/>
      <c r="D5" s="55"/>
      <c r="E5" s="56"/>
      <c r="G5" s="1" t="s">
        <v>4</v>
      </c>
      <c r="H5" s="17" t="str">
        <f>J3</f>
        <v>CALL BUY</v>
      </c>
      <c r="I5" s="1" t="str">
        <f>H3</f>
        <v xml:space="preserve">CALL SELL  </v>
      </c>
      <c r="J5" s="1" t="s">
        <v>37</v>
      </c>
      <c r="K5" s="1" t="s">
        <v>180</v>
      </c>
      <c r="M5" s="175"/>
      <c r="N5" s="176"/>
      <c r="O5" s="176"/>
      <c r="P5" s="177"/>
    </row>
    <row r="6" spans="2:16" ht="15" thickBot="1" x14ac:dyDescent="0.35">
      <c r="B6" s="54"/>
      <c r="C6" s="55"/>
      <c r="D6" s="55"/>
      <c r="E6" s="56"/>
      <c r="G6" s="19">
        <v>21000</v>
      </c>
      <c r="H6" s="6">
        <f>(MAX(G6-$I$4,0)-$J$4)</f>
        <v>-170.45</v>
      </c>
      <c r="I6" s="6">
        <f>(MAX(G6-$G$4,0)-$H$4)*-1</f>
        <v>35.4</v>
      </c>
      <c r="J6" s="6">
        <f>SUM(H6:I6)</f>
        <v>-135.04999999999998</v>
      </c>
      <c r="K6" s="6">
        <f>J6*-1</f>
        <v>135.04999999999998</v>
      </c>
    </row>
    <row r="7" spans="2:16" x14ac:dyDescent="0.3">
      <c r="B7" s="54"/>
      <c r="C7" s="55"/>
      <c r="D7" s="55"/>
      <c r="E7" s="56"/>
      <c r="G7" s="19">
        <f>G6+50</f>
        <v>21050</v>
      </c>
      <c r="H7" s="6">
        <f t="shared" ref="H7:H29" si="0">(MAX(G7-$I$4,0)-$J$4)</f>
        <v>-170.45</v>
      </c>
      <c r="I7" s="6">
        <f t="shared" ref="I7:I29" si="1">(MAX(G7-$G$4,0)-$H$4)*-1</f>
        <v>35.4</v>
      </c>
      <c r="J7" s="6">
        <f t="shared" ref="J7:J28" si="2">SUM(H7:I7)</f>
        <v>-135.04999999999998</v>
      </c>
      <c r="K7" s="6">
        <f t="shared" ref="K7:K47" si="3">J7*-1</f>
        <v>135.04999999999998</v>
      </c>
      <c r="M7" s="139" t="s">
        <v>108</v>
      </c>
      <c r="N7" s="140"/>
      <c r="O7" s="140"/>
      <c r="P7" s="141"/>
    </row>
    <row r="8" spans="2:16" ht="15" thickBot="1" x14ac:dyDescent="0.35">
      <c r="B8" s="57"/>
      <c r="C8" s="58"/>
      <c r="D8" s="58"/>
      <c r="E8" s="59"/>
      <c r="G8" s="19">
        <f t="shared" ref="G8:G28" si="4">G7+50</f>
        <v>21100</v>
      </c>
      <c r="H8" s="6">
        <f t="shared" si="0"/>
        <v>-170.45</v>
      </c>
      <c r="I8" s="6">
        <f t="shared" si="1"/>
        <v>35.4</v>
      </c>
      <c r="J8" s="6">
        <f t="shared" si="2"/>
        <v>-135.04999999999998</v>
      </c>
      <c r="K8" s="6">
        <f t="shared" si="3"/>
        <v>135.04999999999998</v>
      </c>
      <c r="M8" s="142"/>
      <c r="N8" s="143"/>
      <c r="O8" s="143"/>
      <c r="P8" s="144"/>
    </row>
    <row r="9" spans="2:16" ht="15" thickBot="1" x14ac:dyDescent="0.35">
      <c r="G9" s="19">
        <f t="shared" si="4"/>
        <v>21150</v>
      </c>
      <c r="H9" s="6">
        <f t="shared" si="0"/>
        <v>-170.45</v>
      </c>
      <c r="I9" s="6">
        <f t="shared" si="1"/>
        <v>35.4</v>
      </c>
      <c r="J9" s="6">
        <f t="shared" si="2"/>
        <v>-135.04999999999998</v>
      </c>
      <c r="K9" s="6">
        <f t="shared" si="3"/>
        <v>135.04999999999998</v>
      </c>
      <c r="M9" s="142"/>
      <c r="N9" s="143"/>
      <c r="O9" s="143"/>
      <c r="P9" s="144"/>
    </row>
    <row r="10" spans="2:16" x14ac:dyDescent="0.3">
      <c r="B10" s="164" t="s">
        <v>104</v>
      </c>
      <c r="C10" s="165"/>
      <c r="D10" s="165"/>
      <c r="E10" s="166"/>
      <c r="G10" s="19">
        <f t="shared" si="4"/>
        <v>21200</v>
      </c>
      <c r="H10" s="6">
        <f t="shared" si="0"/>
        <v>-170.45</v>
      </c>
      <c r="I10" s="6">
        <f t="shared" si="1"/>
        <v>35.4</v>
      </c>
      <c r="J10" s="6">
        <f t="shared" si="2"/>
        <v>-135.04999999999998</v>
      </c>
      <c r="K10" s="6">
        <f t="shared" si="3"/>
        <v>135.04999999999998</v>
      </c>
      <c r="M10" s="142"/>
      <c r="N10" s="143"/>
      <c r="O10" s="143"/>
      <c r="P10" s="144"/>
    </row>
    <row r="11" spans="2:16" x14ac:dyDescent="0.3">
      <c r="B11" s="167"/>
      <c r="C11" s="168"/>
      <c r="D11" s="168"/>
      <c r="E11" s="169"/>
      <c r="G11" s="19">
        <f t="shared" si="4"/>
        <v>21250</v>
      </c>
      <c r="H11" s="6">
        <f t="shared" si="0"/>
        <v>-170.45</v>
      </c>
      <c r="I11" s="6">
        <f t="shared" si="1"/>
        <v>35.4</v>
      </c>
      <c r="J11" s="6">
        <f t="shared" si="2"/>
        <v>-135.04999999999998</v>
      </c>
      <c r="K11" s="6">
        <f t="shared" si="3"/>
        <v>135.04999999999998</v>
      </c>
      <c r="M11" s="142"/>
      <c r="N11" s="143"/>
      <c r="O11" s="143"/>
      <c r="P11" s="144"/>
    </row>
    <row r="12" spans="2:16" ht="15" thickBot="1" x14ac:dyDescent="0.35">
      <c r="B12" s="170"/>
      <c r="C12" s="171"/>
      <c r="D12" s="171"/>
      <c r="E12" s="172"/>
      <c r="G12" s="19">
        <f t="shared" si="4"/>
        <v>21300</v>
      </c>
      <c r="H12" s="6">
        <f t="shared" si="0"/>
        <v>-170.45</v>
      </c>
      <c r="I12" s="6">
        <f t="shared" si="1"/>
        <v>35.4</v>
      </c>
      <c r="J12" s="6">
        <f t="shared" si="2"/>
        <v>-135.04999999999998</v>
      </c>
      <c r="K12" s="6">
        <f t="shared" si="3"/>
        <v>135.04999999999998</v>
      </c>
      <c r="M12" s="145"/>
      <c r="N12" s="146"/>
      <c r="O12" s="146"/>
      <c r="P12" s="147"/>
    </row>
    <row r="13" spans="2:16" ht="15" thickBot="1" x14ac:dyDescent="0.35">
      <c r="G13" s="19">
        <f t="shared" si="4"/>
        <v>21350</v>
      </c>
      <c r="H13" s="6">
        <f t="shared" si="0"/>
        <v>-170.45</v>
      </c>
      <c r="I13" s="6">
        <f t="shared" si="1"/>
        <v>35.4</v>
      </c>
      <c r="J13" s="6">
        <f t="shared" si="2"/>
        <v>-135.04999999999998</v>
      </c>
      <c r="K13" s="6">
        <f t="shared" si="3"/>
        <v>135.04999999999998</v>
      </c>
    </row>
    <row r="14" spans="2:16" x14ac:dyDescent="0.3">
      <c r="G14" s="19">
        <f t="shared" si="4"/>
        <v>21400</v>
      </c>
      <c r="H14" s="6">
        <f t="shared" si="0"/>
        <v>-170.45</v>
      </c>
      <c r="I14" s="6">
        <f t="shared" si="1"/>
        <v>35.4</v>
      </c>
      <c r="J14" s="6">
        <f t="shared" si="2"/>
        <v>-135.04999999999998</v>
      </c>
      <c r="K14" s="6">
        <f t="shared" si="3"/>
        <v>135.04999999999998</v>
      </c>
      <c r="M14" s="60" t="s">
        <v>109</v>
      </c>
      <c r="N14" s="149"/>
      <c r="O14" s="149"/>
      <c r="P14" s="150"/>
    </row>
    <row r="15" spans="2:16" x14ac:dyDescent="0.3">
      <c r="G15" s="19">
        <f t="shared" si="4"/>
        <v>21450</v>
      </c>
      <c r="H15" s="6">
        <f t="shared" si="0"/>
        <v>-170.45</v>
      </c>
      <c r="I15" s="6">
        <f t="shared" si="1"/>
        <v>35.4</v>
      </c>
      <c r="J15" s="6">
        <f t="shared" si="2"/>
        <v>-135.04999999999998</v>
      </c>
      <c r="K15" s="6">
        <f t="shared" si="3"/>
        <v>135.04999999999998</v>
      </c>
      <c r="M15" s="181"/>
      <c r="N15" s="87"/>
      <c r="O15" s="87"/>
      <c r="P15" s="182"/>
    </row>
    <row r="16" spans="2:16" x14ac:dyDescent="0.3">
      <c r="G16" s="19">
        <f t="shared" si="4"/>
        <v>21500</v>
      </c>
      <c r="H16" s="6">
        <f t="shared" si="0"/>
        <v>-170.45</v>
      </c>
      <c r="I16" s="6">
        <f t="shared" si="1"/>
        <v>35.4</v>
      </c>
      <c r="J16" s="6">
        <f t="shared" si="2"/>
        <v>-135.04999999999998</v>
      </c>
      <c r="K16" s="6">
        <f t="shared" si="3"/>
        <v>135.04999999999998</v>
      </c>
      <c r="M16" s="181"/>
      <c r="N16" s="87"/>
      <c r="O16" s="87"/>
      <c r="P16" s="182"/>
    </row>
    <row r="17" spans="7:16" x14ac:dyDescent="0.3">
      <c r="G17" s="19">
        <f t="shared" si="4"/>
        <v>21550</v>
      </c>
      <c r="H17" s="6">
        <f t="shared" si="0"/>
        <v>-170.45</v>
      </c>
      <c r="I17" s="6">
        <f t="shared" si="1"/>
        <v>35.4</v>
      </c>
      <c r="J17" s="6">
        <f t="shared" si="2"/>
        <v>-135.04999999999998</v>
      </c>
      <c r="K17" s="6">
        <f t="shared" si="3"/>
        <v>135.04999999999998</v>
      </c>
      <c r="M17" s="181"/>
      <c r="N17" s="87"/>
      <c r="O17" s="87"/>
      <c r="P17" s="182"/>
    </row>
    <row r="18" spans="7:16" x14ac:dyDescent="0.3">
      <c r="G18" s="19">
        <f t="shared" si="4"/>
        <v>21600</v>
      </c>
      <c r="H18" s="6">
        <f t="shared" si="0"/>
        <v>-170.45</v>
      </c>
      <c r="I18" s="6">
        <f t="shared" si="1"/>
        <v>35.4</v>
      </c>
      <c r="J18" s="6">
        <f t="shared" si="2"/>
        <v>-135.04999999999998</v>
      </c>
      <c r="K18" s="6">
        <f t="shared" si="3"/>
        <v>135.04999999999998</v>
      </c>
      <c r="M18" s="181"/>
      <c r="N18" s="87"/>
      <c r="O18" s="87"/>
      <c r="P18" s="182"/>
    </row>
    <row r="19" spans="7:16" ht="15" thickBot="1" x14ac:dyDescent="0.35">
      <c r="G19" s="19">
        <f t="shared" si="4"/>
        <v>21650</v>
      </c>
      <c r="H19" s="6">
        <f t="shared" si="0"/>
        <v>-170.45</v>
      </c>
      <c r="I19" s="6">
        <f t="shared" si="1"/>
        <v>35.4</v>
      </c>
      <c r="J19" s="6">
        <f t="shared" si="2"/>
        <v>-135.04999999999998</v>
      </c>
      <c r="K19" s="6">
        <f t="shared" si="3"/>
        <v>135.04999999999998</v>
      </c>
      <c r="M19" s="183"/>
      <c r="N19" s="184"/>
      <c r="O19" s="184"/>
      <c r="P19" s="185"/>
    </row>
    <row r="20" spans="7:16" x14ac:dyDescent="0.3">
      <c r="G20" s="19">
        <f t="shared" si="4"/>
        <v>21700</v>
      </c>
      <c r="H20" s="6">
        <f t="shared" si="0"/>
        <v>-170.45</v>
      </c>
      <c r="I20" s="6">
        <f t="shared" si="1"/>
        <v>35.4</v>
      </c>
      <c r="J20" s="6">
        <f t="shared" si="2"/>
        <v>-135.04999999999998</v>
      </c>
      <c r="K20" s="6">
        <f t="shared" si="3"/>
        <v>135.04999999999998</v>
      </c>
    </row>
    <row r="21" spans="7:16" x14ac:dyDescent="0.3">
      <c r="G21" s="19">
        <f t="shared" si="4"/>
        <v>21750</v>
      </c>
      <c r="H21" s="6">
        <f t="shared" si="0"/>
        <v>-170.45</v>
      </c>
      <c r="I21" s="6">
        <f t="shared" si="1"/>
        <v>35.4</v>
      </c>
      <c r="J21" s="6">
        <f t="shared" si="2"/>
        <v>-135.04999999999998</v>
      </c>
      <c r="K21" s="6">
        <f t="shared" si="3"/>
        <v>135.04999999999998</v>
      </c>
    </row>
    <row r="22" spans="7:16" x14ac:dyDescent="0.3">
      <c r="G22" s="19">
        <f t="shared" si="4"/>
        <v>21800</v>
      </c>
      <c r="H22" s="6">
        <f t="shared" si="0"/>
        <v>-170.45</v>
      </c>
      <c r="I22" s="6">
        <f t="shared" si="1"/>
        <v>35.4</v>
      </c>
      <c r="J22" s="6">
        <f t="shared" si="2"/>
        <v>-135.04999999999998</v>
      </c>
      <c r="K22" s="6">
        <f t="shared" si="3"/>
        <v>135.04999999999998</v>
      </c>
    </row>
    <row r="23" spans="7:16" x14ac:dyDescent="0.3">
      <c r="G23" s="19">
        <f t="shared" si="4"/>
        <v>21850</v>
      </c>
      <c r="H23" s="6">
        <f t="shared" si="0"/>
        <v>-170.45</v>
      </c>
      <c r="I23" s="6">
        <f t="shared" si="1"/>
        <v>35.4</v>
      </c>
      <c r="J23" s="6">
        <f t="shared" si="2"/>
        <v>-135.04999999999998</v>
      </c>
      <c r="K23" s="6">
        <f t="shared" si="3"/>
        <v>135.04999999999998</v>
      </c>
    </row>
    <row r="24" spans="7:16" x14ac:dyDescent="0.3">
      <c r="G24" s="19">
        <f t="shared" si="4"/>
        <v>21900</v>
      </c>
      <c r="H24" s="6">
        <f t="shared" si="0"/>
        <v>-170.45</v>
      </c>
      <c r="I24" s="6">
        <f t="shared" si="1"/>
        <v>35.4</v>
      </c>
      <c r="J24" s="6">
        <f t="shared" si="2"/>
        <v>-135.04999999999998</v>
      </c>
      <c r="K24" s="6">
        <f t="shared" si="3"/>
        <v>135.04999999999998</v>
      </c>
    </row>
    <row r="25" spans="7:16" x14ac:dyDescent="0.3">
      <c r="G25" s="19">
        <f t="shared" si="4"/>
        <v>21950</v>
      </c>
      <c r="H25" s="6">
        <f t="shared" si="0"/>
        <v>-170.45</v>
      </c>
      <c r="I25" s="6">
        <f t="shared" si="1"/>
        <v>35.4</v>
      </c>
      <c r="J25" s="6">
        <f t="shared" si="2"/>
        <v>-135.04999999999998</v>
      </c>
      <c r="K25" s="6">
        <f t="shared" si="3"/>
        <v>135.04999999999998</v>
      </c>
    </row>
    <row r="26" spans="7:16" x14ac:dyDescent="0.3">
      <c r="G26" s="19">
        <f t="shared" si="4"/>
        <v>22000</v>
      </c>
      <c r="H26" s="6">
        <f t="shared" si="0"/>
        <v>-170.45</v>
      </c>
      <c r="I26" s="6">
        <f t="shared" si="1"/>
        <v>35.4</v>
      </c>
      <c r="J26" s="6">
        <f t="shared" si="2"/>
        <v>-135.04999999999998</v>
      </c>
      <c r="K26" s="6">
        <f t="shared" si="3"/>
        <v>135.04999999999998</v>
      </c>
    </row>
    <row r="27" spans="7:16" x14ac:dyDescent="0.3">
      <c r="G27" s="19">
        <f t="shared" si="4"/>
        <v>22050</v>
      </c>
      <c r="H27" s="6">
        <f t="shared" si="0"/>
        <v>-120.44999999999999</v>
      </c>
      <c r="I27" s="6">
        <f t="shared" si="1"/>
        <v>35.4</v>
      </c>
      <c r="J27" s="6">
        <f t="shared" si="2"/>
        <v>-85.049999999999983</v>
      </c>
      <c r="K27" s="6">
        <f t="shared" si="3"/>
        <v>85.049999999999983</v>
      </c>
    </row>
    <row r="28" spans="7:16" x14ac:dyDescent="0.3">
      <c r="G28" s="19">
        <f t="shared" si="4"/>
        <v>22100</v>
      </c>
      <c r="H28" s="6">
        <f t="shared" si="0"/>
        <v>-70.449999999999989</v>
      </c>
      <c r="I28" s="6">
        <f t="shared" si="1"/>
        <v>35.4</v>
      </c>
      <c r="J28" s="6">
        <f t="shared" si="2"/>
        <v>-35.04999999999999</v>
      </c>
      <c r="K28" s="6">
        <f t="shared" si="3"/>
        <v>35.04999999999999</v>
      </c>
    </row>
    <row r="29" spans="7:16" x14ac:dyDescent="0.3">
      <c r="G29" s="19">
        <f>G30-14.95</f>
        <v>22135.05</v>
      </c>
      <c r="H29" s="6">
        <f t="shared" si="0"/>
        <v>-35.400000000000716</v>
      </c>
      <c r="I29" s="6">
        <f t="shared" si="1"/>
        <v>35.4</v>
      </c>
      <c r="J29" s="6">
        <f t="shared" ref="J29:J47" si="5">SUM(H29:I29)</f>
        <v>-7.1764816311770119E-13</v>
      </c>
      <c r="K29" s="6">
        <f t="shared" si="3"/>
        <v>7.1764816311770119E-13</v>
      </c>
      <c r="L29" s="50" t="s">
        <v>106</v>
      </c>
      <c r="M29" s="50"/>
    </row>
    <row r="30" spans="7:16" x14ac:dyDescent="0.3">
      <c r="G30" s="19">
        <f>G28+50</f>
        <v>22150</v>
      </c>
      <c r="H30" s="6">
        <f t="shared" ref="H30:H47" si="6">(MAX(G30-$I$4,0)-$J$4)</f>
        <v>-20.449999999999989</v>
      </c>
      <c r="I30" s="6">
        <f t="shared" ref="I30:I47" si="7">(MAX(G30-$G$4,0)-$H$4)*-1</f>
        <v>35.4</v>
      </c>
      <c r="J30" s="6">
        <f t="shared" si="5"/>
        <v>14.95000000000001</v>
      </c>
      <c r="K30" s="6">
        <f t="shared" si="3"/>
        <v>-14.95000000000001</v>
      </c>
    </row>
    <row r="31" spans="7:16" x14ac:dyDescent="0.3">
      <c r="G31" s="19">
        <f t="shared" ref="G31:G47" si="8">G30+50</f>
        <v>22200</v>
      </c>
      <c r="H31" s="6">
        <f t="shared" si="6"/>
        <v>29.550000000000011</v>
      </c>
      <c r="I31" s="6">
        <f t="shared" si="7"/>
        <v>35.4</v>
      </c>
      <c r="J31" s="6">
        <f t="shared" si="5"/>
        <v>64.950000000000017</v>
      </c>
      <c r="K31" s="6">
        <f t="shared" si="3"/>
        <v>-64.950000000000017</v>
      </c>
    </row>
    <row r="32" spans="7:16" x14ac:dyDescent="0.3">
      <c r="G32" s="19">
        <f t="shared" si="8"/>
        <v>22250</v>
      </c>
      <c r="H32" s="6">
        <f t="shared" si="6"/>
        <v>79.550000000000011</v>
      </c>
      <c r="I32" s="6">
        <f t="shared" si="7"/>
        <v>35.4</v>
      </c>
      <c r="J32" s="6">
        <f t="shared" si="5"/>
        <v>114.95000000000002</v>
      </c>
      <c r="K32" s="6">
        <f t="shared" si="3"/>
        <v>-114.95000000000002</v>
      </c>
    </row>
    <row r="33" spans="7:11" x14ac:dyDescent="0.3">
      <c r="G33" s="19">
        <f t="shared" si="8"/>
        <v>22300</v>
      </c>
      <c r="H33" s="6">
        <f t="shared" si="6"/>
        <v>129.55000000000001</v>
      </c>
      <c r="I33" s="6">
        <f t="shared" si="7"/>
        <v>35.4</v>
      </c>
      <c r="J33" s="6">
        <f t="shared" si="5"/>
        <v>164.95000000000002</v>
      </c>
      <c r="K33" s="6">
        <f t="shared" si="3"/>
        <v>-164.95000000000002</v>
      </c>
    </row>
    <row r="34" spans="7:11" x14ac:dyDescent="0.3">
      <c r="G34" s="19">
        <f t="shared" si="8"/>
        <v>22350</v>
      </c>
      <c r="H34" s="6">
        <f t="shared" si="6"/>
        <v>179.55</v>
      </c>
      <c r="I34" s="6">
        <f t="shared" si="7"/>
        <v>35.4</v>
      </c>
      <c r="J34" s="6">
        <f t="shared" si="5"/>
        <v>214.95000000000002</v>
      </c>
      <c r="K34" s="6">
        <f t="shared" si="3"/>
        <v>-214.95000000000002</v>
      </c>
    </row>
    <row r="35" spans="7:11" x14ac:dyDescent="0.3">
      <c r="G35" s="19">
        <f t="shared" si="8"/>
        <v>22400</v>
      </c>
      <c r="H35" s="6">
        <f t="shared" si="6"/>
        <v>229.55</v>
      </c>
      <c r="I35" s="6">
        <f t="shared" si="7"/>
        <v>35.4</v>
      </c>
      <c r="J35" s="6">
        <f>SUM(H35:I35)</f>
        <v>264.95</v>
      </c>
      <c r="K35" s="6">
        <f t="shared" si="3"/>
        <v>-264.95</v>
      </c>
    </row>
    <row r="36" spans="7:11" x14ac:dyDescent="0.3">
      <c r="G36" s="19">
        <f t="shared" si="8"/>
        <v>22450</v>
      </c>
      <c r="H36" s="6">
        <f t="shared" si="6"/>
        <v>279.55</v>
      </c>
      <c r="I36" s="6">
        <f t="shared" si="7"/>
        <v>-14.600000000000001</v>
      </c>
      <c r="J36" s="6">
        <f>SUM(H36:I36)</f>
        <v>264.95</v>
      </c>
      <c r="K36" s="6">
        <f t="shared" si="3"/>
        <v>-264.95</v>
      </c>
    </row>
    <row r="37" spans="7:11" x14ac:dyDescent="0.3">
      <c r="G37" s="19">
        <f t="shared" si="8"/>
        <v>22500</v>
      </c>
      <c r="H37" s="6">
        <f t="shared" si="6"/>
        <v>329.55</v>
      </c>
      <c r="I37" s="6">
        <f t="shared" si="7"/>
        <v>-64.599999999999994</v>
      </c>
      <c r="J37" s="6">
        <f t="shared" si="5"/>
        <v>264.95000000000005</v>
      </c>
      <c r="K37" s="6">
        <f t="shared" si="3"/>
        <v>-264.95000000000005</v>
      </c>
    </row>
    <row r="38" spans="7:11" x14ac:dyDescent="0.3">
      <c r="G38" s="19">
        <f t="shared" si="8"/>
        <v>22550</v>
      </c>
      <c r="H38" s="6">
        <f t="shared" si="6"/>
        <v>379.55</v>
      </c>
      <c r="I38" s="6">
        <f t="shared" si="7"/>
        <v>-114.6</v>
      </c>
      <c r="J38" s="6">
        <f t="shared" si="5"/>
        <v>264.95000000000005</v>
      </c>
      <c r="K38" s="6">
        <f t="shared" si="3"/>
        <v>-264.95000000000005</v>
      </c>
    </row>
    <row r="39" spans="7:11" x14ac:dyDescent="0.3">
      <c r="G39" s="19">
        <f t="shared" si="8"/>
        <v>22600</v>
      </c>
      <c r="H39" s="6">
        <f t="shared" si="6"/>
        <v>429.55</v>
      </c>
      <c r="I39" s="6">
        <f t="shared" si="7"/>
        <v>-164.6</v>
      </c>
      <c r="J39" s="6">
        <f t="shared" si="5"/>
        <v>264.95000000000005</v>
      </c>
      <c r="K39" s="6">
        <f t="shared" si="3"/>
        <v>-264.95000000000005</v>
      </c>
    </row>
    <row r="40" spans="7:11" x14ac:dyDescent="0.3">
      <c r="G40" s="19">
        <f t="shared" si="8"/>
        <v>22650</v>
      </c>
      <c r="H40" s="6">
        <f t="shared" si="6"/>
        <v>479.55</v>
      </c>
      <c r="I40" s="6">
        <f t="shared" si="7"/>
        <v>-214.6</v>
      </c>
      <c r="J40" s="6">
        <f t="shared" si="5"/>
        <v>264.95000000000005</v>
      </c>
      <c r="K40" s="6">
        <f t="shared" si="3"/>
        <v>-264.95000000000005</v>
      </c>
    </row>
    <row r="41" spans="7:11" x14ac:dyDescent="0.3">
      <c r="G41" s="19">
        <f t="shared" si="8"/>
        <v>22700</v>
      </c>
      <c r="H41" s="6">
        <f t="shared" si="6"/>
        <v>529.54999999999995</v>
      </c>
      <c r="I41" s="6">
        <f t="shared" si="7"/>
        <v>-264.60000000000002</v>
      </c>
      <c r="J41" s="6">
        <f t="shared" si="5"/>
        <v>264.94999999999993</v>
      </c>
      <c r="K41" s="6">
        <f t="shared" si="3"/>
        <v>-264.94999999999993</v>
      </c>
    </row>
    <row r="42" spans="7:11" x14ac:dyDescent="0.3">
      <c r="G42" s="19">
        <f t="shared" si="8"/>
        <v>22750</v>
      </c>
      <c r="H42" s="6">
        <f t="shared" si="6"/>
        <v>579.54999999999995</v>
      </c>
      <c r="I42" s="6">
        <f t="shared" si="7"/>
        <v>-314.60000000000002</v>
      </c>
      <c r="J42" s="6">
        <f t="shared" si="5"/>
        <v>264.94999999999993</v>
      </c>
      <c r="K42" s="6">
        <f t="shared" si="3"/>
        <v>-264.94999999999993</v>
      </c>
    </row>
    <row r="43" spans="7:11" x14ac:dyDescent="0.3">
      <c r="G43" s="19">
        <f t="shared" si="8"/>
        <v>22800</v>
      </c>
      <c r="H43" s="6">
        <f t="shared" si="6"/>
        <v>629.54999999999995</v>
      </c>
      <c r="I43" s="6">
        <f t="shared" si="7"/>
        <v>-364.6</v>
      </c>
      <c r="J43" s="6">
        <f t="shared" si="5"/>
        <v>264.94999999999993</v>
      </c>
      <c r="K43" s="6">
        <f t="shared" si="3"/>
        <v>-264.94999999999993</v>
      </c>
    </row>
    <row r="44" spans="7:11" x14ac:dyDescent="0.3">
      <c r="G44" s="19">
        <f t="shared" si="8"/>
        <v>22850</v>
      </c>
      <c r="H44" s="6">
        <f t="shared" si="6"/>
        <v>679.55</v>
      </c>
      <c r="I44" s="6">
        <f t="shared" si="7"/>
        <v>-414.6</v>
      </c>
      <c r="J44" s="6">
        <f t="shared" si="5"/>
        <v>264.94999999999993</v>
      </c>
      <c r="K44" s="6">
        <f t="shared" si="3"/>
        <v>-264.94999999999993</v>
      </c>
    </row>
    <row r="45" spans="7:11" x14ac:dyDescent="0.3">
      <c r="G45" s="19">
        <f t="shared" si="8"/>
        <v>22900</v>
      </c>
      <c r="H45" s="6">
        <f t="shared" si="6"/>
        <v>729.55</v>
      </c>
      <c r="I45" s="6">
        <f t="shared" si="7"/>
        <v>-464.6</v>
      </c>
      <c r="J45" s="6">
        <f t="shared" si="5"/>
        <v>264.94999999999993</v>
      </c>
      <c r="K45" s="6">
        <f t="shared" si="3"/>
        <v>-264.94999999999993</v>
      </c>
    </row>
    <row r="46" spans="7:11" x14ac:dyDescent="0.3">
      <c r="G46" s="19">
        <f t="shared" si="8"/>
        <v>22950</v>
      </c>
      <c r="H46" s="6">
        <f t="shared" si="6"/>
        <v>779.55</v>
      </c>
      <c r="I46" s="6">
        <f t="shared" si="7"/>
        <v>-514.6</v>
      </c>
      <c r="J46" s="6">
        <f t="shared" si="5"/>
        <v>264.94999999999993</v>
      </c>
      <c r="K46" s="6">
        <f t="shared" si="3"/>
        <v>-264.94999999999993</v>
      </c>
    </row>
    <row r="47" spans="7:11" x14ac:dyDescent="0.3">
      <c r="G47" s="19">
        <f t="shared" si="8"/>
        <v>23000</v>
      </c>
      <c r="H47" s="6">
        <f t="shared" si="6"/>
        <v>829.55</v>
      </c>
      <c r="I47" s="6">
        <f t="shared" si="7"/>
        <v>-564.6</v>
      </c>
      <c r="J47" s="6">
        <f t="shared" si="5"/>
        <v>264.94999999999993</v>
      </c>
      <c r="K47" s="6">
        <f t="shared" si="3"/>
        <v>-264.94999999999993</v>
      </c>
    </row>
  </sheetData>
  <sheetProtection algorithmName="SHA-512" hashValue="HwZlaxVyF7txnTXM6VI38R7RH59IwTt7o/mb9xxX07Sak42BP+e64Q8Op1VFAWENuZU6PVuBlWmsFnUcEjoOqw==" saltValue="GkFUGx/taz556kBZqvAZrg==" spinCount="100000" sheet="1" objects="1" scenarios="1"/>
  <mergeCells count="7">
    <mergeCell ref="B3:E8"/>
    <mergeCell ref="B10:E12"/>
    <mergeCell ref="L29:M29"/>
    <mergeCell ref="M4:P5"/>
    <mergeCell ref="M3:P3"/>
    <mergeCell ref="M7:P12"/>
    <mergeCell ref="M14:P19"/>
  </mergeCells>
  <conditionalFormatting sqref="H6:H47">
    <cfRule type="cellIs" dxfId="45" priority="1" operator="greaterThan">
      <formula>0</formula>
    </cfRule>
    <cfRule type="cellIs" dxfId="44" priority="5" operator="lessThan">
      <formula>$G$9</formula>
    </cfRule>
    <cfRule type="cellIs" dxfId="43" priority="6" operator="greaterThan">
      <formula>0</formula>
    </cfRule>
  </conditionalFormatting>
  <conditionalFormatting sqref="I6:K6 I7:J28 K7:K47 I29 I30:J47">
    <cfRule type="cellIs" dxfId="42" priority="2" operator="lessThan">
      <formula>0</formula>
    </cfRule>
    <cfRule type="cellIs" dxfId="41" priority="3" operator="lessThan">
      <formula>#REF!</formula>
    </cfRule>
    <cfRule type="cellIs" dxfId="40" priority="4" operator="greaterThan">
      <formula>0</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167C1-7D8C-4408-AA0D-21A02849D6EC}">
  <sheetPr codeName="Sheet15"/>
  <dimension ref="B2:P119"/>
  <sheetViews>
    <sheetView workbookViewId="0">
      <selection activeCell="L20" sqref="L20"/>
    </sheetView>
  </sheetViews>
  <sheetFormatPr defaultRowHeight="14.4" x14ac:dyDescent="0.3"/>
  <cols>
    <col min="8" max="8" width="11.21875" bestFit="1" customWidth="1"/>
    <col min="9" max="10" width="10.5546875" bestFit="1" customWidth="1"/>
    <col min="11" max="11" width="9.33203125" bestFit="1" customWidth="1"/>
  </cols>
  <sheetData>
    <row r="2" spans="2:16" ht="15" thickBot="1" x14ac:dyDescent="0.35"/>
    <row r="3" spans="2:16" x14ac:dyDescent="0.3">
      <c r="B3" s="32" t="s">
        <v>110</v>
      </c>
      <c r="C3" s="33"/>
      <c r="D3" s="33"/>
      <c r="E3" s="33"/>
      <c r="F3" s="34"/>
      <c r="H3" s="1" t="s">
        <v>52</v>
      </c>
      <c r="I3" s="1" t="s">
        <v>113</v>
      </c>
      <c r="J3" s="1" t="s">
        <v>52</v>
      </c>
      <c r="K3" s="1" t="s">
        <v>112</v>
      </c>
      <c r="M3" s="51" t="s">
        <v>71</v>
      </c>
      <c r="N3" s="52"/>
      <c r="O3" s="52"/>
      <c r="P3" s="53"/>
    </row>
    <row r="4" spans="2:16" x14ac:dyDescent="0.3">
      <c r="B4" s="35"/>
      <c r="C4" s="36"/>
      <c r="D4" s="36"/>
      <c r="E4" s="36"/>
      <c r="F4" s="37"/>
      <c r="H4" s="19">
        <v>22000</v>
      </c>
      <c r="I4" s="19">
        <v>21.45</v>
      </c>
      <c r="J4" s="19">
        <v>21800</v>
      </c>
      <c r="K4" s="19">
        <v>3</v>
      </c>
      <c r="M4" s="54" t="s">
        <v>115</v>
      </c>
      <c r="N4" s="55"/>
      <c r="O4" s="55"/>
      <c r="P4" s="56"/>
    </row>
    <row r="5" spans="2:16" x14ac:dyDescent="0.3">
      <c r="B5" s="35"/>
      <c r="C5" s="36"/>
      <c r="D5" s="36"/>
      <c r="E5" s="36"/>
      <c r="F5" s="37"/>
      <c r="H5" s="1" t="s">
        <v>4</v>
      </c>
      <c r="I5" s="17" t="str">
        <f>K3</f>
        <v>PUTT BUY</v>
      </c>
      <c r="J5" s="1" t="str">
        <f>I3</f>
        <v xml:space="preserve">PUTT SELL  </v>
      </c>
      <c r="K5" s="1" t="s">
        <v>37</v>
      </c>
      <c r="M5" s="54"/>
      <c r="N5" s="55"/>
      <c r="O5" s="55"/>
      <c r="P5" s="56"/>
    </row>
    <row r="6" spans="2:16" ht="15" thickBot="1" x14ac:dyDescent="0.35">
      <c r="B6" s="35"/>
      <c r="C6" s="36"/>
      <c r="D6" s="36"/>
      <c r="E6" s="36"/>
      <c r="F6" s="37"/>
      <c r="H6" s="19">
        <v>21000</v>
      </c>
      <c r="I6" s="6">
        <f>(MAX($J$4-H6,0)-$K$4)</f>
        <v>797</v>
      </c>
      <c r="J6" s="6">
        <f>(MAX($H$4-H6,0)-$I$4)*-1</f>
        <v>-978.55</v>
      </c>
      <c r="K6" s="6">
        <f>SUM(I6:J6)</f>
        <v>-181.54999999999995</v>
      </c>
      <c r="M6" s="57"/>
      <c r="N6" s="58"/>
      <c r="O6" s="58"/>
      <c r="P6" s="59"/>
    </row>
    <row r="7" spans="2:16" ht="15" thickBot="1" x14ac:dyDescent="0.35">
      <c r="B7" s="38"/>
      <c r="C7" s="39"/>
      <c r="D7" s="39"/>
      <c r="E7" s="39"/>
      <c r="F7" s="40"/>
      <c r="H7" s="19">
        <f>H6+50</f>
        <v>21050</v>
      </c>
      <c r="I7" s="6">
        <f t="shared" ref="I7:I26" si="0">(MAX($J$4-H7,0)-$K$4)</f>
        <v>747</v>
      </c>
      <c r="J7" s="6">
        <f t="shared" ref="J7:J26" si="1">(MAX($H$4-H7,0)-$I$4)*-1</f>
        <v>-928.55</v>
      </c>
      <c r="K7" s="6">
        <f t="shared" ref="K7:K26" si="2">SUM(I7:J7)</f>
        <v>-181.54999999999995</v>
      </c>
    </row>
    <row r="8" spans="2:16" ht="15" thickBot="1" x14ac:dyDescent="0.35">
      <c r="H8" s="19">
        <f t="shared" ref="H8:H25" si="3">H7+50</f>
        <v>21100</v>
      </c>
      <c r="I8" s="6">
        <f t="shared" si="0"/>
        <v>697</v>
      </c>
      <c r="J8" s="6">
        <f t="shared" si="1"/>
        <v>-878.55</v>
      </c>
      <c r="K8" s="6">
        <f t="shared" si="2"/>
        <v>-181.54999999999995</v>
      </c>
      <c r="M8" s="60" t="s">
        <v>116</v>
      </c>
      <c r="N8" s="52"/>
      <c r="O8" s="52"/>
      <c r="P8" s="53"/>
    </row>
    <row r="9" spans="2:16" x14ac:dyDescent="0.3">
      <c r="B9" s="41" t="s">
        <v>111</v>
      </c>
      <c r="C9" s="42"/>
      <c r="D9" s="42"/>
      <c r="E9" s="42"/>
      <c r="F9" s="43"/>
      <c r="H9" s="19">
        <f t="shared" si="3"/>
        <v>21150</v>
      </c>
      <c r="I9" s="6">
        <f t="shared" si="0"/>
        <v>647</v>
      </c>
      <c r="J9" s="6">
        <f t="shared" si="1"/>
        <v>-828.55</v>
      </c>
      <c r="K9" s="6">
        <f t="shared" si="2"/>
        <v>-181.54999999999995</v>
      </c>
      <c r="M9" s="61"/>
      <c r="N9" s="50"/>
      <c r="O9" s="50"/>
      <c r="P9" s="62"/>
    </row>
    <row r="10" spans="2:16" x14ac:dyDescent="0.3">
      <c r="B10" s="44"/>
      <c r="C10" s="45"/>
      <c r="D10" s="45"/>
      <c r="E10" s="45"/>
      <c r="F10" s="46"/>
      <c r="H10" s="19">
        <f t="shared" si="3"/>
        <v>21200</v>
      </c>
      <c r="I10" s="6">
        <f t="shared" si="0"/>
        <v>597</v>
      </c>
      <c r="J10" s="6">
        <f t="shared" si="1"/>
        <v>-778.55</v>
      </c>
      <c r="K10" s="6">
        <f t="shared" si="2"/>
        <v>-181.54999999999995</v>
      </c>
      <c r="M10" s="61"/>
      <c r="N10" s="50"/>
      <c r="O10" s="50"/>
      <c r="P10" s="62"/>
    </row>
    <row r="11" spans="2:16" ht="15" thickBot="1" x14ac:dyDescent="0.35">
      <c r="B11" s="47"/>
      <c r="C11" s="48"/>
      <c r="D11" s="48"/>
      <c r="E11" s="48"/>
      <c r="F11" s="49"/>
      <c r="H11" s="19">
        <f t="shared" si="3"/>
        <v>21250</v>
      </c>
      <c r="I11" s="6">
        <f t="shared" si="0"/>
        <v>547</v>
      </c>
      <c r="J11" s="6">
        <f t="shared" si="1"/>
        <v>-728.55</v>
      </c>
      <c r="K11" s="6">
        <f t="shared" si="2"/>
        <v>-181.54999999999995</v>
      </c>
      <c r="M11" s="63"/>
      <c r="N11" s="64"/>
      <c r="O11" s="64"/>
      <c r="P11" s="65"/>
    </row>
    <row r="12" spans="2:16" ht="15" thickBot="1" x14ac:dyDescent="0.35">
      <c r="H12" s="19">
        <f t="shared" si="3"/>
        <v>21300</v>
      </c>
      <c r="I12" s="6">
        <f t="shared" si="0"/>
        <v>497</v>
      </c>
      <c r="J12" s="6">
        <f t="shared" si="1"/>
        <v>-678.55</v>
      </c>
      <c r="K12" s="6">
        <f t="shared" si="2"/>
        <v>-181.54999999999995</v>
      </c>
    </row>
    <row r="13" spans="2:16" ht="14.4" customHeight="1" x14ac:dyDescent="0.3">
      <c r="H13" s="19">
        <f t="shared" si="3"/>
        <v>21350</v>
      </c>
      <c r="I13" s="6">
        <f t="shared" si="0"/>
        <v>447</v>
      </c>
      <c r="J13" s="6">
        <f t="shared" si="1"/>
        <v>-628.54999999999995</v>
      </c>
      <c r="K13" s="6">
        <f t="shared" si="2"/>
        <v>-181.54999999999995</v>
      </c>
      <c r="M13" s="60" t="s">
        <v>117</v>
      </c>
      <c r="N13" s="66"/>
      <c r="O13" s="66"/>
      <c r="P13" s="67"/>
    </row>
    <row r="14" spans="2:16" x14ac:dyDescent="0.3">
      <c r="H14" s="19">
        <f t="shared" si="3"/>
        <v>21400</v>
      </c>
      <c r="I14" s="6">
        <f t="shared" si="0"/>
        <v>397</v>
      </c>
      <c r="J14" s="6">
        <f t="shared" si="1"/>
        <v>-578.54999999999995</v>
      </c>
      <c r="K14" s="6">
        <f t="shared" si="2"/>
        <v>-181.54999999999995</v>
      </c>
      <c r="M14" s="68"/>
      <c r="N14" s="69"/>
      <c r="O14" s="69"/>
      <c r="P14" s="70"/>
    </row>
    <row r="15" spans="2:16" x14ac:dyDescent="0.3">
      <c r="H15" s="19">
        <f t="shared" si="3"/>
        <v>21450</v>
      </c>
      <c r="I15" s="6">
        <f t="shared" si="0"/>
        <v>347</v>
      </c>
      <c r="J15" s="6">
        <f t="shared" si="1"/>
        <v>-528.54999999999995</v>
      </c>
      <c r="K15" s="6">
        <f t="shared" si="2"/>
        <v>-181.54999999999995</v>
      </c>
      <c r="M15" s="68"/>
      <c r="N15" s="69"/>
      <c r="O15" s="69"/>
      <c r="P15" s="70"/>
    </row>
    <row r="16" spans="2:16" x14ac:dyDescent="0.3">
      <c r="H16" s="19">
        <f t="shared" si="3"/>
        <v>21500</v>
      </c>
      <c r="I16" s="6">
        <f t="shared" si="0"/>
        <v>297</v>
      </c>
      <c r="J16" s="6">
        <f t="shared" si="1"/>
        <v>-478.55</v>
      </c>
      <c r="K16" s="6">
        <f t="shared" si="2"/>
        <v>-181.55</v>
      </c>
      <c r="M16" s="68"/>
      <c r="N16" s="69"/>
      <c r="O16" s="69"/>
      <c r="P16" s="70"/>
    </row>
    <row r="17" spans="8:16" ht="15" thickBot="1" x14ac:dyDescent="0.35">
      <c r="H17" s="19">
        <f t="shared" si="3"/>
        <v>21550</v>
      </c>
      <c r="I17" s="6">
        <f t="shared" si="0"/>
        <v>247</v>
      </c>
      <c r="J17" s="6">
        <f t="shared" si="1"/>
        <v>-428.55</v>
      </c>
      <c r="K17" s="6">
        <f t="shared" si="2"/>
        <v>-181.55</v>
      </c>
      <c r="M17" s="71"/>
      <c r="N17" s="72"/>
      <c r="O17" s="72"/>
      <c r="P17" s="73"/>
    </row>
    <row r="18" spans="8:16" x14ac:dyDescent="0.3">
      <c r="H18" s="19">
        <f t="shared" si="3"/>
        <v>21600</v>
      </c>
      <c r="I18" s="6">
        <f t="shared" si="0"/>
        <v>197</v>
      </c>
      <c r="J18" s="6">
        <f t="shared" si="1"/>
        <v>-378.55</v>
      </c>
      <c r="K18" s="6">
        <f t="shared" si="2"/>
        <v>-181.55</v>
      </c>
    </row>
    <row r="19" spans="8:16" x14ac:dyDescent="0.3">
      <c r="H19" s="19">
        <f t="shared" si="3"/>
        <v>21650</v>
      </c>
      <c r="I19" s="6">
        <f t="shared" si="0"/>
        <v>147</v>
      </c>
      <c r="J19" s="6">
        <f t="shared" si="1"/>
        <v>-328.55</v>
      </c>
      <c r="K19" s="6">
        <f t="shared" si="2"/>
        <v>-181.55</v>
      </c>
    </row>
    <row r="20" spans="8:16" x14ac:dyDescent="0.3">
      <c r="H20" s="19">
        <f t="shared" si="3"/>
        <v>21700</v>
      </c>
      <c r="I20" s="6">
        <f t="shared" si="0"/>
        <v>97</v>
      </c>
      <c r="J20" s="6">
        <f t="shared" si="1"/>
        <v>-278.55</v>
      </c>
      <c r="K20" s="6">
        <f t="shared" si="2"/>
        <v>-181.55</v>
      </c>
    </row>
    <row r="21" spans="8:16" x14ac:dyDescent="0.3">
      <c r="H21" s="19">
        <f t="shared" si="3"/>
        <v>21750</v>
      </c>
      <c r="I21" s="6">
        <f t="shared" si="0"/>
        <v>47</v>
      </c>
      <c r="J21" s="6">
        <f t="shared" si="1"/>
        <v>-228.55</v>
      </c>
      <c r="K21" s="6">
        <f t="shared" si="2"/>
        <v>-181.55</v>
      </c>
    </row>
    <row r="22" spans="8:16" x14ac:dyDescent="0.3">
      <c r="H22" s="19">
        <f t="shared" si="3"/>
        <v>21800</v>
      </c>
      <c r="I22" s="6">
        <f t="shared" si="0"/>
        <v>-3</v>
      </c>
      <c r="J22" s="6">
        <f t="shared" si="1"/>
        <v>-178.55</v>
      </c>
      <c r="K22" s="6">
        <f t="shared" si="2"/>
        <v>-181.55</v>
      </c>
    </row>
    <row r="23" spans="8:16" x14ac:dyDescent="0.3">
      <c r="H23" s="19">
        <f t="shared" si="3"/>
        <v>21850</v>
      </c>
      <c r="I23" s="6">
        <f t="shared" si="0"/>
        <v>-3</v>
      </c>
      <c r="J23" s="6">
        <f t="shared" si="1"/>
        <v>-128.55000000000001</v>
      </c>
      <c r="K23" s="6">
        <f t="shared" si="2"/>
        <v>-131.55000000000001</v>
      </c>
    </row>
    <row r="24" spans="8:16" x14ac:dyDescent="0.3">
      <c r="H24" s="19">
        <f t="shared" si="3"/>
        <v>21900</v>
      </c>
      <c r="I24" s="6">
        <f t="shared" si="0"/>
        <v>-3</v>
      </c>
      <c r="J24" s="6">
        <f t="shared" si="1"/>
        <v>-78.55</v>
      </c>
      <c r="K24" s="6">
        <f t="shared" si="2"/>
        <v>-81.55</v>
      </c>
    </row>
    <row r="25" spans="8:16" x14ac:dyDescent="0.3">
      <c r="H25" s="19">
        <f t="shared" si="3"/>
        <v>21950</v>
      </c>
      <c r="I25" s="6">
        <f t="shared" si="0"/>
        <v>-3</v>
      </c>
      <c r="J25" s="6">
        <f t="shared" si="1"/>
        <v>-28.55</v>
      </c>
      <c r="K25" s="6">
        <f t="shared" si="2"/>
        <v>-31.55</v>
      </c>
    </row>
    <row r="26" spans="8:16" x14ac:dyDescent="0.3">
      <c r="H26" s="19">
        <f>H27-18.45</f>
        <v>21981.55</v>
      </c>
      <c r="I26" s="6">
        <f t="shared" si="0"/>
        <v>-3</v>
      </c>
      <c r="J26" s="6">
        <f t="shared" si="1"/>
        <v>2.9999999999992717</v>
      </c>
      <c r="K26" s="6">
        <f t="shared" si="2"/>
        <v>-7.2830630415410269E-13</v>
      </c>
      <c r="L26" s="50" t="s">
        <v>114</v>
      </c>
      <c r="M26" s="50"/>
    </row>
    <row r="27" spans="8:16" x14ac:dyDescent="0.3">
      <c r="H27" s="19">
        <f>H25+50</f>
        <v>22000</v>
      </c>
      <c r="I27" s="6">
        <f t="shared" ref="I27:I47" si="4">(MAX($J$4-H27,0)-$K$4)</f>
        <v>-3</v>
      </c>
      <c r="J27" s="6">
        <f t="shared" ref="J27:J47" si="5">(MAX($H$4-H27,0)-$I$4)*-1</f>
        <v>21.45</v>
      </c>
      <c r="K27" s="6">
        <f t="shared" ref="K27:K47" si="6">SUM(I27:J27)</f>
        <v>18.45</v>
      </c>
    </row>
    <row r="28" spans="8:16" x14ac:dyDescent="0.3">
      <c r="H28" s="19">
        <f t="shared" ref="H28:H47" si="7">H27+50</f>
        <v>22050</v>
      </c>
      <c r="I28" s="6">
        <f t="shared" si="4"/>
        <v>-3</v>
      </c>
      <c r="J28" s="6">
        <f t="shared" si="5"/>
        <v>21.45</v>
      </c>
      <c r="K28" s="6">
        <f t="shared" si="6"/>
        <v>18.45</v>
      </c>
    </row>
    <row r="29" spans="8:16" x14ac:dyDescent="0.3">
      <c r="H29" s="19">
        <f t="shared" si="7"/>
        <v>22100</v>
      </c>
      <c r="I29" s="6">
        <f t="shared" si="4"/>
        <v>-3</v>
      </c>
      <c r="J29" s="6">
        <f t="shared" si="5"/>
        <v>21.45</v>
      </c>
      <c r="K29" s="6">
        <f t="shared" si="6"/>
        <v>18.45</v>
      </c>
    </row>
    <row r="30" spans="8:16" x14ac:dyDescent="0.3">
      <c r="H30" s="19">
        <f t="shared" si="7"/>
        <v>22150</v>
      </c>
      <c r="I30" s="6">
        <f t="shared" si="4"/>
        <v>-3</v>
      </c>
      <c r="J30" s="6">
        <f t="shared" si="5"/>
        <v>21.45</v>
      </c>
      <c r="K30" s="6">
        <f t="shared" si="6"/>
        <v>18.45</v>
      </c>
    </row>
    <row r="31" spans="8:16" x14ac:dyDescent="0.3">
      <c r="H31" s="19">
        <f t="shared" si="7"/>
        <v>22200</v>
      </c>
      <c r="I31" s="6">
        <f t="shared" si="4"/>
        <v>-3</v>
      </c>
      <c r="J31" s="6">
        <f t="shared" si="5"/>
        <v>21.45</v>
      </c>
      <c r="K31" s="6">
        <f t="shared" si="6"/>
        <v>18.45</v>
      </c>
    </row>
    <row r="32" spans="8:16" x14ac:dyDescent="0.3">
      <c r="H32" s="19">
        <f t="shared" si="7"/>
        <v>22250</v>
      </c>
      <c r="I32" s="6">
        <f t="shared" si="4"/>
        <v>-3</v>
      </c>
      <c r="J32" s="6">
        <f t="shared" si="5"/>
        <v>21.45</v>
      </c>
      <c r="K32" s="6">
        <f t="shared" si="6"/>
        <v>18.45</v>
      </c>
    </row>
    <row r="33" spans="8:11" x14ac:dyDescent="0.3">
      <c r="H33" s="19">
        <f t="shared" si="7"/>
        <v>22300</v>
      </c>
      <c r="I33" s="6">
        <f t="shared" si="4"/>
        <v>-3</v>
      </c>
      <c r="J33" s="6">
        <f t="shared" si="5"/>
        <v>21.45</v>
      </c>
      <c r="K33" s="6">
        <f t="shared" si="6"/>
        <v>18.45</v>
      </c>
    </row>
    <row r="34" spans="8:11" x14ac:dyDescent="0.3">
      <c r="H34" s="19">
        <f t="shared" si="7"/>
        <v>22350</v>
      </c>
      <c r="I34" s="6">
        <f t="shared" si="4"/>
        <v>-3</v>
      </c>
      <c r="J34" s="6">
        <f t="shared" si="5"/>
        <v>21.45</v>
      </c>
      <c r="K34" s="6">
        <f t="shared" si="6"/>
        <v>18.45</v>
      </c>
    </row>
    <row r="35" spans="8:11" x14ac:dyDescent="0.3">
      <c r="H35" s="19">
        <f t="shared" si="7"/>
        <v>22400</v>
      </c>
      <c r="I35" s="6">
        <f t="shared" si="4"/>
        <v>-3</v>
      </c>
      <c r="J35" s="6">
        <f t="shared" si="5"/>
        <v>21.45</v>
      </c>
      <c r="K35" s="6">
        <f t="shared" si="6"/>
        <v>18.45</v>
      </c>
    </row>
    <row r="36" spans="8:11" x14ac:dyDescent="0.3">
      <c r="H36" s="19">
        <f t="shared" si="7"/>
        <v>22450</v>
      </c>
      <c r="I36" s="6">
        <f t="shared" si="4"/>
        <v>-3</v>
      </c>
      <c r="J36" s="6">
        <f t="shared" si="5"/>
        <v>21.45</v>
      </c>
      <c r="K36" s="6">
        <f t="shared" si="6"/>
        <v>18.45</v>
      </c>
    </row>
    <row r="37" spans="8:11" x14ac:dyDescent="0.3">
      <c r="H37" s="19">
        <f t="shared" si="7"/>
        <v>22500</v>
      </c>
      <c r="I37" s="6">
        <f t="shared" si="4"/>
        <v>-3</v>
      </c>
      <c r="J37" s="6">
        <f t="shared" si="5"/>
        <v>21.45</v>
      </c>
      <c r="K37" s="6">
        <f t="shared" si="6"/>
        <v>18.45</v>
      </c>
    </row>
    <row r="38" spans="8:11" x14ac:dyDescent="0.3">
      <c r="H38" s="19">
        <f t="shared" si="7"/>
        <v>22550</v>
      </c>
      <c r="I38" s="6">
        <f t="shared" si="4"/>
        <v>-3</v>
      </c>
      <c r="J38" s="6">
        <f t="shared" si="5"/>
        <v>21.45</v>
      </c>
      <c r="K38" s="6">
        <f t="shared" si="6"/>
        <v>18.45</v>
      </c>
    </row>
    <row r="39" spans="8:11" x14ac:dyDescent="0.3">
      <c r="H39" s="19">
        <f t="shared" si="7"/>
        <v>22600</v>
      </c>
      <c r="I39" s="6">
        <f t="shared" si="4"/>
        <v>-3</v>
      </c>
      <c r="J39" s="6">
        <f t="shared" si="5"/>
        <v>21.45</v>
      </c>
      <c r="K39" s="6">
        <f t="shared" si="6"/>
        <v>18.45</v>
      </c>
    </row>
    <row r="40" spans="8:11" x14ac:dyDescent="0.3">
      <c r="H40" s="19">
        <f t="shared" si="7"/>
        <v>22650</v>
      </c>
      <c r="I40" s="6">
        <f t="shared" si="4"/>
        <v>-3</v>
      </c>
      <c r="J40" s="6">
        <f t="shared" si="5"/>
        <v>21.45</v>
      </c>
      <c r="K40" s="6">
        <f t="shared" si="6"/>
        <v>18.45</v>
      </c>
    </row>
    <row r="41" spans="8:11" x14ac:dyDescent="0.3">
      <c r="H41" s="19">
        <f t="shared" si="7"/>
        <v>22700</v>
      </c>
      <c r="I41" s="6">
        <f t="shared" si="4"/>
        <v>-3</v>
      </c>
      <c r="J41" s="6">
        <f t="shared" si="5"/>
        <v>21.45</v>
      </c>
      <c r="K41" s="6">
        <f t="shared" si="6"/>
        <v>18.45</v>
      </c>
    </row>
    <row r="42" spans="8:11" x14ac:dyDescent="0.3">
      <c r="H42" s="19">
        <f t="shared" si="7"/>
        <v>22750</v>
      </c>
      <c r="I42" s="6">
        <f t="shared" si="4"/>
        <v>-3</v>
      </c>
      <c r="J42" s="6">
        <f t="shared" si="5"/>
        <v>21.45</v>
      </c>
      <c r="K42" s="6">
        <f t="shared" si="6"/>
        <v>18.45</v>
      </c>
    </row>
    <row r="43" spans="8:11" x14ac:dyDescent="0.3">
      <c r="H43" s="19">
        <f t="shared" si="7"/>
        <v>22800</v>
      </c>
      <c r="I43" s="6">
        <f t="shared" si="4"/>
        <v>-3</v>
      </c>
      <c r="J43" s="6">
        <f t="shared" si="5"/>
        <v>21.45</v>
      </c>
      <c r="K43" s="6">
        <f t="shared" si="6"/>
        <v>18.45</v>
      </c>
    </row>
    <row r="44" spans="8:11" x14ac:dyDescent="0.3">
      <c r="H44" s="19">
        <f t="shared" si="7"/>
        <v>22850</v>
      </c>
      <c r="I44" s="6">
        <f t="shared" si="4"/>
        <v>-3</v>
      </c>
      <c r="J44" s="6">
        <f t="shared" si="5"/>
        <v>21.45</v>
      </c>
      <c r="K44" s="6">
        <f t="shared" si="6"/>
        <v>18.45</v>
      </c>
    </row>
    <row r="45" spans="8:11" x14ac:dyDescent="0.3">
      <c r="H45" s="19">
        <f t="shared" si="7"/>
        <v>22900</v>
      </c>
      <c r="I45" s="6">
        <f t="shared" si="4"/>
        <v>-3</v>
      </c>
      <c r="J45" s="6">
        <f t="shared" si="5"/>
        <v>21.45</v>
      </c>
      <c r="K45" s="6">
        <f t="shared" si="6"/>
        <v>18.45</v>
      </c>
    </row>
    <row r="46" spans="8:11" x14ac:dyDescent="0.3">
      <c r="H46" s="19">
        <f t="shared" si="7"/>
        <v>22950</v>
      </c>
      <c r="I46" s="6">
        <f t="shared" si="4"/>
        <v>-3</v>
      </c>
      <c r="J46" s="6">
        <f t="shared" si="5"/>
        <v>21.45</v>
      </c>
      <c r="K46" s="6">
        <f t="shared" si="6"/>
        <v>18.45</v>
      </c>
    </row>
    <row r="47" spans="8:11" x14ac:dyDescent="0.3">
      <c r="H47" s="19">
        <f t="shared" si="7"/>
        <v>23000</v>
      </c>
      <c r="I47" s="6">
        <f t="shared" si="4"/>
        <v>-3</v>
      </c>
      <c r="J47" s="6">
        <f t="shared" si="5"/>
        <v>21.45</v>
      </c>
      <c r="K47" s="6">
        <f t="shared" si="6"/>
        <v>18.45</v>
      </c>
    </row>
    <row r="48" spans="8:11" x14ac:dyDescent="0.3">
      <c r="H48" s="16"/>
    </row>
    <row r="49" spans="8:8" x14ac:dyDescent="0.3">
      <c r="H49" s="16"/>
    </row>
    <row r="50" spans="8:8" x14ac:dyDescent="0.3">
      <c r="H50" s="16"/>
    </row>
    <row r="51" spans="8:8" x14ac:dyDescent="0.3">
      <c r="H51" s="16"/>
    </row>
    <row r="52" spans="8:8" x14ac:dyDescent="0.3">
      <c r="H52" s="16"/>
    </row>
    <row r="53" spans="8:8" x14ac:dyDescent="0.3">
      <c r="H53" s="16"/>
    </row>
    <row r="54" spans="8:8" x14ac:dyDescent="0.3">
      <c r="H54" s="16"/>
    </row>
    <row r="55" spans="8:8" x14ac:dyDescent="0.3">
      <c r="H55" s="16"/>
    </row>
    <row r="56" spans="8:8" x14ac:dyDescent="0.3">
      <c r="H56" s="16"/>
    </row>
    <row r="57" spans="8:8" x14ac:dyDescent="0.3">
      <c r="H57" s="16"/>
    </row>
    <row r="58" spans="8:8" x14ac:dyDescent="0.3">
      <c r="H58" s="16"/>
    </row>
    <row r="59" spans="8:8" x14ac:dyDescent="0.3">
      <c r="H59" s="16"/>
    </row>
    <row r="60" spans="8:8" x14ac:dyDescent="0.3">
      <c r="H60" s="16"/>
    </row>
    <row r="61" spans="8:8" x14ac:dyDescent="0.3">
      <c r="H61" s="16"/>
    </row>
    <row r="62" spans="8:8" x14ac:dyDescent="0.3">
      <c r="H62" s="16"/>
    </row>
    <row r="63" spans="8:8" x14ac:dyDescent="0.3">
      <c r="H63" s="16"/>
    </row>
    <row r="64" spans="8:8" x14ac:dyDescent="0.3">
      <c r="H64" s="16"/>
    </row>
    <row r="65" spans="8:8" x14ac:dyDescent="0.3">
      <c r="H65" s="16"/>
    </row>
    <row r="66" spans="8:8" x14ac:dyDescent="0.3">
      <c r="H66" s="16"/>
    </row>
    <row r="67" spans="8:8" x14ac:dyDescent="0.3">
      <c r="H67" s="16"/>
    </row>
    <row r="68" spans="8:8" x14ac:dyDescent="0.3">
      <c r="H68" s="16"/>
    </row>
    <row r="69" spans="8:8" x14ac:dyDescent="0.3">
      <c r="H69" s="16"/>
    </row>
    <row r="70" spans="8:8" x14ac:dyDescent="0.3">
      <c r="H70" s="16"/>
    </row>
    <row r="71" spans="8:8" x14ac:dyDescent="0.3">
      <c r="H71" s="16"/>
    </row>
    <row r="72" spans="8:8" x14ac:dyDescent="0.3">
      <c r="H72" s="16"/>
    </row>
    <row r="73" spans="8:8" x14ac:dyDescent="0.3">
      <c r="H73" s="16"/>
    </row>
    <row r="74" spans="8:8" x14ac:dyDescent="0.3">
      <c r="H74" s="16"/>
    </row>
    <row r="75" spans="8:8" x14ac:dyDescent="0.3">
      <c r="H75" s="16"/>
    </row>
    <row r="76" spans="8:8" x14ac:dyDescent="0.3">
      <c r="H76" s="16"/>
    </row>
    <row r="77" spans="8:8" x14ac:dyDescent="0.3">
      <c r="H77" s="16"/>
    </row>
    <row r="78" spans="8:8" x14ac:dyDescent="0.3">
      <c r="H78" s="16"/>
    </row>
    <row r="79" spans="8:8" x14ac:dyDescent="0.3">
      <c r="H79" s="16"/>
    </row>
    <row r="80" spans="8:8" x14ac:dyDescent="0.3">
      <c r="H80" s="16"/>
    </row>
    <row r="81" spans="8:8" x14ac:dyDescent="0.3">
      <c r="H81" s="16"/>
    </row>
    <row r="82" spans="8:8" x14ac:dyDescent="0.3">
      <c r="H82" s="16"/>
    </row>
    <row r="83" spans="8:8" x14ac:dyDescent="0.3">
      <c r="H83" s="16"/>
    </row>
    <row r="84" spans="8:8" x14ac:dyDescent="0.3">
      <c r="H84" s="16"/>
    </row>
    <row r="85" spans="8:8" x14ac:dyDescent="0.3">
      <c r="H85" s="16"/>
    </row>
    <row r="86" spans="8:8" x14ac:dyDescent="0.3">
      <c r="H86" s="16"/>
    </row>
    <row r="87" spans="8:8" x14ac:dyDescent="0.3">
      <c r="H87" s="16"/>
    </row>
    <row r="88" spans="8:8" x14ac:dyDescent="0.3">
      <c r="H88" s="16"/>
    </row>
    <row r="89" spans="8:8" x14ac:dyDescent="0.3">
      <c r="H89" s="16"/>
    </row>
    <row r="90" spans="8:8" x14ac:dyDescent="0.3">
      <c r="H90" s="16"/>
    </row>
    <row r="91" spans="8:8" x14ac:dyDescent="0.3">
      <c r="H91" s="16"/>
    </row>
    <row r="92" spans="8:8" x14ac:dyDescent="0.3">
      <c r="H92" s="16"/>
    </row>
    <row r="93" spans="8:8" x14ac:dyDescent="0.3">
      <c r="H93" s="16"/>
    </row>
    <row r="94" spans="8:8" x14ac:dyDescent="0.3">
      <c r="H94" s="16"/>
    </row>
    <row r="95" spans="8:8" x14ac:dyDescent="0.3">
      <c r="H95" s="16"/>
    </row>
    <row r="96" spans="8:8" x14ac:dyDescent="0.3">
      <c r="H96" s="16"/>
    </row>
    <row r="97" spans="8:8" x14ac:dyDescent="0.3">
      <c r="H97" s="16"/>
    </row>
    <row r="98" spans="8:8" x14ac:dyDescent="0.3">
      <c r="H98" s="16"/>
    </row>
    <row r="99" spans="8:8" x14ac:dyDescent="0.3">
      <c r="H99" s="16"/>
    </row>
    <row r="100" spans="8:8" x14ac:dyDescent="0.3">
      <c r="H100" s="16"/>
    </row>
    <row r="101" spans="8:8" x14ac:dyDescent="0.3">
      <c r="H101" s="16"/>
    </row>
    <row r="102" spans="8:8" x14ac:dyDescent="0.3">
      <c r="H102" s="16"/>
    </row>
    <row r="103" spans="8:8" x14ac:dyDescent="0.3">
      <c r="H103" s="16"/>
    </row>
    <row r="104" spans="8:8" x14ac:dyDescent="0.3">
      <c r="H104" s="16"/>
    </row>
    <row r="105" spans="8:8" x14ac:dyDescent="0.3">
      <c r="H105" s="16"/>
    </row>
    <row r="106" spans="8:8" x14ac:dyDescent="0.3">
      <c r="H106" s="16"/>
    </row>
    <row r="107" spans="8:8" x14ac:dyDescent="0.3">
      <c r="H107" s="16"/>
    </row>
    <row r="108" spans="8:8" x14ac:dyDescent="0.3">
      <c r="H108" s="16"/>
    </row>
    <row r="109" spans="8:8" x14ac:dyDescent="0.3">
      <c r="H109" s="16"/>
    </row>
    <row r="110" spans="8:8" x14ac:dyDescent="0.3">
      <c r="H110" s="16"/>
    </row>
    <row r="111" spans="8:8" x14ac:dyDescent="0.3">
      <c r="H111" s="16"/>
    </row>
    <row r="112" spans="8:8" x14ac:dyDescent="0.3">
      <c r="H112" s="16"/>
    </row>
    <row r="113" spans="8:8" x14ac:dyDescent="0.3">
      <c r="H113" s="16"/>
    </row>
    <row r="114" spans="8:8" x14ac:dyDescent="0.3">
      <c r="H114" s="16"/>
    </row>
    <row r="115" spans="8:8" x14ac:dyDescent="0.3">
      <c r="H115" s="16"/>
    </row>
    <row r="116" spans="8:8" x14ac:dyDescent="0.3">
      <c r="H116" s="16"/>
    </row>
    <row r="117" spans="8:8" x14ac:dyDescent="0.3">
      <c r="H117" s="16"/>
    </row>
    <row r="118" spans="8:8" x14ac:dyDescent="0.3">
      <c r="H118" s="16"/>
    </row>
    <row r="119" spans="8:8" x14ac:dyDescent="0.3">
      <c r="H119" s="16"/>
    </row>
  </sheetData>
  <sheetProtection algorithmName="SHA-512" hashValue="YPEHZpeAkcJlu8BrmCV2KV51bMslqAvVI7b6ijyK/Kzd2EL7TCoBQphWThqxZxpe7nsrVX8CTmM2vnVHWyUlsA==" saltValue="4xnc2CYSNCdHowxiIH5lig==" spinCount="100000" sheet="1" objects="1" scenarios="1"/>
  <mergeCells count="7">
    <mergeCell ref="B3:F7"/>
    <mergeCell ref="B9:F11"/>
    <mergeCell ref="L26:M26"/>
    <mergeCell ref="M3:P3"/>
    <mergeCell ref="M4:P6"/>
    <mergeCell ref="M8:P11"/>
    <mergeCell ref="M13:P17"/>
  </mergeCells>
  <conditionalFormatting sqref="I6:I47">
    <cfRule type="cellIs" dxfId="39" priority="4" operator="lessThan">
      <formula>$G$9</formula>
    </cfRule>
    <cfRule type="cellIs" dxfId="38" priority="5" operator="greaterThan">
      <formula>0</formula>
    </cfRule>
  </conditionalFormatting>
  <conditionalFormatting sqref="J6:K25 J26 J27:K47">
    <cfRule type="cellIs" dxfId="37" priority="1" operator="lessThan">
      <formula>0</formula>
    </cfRule>
    <cfRule type="cellIs" dxfId="36" priority="2" operator="lessThan">
      <formula>#REF!</formula>
    </cfRule>
    <cfRule type="cellIs" dxfId="35" priority="3" operator="greaterThan">
      <formula>0</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0093-5393-4401-9C52-7D4D01AE0027}">
  <sheetPr codeName="Sheet16"/>
  <dimension ref="B2:O157"/>
  <sheetViews>
    <sheetView workbookViewId="0">
      <selection activeCell="P15" sqref="P15"/>
    </sheetView>
  </sheetViews>
  <sheetFormatPr defaultRowHeight="14.4" x14ac:dyDescent="0.3"/>
  <cols>
    <col min="7" max="7" width="11.21875" bestFit="1" customWidth="1"/>
    <col min="9" max="9" width="10.21875" bestFit="1" customWidth="1"/>
    <col min="10" max="10" width="9" bestFit="1" customWidth="1"/>
  </cols>
  <sheetData>
    <row r="2" spans="2:15" ht="15" thickBot="1" x14ac:dyDescent="0.35"/>
    <row r="3" spans="2:15" x14ac:dyDescent="0.3">
      <c r="B3" s="136" t="s">
        <v>118</v>
      </c>
      <c r="C3" s="137"/>
      <c r="D3" s="137"/>
      <c r="E3" s="138"/>
      <c r="G3" s="1" t="s">
        <v>52</v>
      </c>
      <c r="H3" s="1" t="s">
        <v>93</v>
      </c>
      <c r="I3" s="1" t="s">
        <v>52</v>
      </c>
      <c r="J3" s="1" t="s">
        <v>105</v>
      </c>
      <c r="L3" s="51" t="s">
        <v>71</v>
      </c>
      <c r="M3" s="52"/>
      <c r="N3" s="52"/>
      <c r="O3" s="53"/>
    </row>
    <row r="4" spans="2:15" x14ac:dyDescent="0.3">
      <c r="B4" s="105"/>
      <c r="C4" s="106"/>
      <c r="D4" s="106"/>
      <c r="E4" s="107"/>
      <c r="G4" s="19">
        <v>2600</v>
      </c>
      <c r="H4" s="19">
        <v>154</v>
      </c>
      <c r="I4" s="19">
        <v>2800</v>
      </c>
      <c r="J4" s="19">
        <v>49</v>
      </c>
      <c r="L4" s="195" t="s">
        <v>121</v>
      </c>
      <c r="M4" s="196"/>
      <c r="N4" s="196"/>
      <c r="O4" s="197"/>
    </row>
    <row r="5" spans="2:15" ht="15" thickBot="1" x14ac:dyDescent="0.35">
      <c r="B5" s="105"/>
      <c r="C5" s="106"/>
      <c r="D5" s="106"/>
      <c r="E5" s="107"/>
      <c r="G5" s="1" t="s">
        <v>4</v>
      </c>
      <c r="H5" s="17" t="str">
        <f>J3</f>
        <v>CALL BUY</v>
      </c>
      <c r="I5" s="1" t="str">
        <f>H3</f>
        <v xml:space="preserve">CALL SELL  </v>
      </c>
      <c r="J5" s="1" t="s">
        <v>37</v>
      </c>
      <c r="L5" s="198"/>
      <c r="M5" s="199"/>
      <c r="N5" s="199"/>
      <c r="O5" s="200"/>
    </row>
    <row r="6" spans="2:15" ht="15" thickBot="1" x14ac:dyDescent="0.35">
      <c r="B6" s="105"/>
      <c r="C6" s="106"/>
      <c r="D6" s="106"/>
      <c r="E6" s="107"/>
      <c r="G6" s="19">
        <v>2000</v>
      </c>
      <c r="H6" s="6">
        <f>(MAX(G6-$I$4,0)-$J$4)</f>
        <v>-49</v>
      </c>
      <c r="I6" s="6">
        <f>(MAX(G6-$G$4,0)-$H$4)*-1</f>
        <v>154</v>
      </c>
      <c r="J6" s="6">
        <f>SUM(H6:I6)</f>
        <v>105</v>
      </c>
    </row>
    <row r="7" spans="2:15" x14ac:dyDescent="0.3">
      <c r="B7" s="105"/>
      <c r="C7" s="106"/>
      <c r="D7" s="106"/>
      <c r="E7" s="107"/>
      <c r="G7" s="19">
        <f>G6+10</f>
        <v>2010</v>
      </c>
      <c r="H7" s="6">
        <f t="shared" ref="H7:H70" si="0">(MAX(G7-$I$4,0)-$J$4)</f>
        <v>-49</v>
      </c>
      <c r="I7" s="6">
        <f t="shared" ref="I7:I70" si="1">(MAX(G7-$G$4,0)-$H$4)*-1</f>
        <v>154</v>
      </c>
      <c r="J7" s="6">
        <f t="shared" ref="J7:J70" si="2">SUM(H7:I7)</f>
        <v>105</v>
      </c>
      <c r="L7" s="60" t="s">
        <v>122</v>
      </c>
      <c r="M7" s="149"/>
      <c r="N7" s="149"/>
      <c r="O7" s="150"/>
    </row>
    <row r="8" spans="2:15" ht="14.4" customHeight="1" thickBot="1" x14ac:dyDescent="0.35">
      <c r="B8" s="108"/>
      <c r="C8" s="109"/>
      <c r="D8" s="109"/>
      <c r="E8" s="110"/>
      <c r="G8" s="19">
        <f t="shared" ref="G8:G71" si="3">G7+10</f>
        <v>2020</v>
      </c>
      <c r="H8" s="6">
        <f t="shared" si="0"/>
        <v>-49</v>
      </c>
      <c r="I8" s="6">
        <f t="shared" si="1"/>
        <v>154</v>
      </c>
      <c r="J8" s="6">
        <f t="shared" si="2"/>
        <v>105</v>
      </c>
      <c r="L8" s="181"/>
      <c r="M8" s="87"/>
      <c r="N8" s="87"/>
      <c r="O8" s="182"/>
    </row>
    <row r="9" spans="2:15" ht="15" thickBot="1" x14ac:dyDescent="0.35">
      <c r="G9" s="19">
        <f t="shared" si="3"/>
        <v>2030</v>
      </c>
      <c r="H9" s="6">
        <f t="shared" si="0"/>
        <v>-49</v>
      </c>
      <c r="I9" s="6">
        <f t="shared" si="1"/>
        <v>154</v>
      </c>
      <c r="J9" s="6">
        <f t="shared" si="2"/>
        <v>105</v>
      </c>
      <c r="L9" s="183"/>
      <c r="M9" s="184"/>
      <c r="N9" s="184"/>
      <c r="O9" s="185"/>
    </row>
    <row r="10" spans="2:15" ht="15" thickBot="1" x14ac:dyDescent="0.35">
      <c r="B10" s="186" t="s">
        <v>119</v>
      </c>
      <c r="C10" s="187"/>
      <c r="D10" s="187"/>
      <c r="E10" s="188"/>
      <c r="G10" s="19">
        <f t="shared" si="3"/>
        <v>2040</v>
      </c>
      <c r="H10" s="6">
        <f t="shared" si="0"/>
        <v>-49</v>
      </c>
      <c r="I10" s="6">
        <f t="shared" si="1"/>
        <v>154</v>
      </c>
      <c r="J10" s="6">
        <f t="shared" si="2"/>
        <v>105</v>
      </c>
    </row>
    <row r="11" spans="2:15" x14ac:dyDescent="0.3">
      <c r="B11" s="189"/>
      <c r="C11" s="190"/>
      <c r="D11" s="190"/>
      <c r="E11" s="191"/>
      <c r="G11" s="19">
        <f t="shared" si="3"/>
        <v>2050</v>
      </c>
      <c r="H11" s="6">
        <f t="shared" si="0"/>
        <v>-49</v>
      </c>
      <c r="I11" s="6">
        <f t="shared" si="1"/>
        <v>154</v>
      </c>
      <c r="J11" s="6">
        <f t="shared" si="2"/>
        <v>105</v>
      </c>
      <c r="L11" s="139" t="s">
        <v>123</v>
      </c>
      <c r="M11" s="201"/>
      <c r="N11" s="201"/>
      <c r="O11" s="202"/>
    </row>
    <row r="12" spans="2:15" ht="15" thickBot="1" x14ac:dyDescent="0.35">
      <c r="B12" s="192"/>
      <c r="C12" s="193"/>
      <c r="D12" s="193"/>
      <c r="E12" s="194"/>
      <c r="G12" s="19">
        <f t="shared" si="3"/>
        <v>2060</v>
      </c>
      <c r="H12" s="6">
        <f t="shared" si="0"/>
        <v>-49</v>
      </c>
      <c r="I12" s="6">
        <f t="shared" si="1"/>
        <v>154</v>
      </c>
      <c r="J12" s="6">
        <f t="shared" si="2"/>
        <v>105</v>
      </c>
      <c r="L12" s="203"/>
      <c r="M12" s="204"/>
      <c r="N12" s="204"/>
      <c r="O12" s="205"/>
    </row>
    <row r="13" spans="2:15" x14ac:dyDescent="0.3">
      <c r="G13" s="19">
        <f t="shared" si="3"/>
        <v>2070</v>
      </c>
      <c r="H13" s="6">
        <f t="shared" si="0"/>
        <v>-49</v>
      </c>
      <c r="I13" s="6">
        <f t="shared" si="1"/>
        <v>154</v>
      </c>
      <c r="J13" s="6">
        <f t="shared" si="2"/>
        <v>105</v>
      </c>
      <c r="L13" s="203"/>
      <c r="M13" s="204"/>
      <c r="N13" s="204"/>
      <c r="O13" s="205"/>
    </row>
    <row r="14" spans="2:15" x14ac:dyDescent="0.3">
      <c r="G14" s="19">
        <f t="shared" si="3"/>
        <v>2080</v>
      </c>
      <c r="H14" s="6">
        <f t="shared" si="0"/>
        <v>-49</v>
      </c>
      <c r="I14" s="6">
        <f t="shared" si="1"/>
        <v>154</v>
      </c>
      <c r="J14" s="6">
        <f t="shared" si="2"/>
        <v>105</v>
      </c>
      <c r="L14" s="203"/>
      <c r="M14" s="204"/>
      <c r="N14" s="204"/>
      <c r="O14" s="205"/>
    </row>
    <row r="15" spans="2:15" x14ac:dyDescent="0.3">
      <c r="G15" s="19">
        <f t="shared" si="3"/>
        <v>2090</v>
      </c>
      <c r="H15" s="6">
        <f t="shared" si="0"/>
        <v>-49</v>
      </c>
      <c r="I15" s="6">
        <f t="shared" si="1"/>
        <v>154</v>
      </c>
      <c r="J15" s="6">
        <f t="shared" si="2"/>
        <v>105</v>
      </c>
      <c r="L15" s="203"/>
      <c r="M15" s="204"/>
      <c r="N15" s="204"/>
      <c r="O15" s="205"/>
    </row>
    <row r="16" spans="2:15" x14ac:dyDescent="0.3">
      <c r="G16" s="19">
        <f t="shared" si="3"/>
        <v>2100</v>
      </c>
      <c r="H16" s="6">
        <f t="shared" si="0"/>
        <v>-49</v>
      </c>
      <c r="I16" s="6">
        <f t="shared" si="1"/>
        <v>154</v>
      </c>
      <c r="J16" s="6">
        <f t="shared" si="2"/>
        <v>105</v>
      </c>
      <c r="L16" s="203"/>
      <c r="M16" s="204"/>
      <c r="N16" s="204"/>
      <c r="O16" s="205"/>
    </row>
    <row r="17" spans="7:15" ht="15" thickBot="1" x14ac:dyDescent="0.35">
      <c r="G17" s="19">
        <f t="shared" si="3"/>
        <v>2110</v>
      </c>
      <c r="H17" s="6">
        <f t="shared" si="0"/>
        <v>-49</v>
      </c>
      <c r="I17" s="6">
        <f t="shared" si="1"/>
        <v>154</v>
      </c>
      <c r="J17" s="6">
        <f t="shared" si="2"/>
        <v>105</v>
      </c>
      <c r="L17" s="206"/>
      <c r="M17" s="207"/>
      <c r="N17" s="207"/>
      <c r="O17" s="208"/>
    </row>
    <row r="18" spans="7:15" x14ac:dyDescent="0.3">
      <c r="G18" s="19">
        <f t="shared" si="3"/>
        <v>2120</v>
      </c>
      <c r="H18" s="6">
        <f t="shared" si="0"/>
        <v>-49</v>
      </c>
      <c r="I18" s="6">
        <f t="shared" si="1"/>
        <v>154</v>
      </c>
      <c r="J18" s="6">
        <f t="shared" si="2"/>
        <v>105</v>
      </c>
    </row>
    <row r="19" spans="7:15" x14ac:dyDescent="0.3">
      <c r="G19" s="19">
        <f t="shared" si="3"/>
        <v>2130</v>
      </c>
      <c r="H19" s="6">
        <f t="shared" si="0"/>
        <v>-49</v>
      </c>
      <c r="I19" s="6">
        <f t="shared" si="1"/>
        <v>154</v>
      </c>
      <c r="J19" s="6">
        <f t="shared" si="2"/>
        <v>105</v>
      </c>
    </row>
    <row r="20" spans="7:15" x14ac:dyDescent="0.3">
      <c r="G20" s="19">
        <f t="shared" si="3"/>
        <v>2140</v>
      </c>
      <c r="H20" s="6">
        <f t="shared" si="0"/>
        <v>-49</v>
      </c>
      <c r="I20" s="6">
        <f t="shared" si="1"/>
        <v>154</v>
      </c>
      <c r="J20" s="6">
        <f t="shared" si="2"/>
        <v>105</v>
      </c>
    </row>
    <row r="21" spans="7:15" x14ac:dyDescent="0.3">
      <c r="G21" s="19">
        <f t="shared" si="3"/>
        <v>2150</v>
      </c>
      <c r="H21" s="6">
        <f t="shared" si="0"/>
        <v>-49</v>
      </c>
      <c r="I21" s="6">
        <f t="shared" si="1"/>
        <v>154</v>
      </c>
      <c r="J21" s="6">
        <f t="shared" si="2"/>
        <v>105</v>
      </c>
    </row>
    <row r="22" spans="7:15" x14ac:dyDescent="0.3">
      <c r="G22" s="19">
        <f t="shared" si="3"/>
        <v>2160</v>
      </c>
      <c r="H22" s="6">
        <f t="shared" si="0"/>
        <v>-49</v>
      </c>
      <c r="I22" s="6">
        <f t="shared" si="1"/>
        <v>154</v>
      </c>
      <c r="J22" s="6">
        <f t="shared" si="2"/>
        <v>105</v>
      </c>
    </row>
    <row r="23" spans="7:15" x14ac:dyDescent="0.3">
      <c r="G23" s="19">
        <f t="shared" si="3"/>
        <v>2170</v>
      </c>
      <c r="H23" s="6">
        <f t="shared" si="0"/>
        <v>-49</v>
      </c>
      <c r="I23" s="6">
        <f t="shared" si="1"/>
        <v>154</v>
      </c>
      <c r="J23" s="6">
        <f t="shared" si="2"/>
        <v>105</v>
      </c>
    </row>
    <row r="24" spans="7:15" x14ac:dyDescent="0.3">
      <c r="G24" s="19">
        <f t="shared" si="3"/>
        <v>2180</v>
      </c>
      <c r="H24" s="6">
        <f t="shared" si="0"/>
        <v>-49</v>
      </c>
      <c r="I24" s="6">
        <f t="shared" si="1"/>
        <v>154</v>
      </c>
      <c r="J24" s="6">
        <f t="shared" si="2"/>
        <v>105</v>
      </c>
    </row>
    <row r="25" spans="7:15" x14ac:dyDescent="0.3">
      <c r="G25" s="19">
        <f t="shared" si="3"/>
        <v>2190</v>
      </c>
      <c r="H25" s="6">
        <f t="shared" si="0"/>
        <v>-49</v>
      </c>
      <c r="I25" s="6">
        <f t="shared" si="1"/>
        <v>154</v>
      </c>
      <c r="J25" s="6">
        <f t="shared" si="2"/>
        <v>105</v>
      </c>
    </row>
    <row r="26" spans="7:15" x14ac:dyDescent="0.3">
      <c r="G26" s="19">
        <f t="shared" si="3"/>
        <v>2200</v>
      </c>
      <c r="H26" s="6">
        <f t="shared" si="0"/>
        <v>-49</v>
      </c>
      <c r="I26" s="6">
        <f t="shared" si="1"/>
        <v>154</v>
      </c>
      <c r="J26" s="6">
        <f t="shared" si="2"/>
        <v>105</v>
      </c>
    </row>
    <row r="27" spans="7:15" x14ac:dyDescent="0.3">
      <c r="G27" s="19">
        <f t="shared" si="3"/>
        <v>2210</v>
      </c>
      <c r="H27" s="6">
        <f t="shared" si="0"/>
        <v>-49</v>
      </c>
      <c r="I27" s="6">
        <f t="shared" si="1"/>
        <v>154</v>
      </c>
      <c r="J27" s="6">
        <f t="shared" si="2"/>
        <v>105</v>
      </c>
    </row>
    <row r="28" spans="7:15" x14ac:dyDescent="0.3">
      <c r="G28" s="19">
        <f t="shared" si="3"/>
        <v>2220</v>
      </c>
      <c r="H28" s="6">
        <f t="shared" si="0"/>
        <v>-49</v>
      </c>
      <c r="I28" s="6">
        <f t="shared" si="1"/>
        <v>154</v>
      </c>
      <c r="J28" s="6">
        <f t="shared" si="2"/>
        <v>105</v>
      </c>
    </row>
    <row r="29" spans="7:15" x14ac:dyDescent="0.3">
      <c r="G29" s="19">
        <f t="shared" si="3"/>
        <v>2230</v>
      </c>
      <c r="H29" s="6">
        <f t="shared" si="0"/>
        <v>-49</v>
      </c>
      <c r="I29" s="6">
        <f t="shared" si="1"/>
        <v>154</v>
      </c>
      <c r="J29" s="6">
        <f t="shared" si="2"/>
        <v>105</v>
      </c>
    </row>
    <row r="30" spans="7:15" x14ac:dyDescent="0.3">
      <c r="G30" s="19">
        <f t="shared" si="3"/>
        <v>2240</v>
      </c>
      <c r="H30" s="6">
        <f t="shared" si="0"/>
        <v>-49</v>
      </c>
      <c r="I30" s="6">
        <f t="shared" si="1"/>
        <v>154</v>
      </c>
      <c r="J30" s="6">
        <f t="shared" si="2"/>
        <v>105</v>
      </c>
    </row>
    <row r="31" spans="7:15" x14ac:dyDescent="0.3">
      <c r="G31" s="19">
        <f t="shared" si="3"/>
        <v>2250</v>
      </c>
      <c r="H31" s="6">
        <f t="shared" si="0"/>
        <v>-49</v>
      </c>
      <c r="I31" s="6">
        <f t="shared" si="1"/>
        <v>154</v>
      </c>
      <c r="J31" s="6">
        <f t="shared" si="2"/>
        <v>105</v>
      </c>
    </row>
    <row r="32" spans="7:15" x14ac:dyDescent="0.3">
      <c r="G32" s="19">
        <f t="shared" si="3"/>
        <v>2260</v>
      </c>
      <c r="H32" s="6">
        <f t="shared" si="0"/>
        <v>-49</v>
      </c>
      <c r="I32" s="6">
        <f t="shared" si="1"/>
        <v>154</v>
      </c>
      <c r="J32" s="6">
        <f t="shared" si="2"/>
        <v>105</v>
      </c>
    </row>
    <row r="33" spans="7:10" x14ac:dyDescent="0.3">
      <c r="G33" s="19">
        <f t="shared" si="3"/>
        <v>2270</v>
      </c>
      <c r="H33" s="6">
        <f t="shared" si="0"/>
        <v>-49</v>
      </c>
      <c r="I33" s="6">
        <f t="shared" si="1"/>
        <v>154</v>
      </c>
      <c r="J33" s="6">
        <f t="shared" si="2"/>
        <v>105</v>
      </c>
    </row>
    <row r="34" spans="7:10" x14ac:dyDescent="0.3">
      <c r="G34" s="19">
        <f t="shared" si="3"/>
        <v>2280</v>
      </c>
      <c r="H34" s="6">
        <f t="shared" si="0"/>
        <v>-49</v>
      </c>
      <c r="I34" s="6">
        <f t="shared" si="1"/>
        <v>154</v>
      </c>
      <c r="J34" s="6">
        <f t="shared" si="2"/>
        <v>105</v>
      </c>
    </row>
    <row r="35" spans="7:10" x14ac:dyDescent="0.3">
      <c r="G35" s="19">
        <f t="shared" si="3"/>
        <v>2290</v>
      </c>
      <c r="H35" s="6">
        <f t="shared" si="0"/>
        <v>-49</v>
      </c>
      <c r="I35" s="6">
        <f t="shared" si="1"/>
        <v>154</v>
      </c>
      <c r="J35" s="6">
        <f t="shared" si="2"/>
        <v>105</v>
      </c>
    </row>
    <row r="36" spans="7:10" x14ac:dyDescent="0.3">
      <c r="G36" s="19">
        <f t="shared" si="3"/>
        <v>2300</v>
      </c>
      <c r="H36" s="6">
        <f t="shared" si="0"/>
        <v>-49</v>
      </c>
      <c r="I36" s="6">
        <f t="shared" si="1"/>
        <v>154</v>
      </c>
      <c r="J36" s="6">
        <f t="shared" si="2"/>
        <v>105</v>
      </c>
    </row>
    <row r="37" spans="7:10" x14ac:dyDescent="0.3">
      <c r="G37" s="19">
        <f t="shared" si="3"/>
        <v>2310</v>
      </c>
      <c r="H37" s="6">
        <f t="shared" si="0"/>
        <v>-49</v>
      </c>
      <c r="I37" s="6">
        <f t="shared" si="1"/>
        <v>154</v>
      </c>
      <c r="J37" s="6">
        <f t="shared" si="2"/>
        <v>105</v>
      </c>
    </row>
    <row r="38" spans="7:10" x14ac:dyDescent="0.3">
      <c r="G38" s="19">
        <f t="shared" si="3"/>
        <v>2320</v>
      </c>
      <c r="H38" s="6">
        <f t="shared" si="0"/>
        <v>-49</v>
      </c>
      <c r="I38" s="6">
        <f t="shared" si="1"/>
        <v>154</v>
      </c>
      <c r="J38" s="6">
        <f t="shared" si="2"/>
        <v>105</v>
      </c>
    </row>
    <row r="39" spans="7:10" x14ac:dyDescent="0.3">
      <c r="G39" s="19">
        <f t="shared" si="3"/>
        <v>2330</v>
      </c>
      <c r="H39" s="6">
        <f t="shared" si="0"/>
        <v>-49</v>
      </c>
      <c r="I39" s="6">
        <f t="shared" si="1"/>
        <v>154</v>
      </c>
      <c r="J39" s="6">
        <f t="shared" si="2"/>
        <v>105</v>
      </c>
    </row>
    <row r="40" spans="7:10" x14ac:dyDescent="0.3">
      <c r="G40" s="19">
        <f t="shared" si="3"/>
        <v>2340</v>
      </c>
      <c r="H40" s="6">
        <f t="shared" si="0"/>
        <v>-49</v>
      </c>
      <c r="I40" s="6">
        <f t="shared" si="1"/>
        <v>154</v>
      </c>
      <c r="J40" s="6">
        <f t="shared" si="2"/>
        <v>105</v>
      </c>
    </row>
    <row r="41" spans="7:10" x14ac:dyDescent="0.3">
      <c r="G41" s="19">
        <f t="shared" si="3"/>
        <v>2350</v>
      </c>
      <c r="H41" s="6">
        <f t="shared" si="0"/>
        <v>-49</v>
      </c>
      <c r="I41" s="6">
        <f t="shared" si="1"/>
        <v>154</v>
      </c>
      <c r="J41" s="6">
        <f t="shared" si="2"/>
        <v>105</v>
      </c>
    </row>
    <row r="42" spans="7:10" x14ac:dyDescent="0.3">
      <c r="G42" s="19">
        <f t="shared" si="3"/>
        <v>2360</v>
      </c>
      <c r="H42" s="6">
        <f t="shared" si="0"/>
        <v>-49</v>
      </c>
      <c r="I42" s="6">
        <f t="shared" si="1"/>
        <v>154</v>
      </c>
      <c r="J42" s="6">
        <f t="shared" si="2"/>
        <v>105</v>
      </c>
    </row>
    <row r="43" spans="7:10" x14ac:dyDescent="0.3">
      <c r="G43" s="19">
        <f t="shared" si="3"/>
        <v>2370</v>
      </c>
      <c r="H43" s="6">
        <f t="shared" si="0"/>
        <v>-49</v>
      </c>
      <c r="I43" s="6">
        <f t="shared" si="1"/>
        <v>154</v>
      </c>
      <c r="J43" s="6">
        <f t="shared" si="2"/>
        <v>105</v>
      </c>
    </row>
    <row r="44" spans="7:10" x14ac:dyDescent="0.3">
      <c r="G44" s="19">
        <f t="shared" si="3"/>
        <v>2380</v>
      </c>
      <c r="H44" s="6">
        <f t="shared" si="0"/>
        <v>-49</v>
      </c>
      <c r="I44" s="6">
        <f t="shared" si="1"/>
        <v>154</v>
      </c>
      <c r="J44" s="6">
        <f t="shared" si="2"/>
        <v>105</v>
      </c>
    </row>
    <row r="45" spans="7:10" x14ac:dyDescent="0.3">
      <c r="G45" s="19">
        <f t="shared" si="3"/>
        <v>2390</v>
      </c>
      <c r="H45" s="6">
        <f t="shared" si="0"/>
        <v>-49</v>
      </c>
      <c r="I45" s="6">
        <f t="shared" si="1"/>
        <v>154</v>
      </c>
      <c r="J45" s="6">
        <f t="shared" si="2"/>
        <v>105</v>
      </c>
    </row>
    <row r="46" spans="7:10" x14ac:dyDescent="0.3">
      <c r="G46" s="19">
        <f t="shared" si="3"/>
        <v>2400</v>
      </c>
      <c r="H46" s="6">
        <f t="shared" si="0"/>
        <v>-49</v>
      </c>
      <c r="I46" s="6">
        <f t="shared" si="1"/>
        <v>154</v>
      </c>
      <c r="J46" s="6">
        <f t="shared" si="2"/>
        <v>105</v>
      </c>
    </row>
    <row r="47" spans="7:10" x14ac:dyDescent="0.3">
      <c r="G47" s="19">
        <f t="shared" si="3"/>
        <v>2410</v>
      </c>
      <c r="H47" s="6">
        <f t="shared" si="0"/>
        <v>-49</v>
      </c>
      <c r="I47" s="6">
        <f t="shared" si="1"/>
        <v>154</v>
      </c>
      <c r="J47" s="6">
        <f t="shared" si="2"/>
        <v>105</v>
      </c>
    </row>
    <row r="48" spans="7:10" x14ac:dyDescent="0.3">
      <c r="G48" s="19">
        <f t="shared" si="3"/>
        <v>2420</v>
      </c>
      <c r="H48" s="6">
        <f t="shared" si="0"/>
        <v>-49</v>
      </c>
      <c r="I48" s="6">
        <f t="shared" si="1"/>
        <v>154</v>
      </c>
      <c r="J48" s="6">
        <f t="shared" si="2"/>
        <v>105</v>
      </c>
    </row>
    <row r="49" spans="7:10" x14ac:dyDescent="0.3">
      <c r="G49" s="19">
        <f t="shared" si="3"/>
        <v>2430</v>
      </c>
      <c r="H49" s="6">
        <f t="shared" si="0"/>
        <v>-49</v>
      </c>
      <c r="I49" s="6">
        <f t="shared" si="1"/>
        <v>154</v>
      </c>
      <c r="J49" s="6">
        <f t="shared" si="2"/>
        <v>105</v>
      </c>
    </row>
    <row r="50" spans="7:10" x14ac:dyDescent="0.3">
      <c r="G50" s="19">
        <f t="shared" si="3"/>
        <v>2440</v>
      </c>
      <c r="H50" s="6">
        <f t="shared" si="0"/>
        <v>-49</v>
      </c>
      <c r="I50" s="6">
        <f t="shared" si="1"/>
        <v>154</v>
      </c>
      <c r="J50" s="6">
        <f t="shared" si="2"/>
        <v>105</v>
      </c>
    </row>
    <row r="51" spans="7:10" x14ac:dyDescent="0.3">
      <c r="G51" s="19">
        <f t="shared" si="3"/>
        <v>2450</v>
      </c>
      <c r="H51" s="6">
        <f t="shared" si="0"/>
        <v>-49</v>
      </c>
      <c r="I51" s="6">
        <f t="shared" si="1"/>
        <v>154</v>
      </c>
      <c r="J51" s="6">
        <f t="shared" si="2"/>
        <v>105</v>
      </c>
    </row>
    <row r="52" spans="7:10" x14ac:dyDescent="0.3">
      <c r="G52" s="19">
        <f t="shared" si="3"/>
        <v>2460</v>
      </c>
      <c r="H52" s="6">
        <f t="shared" si="0"/>
        <v>-49</v>
      </c>
      <c r="I52" s="6">
        <f t="shared" si="1"/>
        <v>154</v>
      </c>
      <c r="J52" s="6">
        <f t="shared" si="2"/>
        <v>105</v>
      </c>
    </row>
    <row r="53" spans="7:10" x14ac:dyDescent="0.3">
      <c r="G53" s="19">
        <f t="shared" si="3"/>
        <v>2470</v>
      </c>
      <c r="H53" s="6">
        <f t="shared" si="0"/>
        <v>-49</v>
      </c>
      <c r="I53" s="6">
        <f t="shared" si="1"/>
        <v>154</v>
      </c>
      <c r="J53" s="6">
        <f t="shared" si="2"/>
        <v>105</v>
      </c>
    </row>
    <row r="54" spans="7:10" x14ac:dyDescent="0.3">
      <c r="G54" s="19">
        <f t="shared" si="3"/>
        <v>2480</v>
      </c>
      <c r="H54" s="6">
        <f t="shared" si="0"/>
        <v>-49</v>
      </c>
      <c r="I54" s="6">
        <f t="shared" si="1"/>
        <v>154</v>
      </c>
      <c r="J54" s="6">
        <f t="shared" si="2"/>
        <v>105</v>
      </c>
    </row>
    <row r="55" spans="7:10" x14ac:dyDescent="0.3">
      <c r="G55" s="19">
        <f t="shared" si="3"/>
        <v>2490</v>
      </c>
      <c r="H55" s="6">
        <f t="shared" si="0"/>
        <v>-49</v>
      </c>
      <c r="I55" s="6">
        <f t="shared" si="1"/>
        <v>154</v>
      </c>
      <c r="J55" s="6">
        <f t="shared" si="2"/>
        <v>105</v>
      </c>
    </row>
    <row r="56" spans="7:10" x14ac:dyDescent="0.3">
      <c r="G56" s="19">
        <f t="shared" si="3"/>
        <v>2500</v>
      </c>
      <c r="H56" s="6">
        <f t="shared" si="0"/>
        <v>-49</v>
      </c>
      <c r="I56" s="6">
        <f t="shared" si="1"/>
        <v>154</v>
      </c>
      <c r="J56" s="6">
        <f t="shared" si="2"/>
        <v>105</v>
      </c>
    </row>
    <row r="57" spans="7:10" x14ac:dyDescent="0.3">
      <c r="G57" s="19">
        <f t="shared" si="3"/>
        <v>2510</v>
      </c>
      <c r="H57" s="6">
        <f t="shared" si="0"/>
        <v>-49</v>
      </c>
      <c r="I57" s="6">
        <f t="shared" si="1"/>
        <v>154</v>
      </c>
      <c r="J57" s="6">
        <f t="shared" si="2"/>
        <v>105</v>
      </c>
    </row>
    <row r="58" spans="7:10" x14ac:dyDescent="0.3">
      <c r="G58" s="19">
        <f t="shared" si="3"/>
        <v>2520</v>
      </c>
      <c r="H58" s="6">
        <f t="shared" si="0"/>
        <v>-49</v>
      </c>
      <c r="I58" s="6">
        <f t="shared" si="1"/>
        <v>154</v>
      </c>
      <c r="J58" s="6">
        <f t="shared" si="2"/>
        <v>105</v>
      </c>
    </row>
    <row r="59" spans="7:10" x14ac:dyDescent="0.3">
      <c r="G59" s="19">
        <f t="shared" si="3"/>
        <v>2530</v>
      </c>
      <c r="H59" s="6">
        <f t="shared" si="0"/>
        <v>-49</v>
      </c>
      <c r="I59" s="6">
        <f t="shared" si="1"/>
        <v>154</v>
      </c>
      <c r="J59" s="6">
        <f t="shared" si="2"/>
        <v>105</v>
      </c>
    </row>
    <row r="60" spans="7:10" x14ac:dyDescent="0.3">
      <c r="G60" s="19">
        <f t="shared" si="3"/>
        <v>2540</v>
      </c>
      <c r="H60" s="6">
        <f t="shared" si="0"/>
        <v>-49</v>
      </c>
      <c r="I60" s="6">
        <f t="shared" si="1"/>
        <v>154</v>
      </c>
      <c r="J60" s="6">
        <f t="shared" si="2"/>
        <v>105</v>
      </c>
    </row>
    <row r="61" spans="7:10" x14ac:dyDescent="0.3">
      <c r="G61" s="19">
        <f t="shared" si="3"/>
        <v>2550</v>
      </c>
      <c r="H61" s="6">
        <f t="shared" si="0"/>
        <v>-49</v>
      </c>
      <c r="I61" s="6">
        <f t="shared" si="1"/>
        <v>154</v>
      </c>
      <c r="J61" s="6">
        <f t="shared" si="2"/>
        <v>105</v>
      </c>
    </row>
    <row r="62" spans="7:10" x14ac:dyDescent="0.3">
      <c r="G62" s="19">
        <f t="shared" si="3"/>
        <v>2560</v>
      </c>
      <c r="H62" s="6">
        <f t="shared" si="0"/>
        <v>-49</v>
      </c>
      <c r="I62" s="6">
        <f t="shared" si="1"/>
        <v>154</v>
      </c>
      <c r="J62" s="6">
        <f t="shared" si="2"/>
        <v>105</v>
      </c>
    </row>
    <row r="63" spans="7:10" x14ac:dyDescent="0.3">
      <c r="G63" s="19">
        <f t="shared" si="3"/>
        <v>2570</v>
      </c>
      <c r="H63" s="6">
        <f t="shared" si="0"/>
        <v>-49</v>
      </c>
      <c r="I63" s="6">
        <f t="shared" si="1"/>
        <v>154</v>
      </c>
      <c r="J63" s="6">
        <f t="shared" si="2"/>
        <v>105</v>
      </c>
    </row>
    <row r="64" spans="7:10" x14ac:dyDescent="0.3">
      <c r="G64" s="19">
        <f t="shared" si="3"/>
        <v>2580</v>
      </c>
      <c r="H64" s="6">
        <f t="shared" si="0"/>
        <v>-49</v>
      </c>
      <c r="I64" s="6">
        <f t="shared" si="1"/>
        <v>154</v>
      </c>
      <c r="J64" s="6">
        <f t="shared" si="2"/>
        <v>105</v>
      </c>
    </row>
    <row r="65" spans="7:13" x14ac:dyDescent="0.3">
      <c r="G65" s="19">
        <f t="shared" si="3"/>
        <v>2590</v>
      </c>
      <c r="H65" s="6">
        <f t="shared" si="0"/>
        <v>-49</v>
      </c>
      <c r="I65" s="6">
        <f t="shared" si="1"/>
        <v>154</v>
      </c>
      <c r="J65" s="6">
        <f t="shared" si="2"/>
        <v>105</v>
      </c>
    </row>
    <row r="66" spans="7:13" x14ac:dyDescent="0.3">
      <c r="G66" s="19">
        <f t="shared" si="3"/>
        <v>2600</v>
      </c>
      <c r="H66" s="6">
        <f t="shared" si="0"/>
        <v>-49</v>
      </c>
      <c r="I66" s="6">
        <f t="shared" si="1"/>
        <v>154</v>
      </c>
      <c r="J66" s="6">
        <f t="shared" si="2"/>
        <v>105</v>
      </c>
    </row>
    <row r="67" spans="7:13" x14ac:dyDescent="0.3">
      <c r="G67" s="19">
        <f t="shared" si="3"/>
        <v>2610</v>
      </c>
      <c r="H67" s="6">
        <f t="shared" si="0"/>
        <v>-49</v>
      </c>
      <c r="I67" s="6">
        <f t="shared" si="1"/>
        <v>144</v>
      </c>
      <c r="J67" s="6">
        <f t="shared" si="2"/>
        <v>95</v>
      </c>
    </row>
    <row r="68" spans="7:13" x14ac:dyDescent="0.3">
      <c r="G68" s="19">
        <f t="shared" si="3"/>
        <v>2620</v>
      </c>
      <c r="H68" s="6">
        <f t="shared" si="0"/>
        <v>-49</v>
      </c>
      <c r="I68" s="6">
        <f t="shared" si="1"/>
        <v>134</v>
      </c>
      <c r="J68" s="6">
        <f t="shared" si="2"/>
        <v>85</v>
      </c>
    </row>
    <row r="69" spans="7:13" x14ac:dyDescent="0.3">
      <c r="G69" s="19">
        <f t="shared" si="3"/>
        <v>2630</v>
      </c>
      <c r="H69" s="6">
        <f t="shared" si="0"/>
        <v>-49</v>
      </c>
      <c r="I69" s="6">
        <f t="shared" si="1"/>
        <v>124</v>
      </c>
      <c r="J69" s="6">
        <f t="shared" si="2"/>
        <v>75</v>
      </c>
    </row>
    <row r="70" spans="7:13" x14ac:dyDescent="0.3">
      <c r="G70" s="19">
        <f t="shared" si="3"/>
        <v>2640</v>
      </c>
      <c r="H70" s="6">
        <f t="shared" si="0"/>
        <v>-49</v>
      </c>
      <c r="I70" s="6">
        <f t="shared" si="1"/>
        <v>114</v>
      </c>
      <c r="J70" s="6">
        <f t="shared" si="2"/>
        <v>65</v>
      </c>
    </row>
    <row r="71" spans="7:13" x14ac:dyDescent="0.3">
      <c r="G71" s="19">
        <f t="shared" si="3"/>
        <v>2650</v>
      </c>
      <c r="H71" s="6">
        <f t="shared" ref="H71:H77" si="4">(MAX(G71-$I$4,0)-$J$4)</f>
        <v>-49</v>
      </c>
      <c r="I71" s="6">
        <f t="shared" ref="I71:I77" si="5">(MAX(G71-$G$4,0)-$H$4)*-1</f>
        <v>104</v>
      </c>
      <c r="J71" s="6">
        <f t="shared" ref="J71:J77" si="6">SUM(H71:I71)</f>
        <v>55</v>
      </c>
    </row>
    <row r="72" spans="7:13" x14ac:dyDescent="0.3">
      <c r="G72" s="19">
        <f t="shared" ref="G72:G76" si="7">G71+10</f>
        <v>2660</v>
      </c>
      <c r="H72" s="6">
        <f t="shared" si="4"/>
        <v>-49</v>
      </c>
      <c r="I72" s="6">
        <f t="shared" si="5"/>
        <v>94</v>
      </c>
      <c r="J72" s="6">
        <f t="shared" si="6"/>
        <v>45</v>
      </c>
    </row>
    <row r="73" spans="7:13" x14ac:dyDescent="0.3">
      <c r="G73" s="19">
        <f t="shared" si="7"/>
        <v>2670</v>
      </c>
      <c r="H73" s="6">
        <f t="shared" si="4"/>
        <v>-49</v>
      </c>
      <c r="I73" s="6">
        <f t="shared" si="5"/>
        <v>84</v>
      </c>
      <c r="J73" s="6">
        <f t="shared" si="6"/>
        <v>35</v>
      </c>
    </row>
    <row r="74" spans="7:13" x14ac:dyDescent="0.3">
      <c r="G74" s="19">
        <f t="shared" si="7"/>
        <v>2680</v>
      </c>
      <c r="H74" s="6">
        <f t="shared" si="4"/>
        <v>-49</v>
      </c>
      <c r="I74" s="6">
        <f t="shared" si="5"/>
        <v>74</v>
      </c>
      <c r="J74" s="6">
        <f t="shared" si="6"/>
        <v>25</v>
      </c>
    </row>
    <row r="75" spans="7:13" x14ac:dyDescent="0.3">
      <c r="G75" s="19">
        <f t="shared" si="7"/>
        <v>2690</v>
      </c>
      <c r="H75" s="6">
        <f t="shared" si="4"/>
        <v>-49</v>
      </c>
      <c r="I75" s="6">
        <f t="shared" si="5"/>
        <v>64</v>
      </c>
      <c r="J75" s="6">
        <f t="shared" si="6"/>
        <v>15</v>
      </c>
    </row>
    <row r="76" spans="7:13" x14ac:dyDescent="0.3">
      <c r="G76" s="19">
        <f t="shared" si="7"/>
        <v>2700</v>
      </c>
      <c r="H76" s="6">
        <f t="shared" si="4"/>
        <v>-49</v>
      </c>
      <c r="I76" s="6">
        <f t="shared" si="5"/>
        <v>54</v>
      </c>
      <c r="J76" s="6">
        <f t="shared" si="6"/>
        <v>5</v>
      </c>
    </row>
    <row r="77" spans="7:13" x14ac:dyDescent="0.3">
      <c r="G77" s="19">
        <f>G78-5</f>
        <v>2705</v>
      </c>
      <c r="H77" s="6">
        <f t="shared" si="4"/>
        <v>-49</v>
      </c>
      <c r="I77" s="6">
        <f t="shared" si="5"/>
        <v>49</v>
      </c>
      <c r="J77" s="15">
        <f t="shared" si="6"/>
        <v>0</v>
      </c>
      <c r="K77" s="50" t="s">
        <v>120</v>
      </c>
      <c r="L77" s="50"/>
      <c r="M77" s="50"/>
    </row>
    <row r="78" spans="7:13" x14ac:dyDescent="0.3">
      <c r="G78" s="19">
        <f>G76+10</f>
        <v>2710</v>
      </c>
      <c r="H78" s="6">
        <f t="shared" ref="H78:H109" si="8">(MAX(G78-$I$4,0)-$J$4)</f>
        <v>-49</v>
      </c>
      <c r="I78" s="6">
        <f t="shared" ref="I78:I107" si="9">(MAX(G78-$G$4,0)-$H$4)*-1</f>
        <v>44</v>
      </c>
      <c r="J78" s="6">
        <f t="shared" ref="J78:J107" si="10">SUM(H78:I78)</f>
        <v>-5</v>
      </c>
    </row>
    <row r="79" spans="7:13" x14ac:dyDescent="0.3">
      <c r="G79" s="19">
        <f t="shared" ref="G79:G110" si="11">G78+10</f>
        <v>2720</v>
      </c>
      <c r="H79" s="6">
        <f t="shared" si="8"/>
        <v>-49</v>
      </c>
      <c r="I79" s="6">
        <f t="shared" si="9"/>
        <v>34</v>
      </c>
      <c r="J79" s="6">
        <f t="shared" si="10"/>
        <v>-15</v>
      </c>
    </row>
    <row r="80" spans="7:13" x14ac:dyDescent="0.3">
      <c r="G80" s="19">
        <f t="shared" si="11"/>
        <v>2730</v>
      </c>
      <c r="H80" s="6">
        <f t="shared" si="8"/>
        <v>-49</v>
      </c>
      <c r="I80" s="6">
        <f t="shared" si="9"/>
        <v>24</v>
      </c>
      <c r="J80" s="6">
        <f t="shared" si="10"/>
        <v>-25</v>
      </c>
    </row>
    <row r="81" spans="7:10" x14ac:dyDescent="0.3">
      <c r="G81" s="19">
        <f t="shared" si="11"/>
        <v>2740</v>
      </c>
      <c r="H81" s="6">
        <f t="shared" si="8"/>
        <v>-49</v>
      </c>
      <c r="I81" s="6">
        <f t="shared" si="9"/>
        <v>14</v>
      </c>
      <c r="J81" s="6">
        <f t="shared" si="10"/>
        <v>-35</v>
      </c>
    </row>
    <row r="82" spans="7:10" x14ac:dyDescent="0.3">
      <c r="G82" s="19">
        <f t="shared" si="11"/>
        <v>2750</v>
      </c>
      <c r="H82" s="6">
        <f t="shared" si="8"/>
        <v>-49</v>
      </c>
      <c r="I82" s="6">
        <f t="shared" si="9"/>
        <v>4</v>
      </c>
      <c r="J82" s="6">
        <f t="shared" si="10"/>
        <v>-45</v>
      </c>
    </row>
    <row r="83" spans="7:10" x14ac:dyDescent="0.3">
      <c r="G83" s="19">
        <f t="shared" si="11"/>
        <v>2760</v>
      </c>
      <c r="H83" s="6">
        <f t="shared" si="8"/>
        <v>-49</v>
      </c>
      <c r="I83" s="6">
        <f t="shared" si="9"/>
        <v>-6</v>
      </c>
      <c r="J83" s="6">
        <f t="shared" si="10"/>
        <v>-55</v>
      </c>
    </row>
    <row r="84" spans="7:10" x14ac:dyDescent="0.3">
      <c r="G84" s="19">
        <f t="shared" si="11"/>
        <v>2770</v>
      </c>
      <c r="H84" s="6">
        <f t="shared" si="8"/>
        <v>-49</v>
      </c>
      <c r="I84" s="6">
        <f t="shared" si="9"/>
        <v>-16</v>
      </c>
      <c r="J84" s="6">
        <f t="shared" si="10"/>
        <v>-65</v>
      </c>
    </row>
    <row r="85" spans="7:10" x14ac:dyDescent="0.3">
      <c r="G85" s="19">
        <f t="shared" si="11"/>
        <v>2780</v>
      </c>
      <c r="H85" s="6">
        <f t="shared" si="8"/>
        <v>-49</v>
      </c>
      <c r="I85" s="6">
        <f t="shared" si="9"/>
        <v>-26</v>
      </c>
      <c r="J85" s="6">
        <f t="shared" si="10"/>
        <v>-75</v>
      </c>
    </row>
    <row r="86" spans="7:10" x14ac:dyDescent="0.3">
      <c r="G86" s="19">
        <f t="shared" si="11"/>
        <v>2790</v>
      </c>
      <c r="H86" s="6">
        <f t="shared" si="8"/>
        <v>-49</v>
      </c>
      <c r="I86" s="6">
        <f t="shared" si="9"/>
        <v>-36</v>
      </c>
      <c r="J86" s="6">
        <f t="shared" si="10"/>
        <v>-85</v>
      </c>
    </row>
    <row r="87" spans="7:10" x14ac:dyDescent="0.3">
      <c r="G87" s="19">
        <f t="shared" si="11"/>
        <v>2800</v>
      </c>
      <c r="H87" s="6">
        <f t="shared" si="8"/>
        <v>-49</v>
      </c>
      <c r="I87" s="6">
        <f t="shared" si="9"/>
        <v>-46</v>
      </c>
      <c r="J87" s="6">
        <f t="shared" si="10"/>
        <v>-95</v>
      </c>
    </row>
    <row r="88" spans="7:10" x14ac:dyDescent="0.3">
      <c r="G88" s="19">
        <f t="shared" si="11"/>
        <v>2810</v>
      </c>
      <c r="H88" s="6">
        <f t="shared" si="8"/>
        <v>-39</v>
      </c>
      <c r="I88" s="6">
        <f t="shared" si="9"/>
        <v>-56</v>
      </c>
      <c r="J88" s="6">
        <f t="shared" si="10"/>
        <v>-95</v>
      </c>
    </row>
    <row r="89" spans="7:10" x14ac:dyDescent="0.3">
      <c r="G89" s="19">
        <f t="shared" si="11"/>
        <v>2820</v>
      </c>
      <c r="H89" s="6">
        <f t="shared" si="8"/>
        <v>-29</v>
      </c>
      <c r="I89" s="6">
        <f t="shared" si="9"/>
        <v>-66</v>
      </c>
      <c r="J89" s="6">
        <f t="shared" si="10"/>
        <v>-95</v>
      </c>
    </row>
    <row r="90" spans="7:10" x14ac:dyDescent="0.3">
      <c r="G90" s="19">
        <f t="shared" si="11"/>
        <v>2830</v>
      </c>
      <c r="H90" s="6">
        <f t="shared" si="8"/>
        <v>-19</v>
      </c>
      <c r="I90" s="6">
        <f t="shared" si="9"/>
        <v>-76</v>
      </c>
      <c r="J90" s="6">
        <f t="shared" si="10"/>
        <v>-95</v>
      </c>
    </row>
    <row r="91" spans="7:10" x14ac:dyDescent="0.3">
      <c r="G91" s="19">
        <f t="shared" si="11"/>
        <v>2840</v>
      </c>
      <c r="H91" s="6">
        <f t="shared" si="8"/>
        <v>-9</v>
      </c>
      <c r="I91" s="6">
        <f t="shared" si="9"/>
        <v>-86</v>
      </c>
      <c r="J91" s="6">
        <f t="shared" si="10"/>
        <v>-95</v>
      </c>
    </row>
    <row r="92" spans="7:10" x14ac:dyDescent="0.3">
      <c r="G92" s="19">
        <f t="shared" si="11"/>
        <v>2850</v>
      </c>
      <c r="H92" s="6">
        <f t="shared" si="8"/>
        <v>1</v>
      </c>
      <c r="I92" s="6">
        <f t="shared" si="9"/>
        <v>-96</v>
      </c>
      <c r="J92" s="6">
        <f t="shared" si="10"/>
        <v>-95</v>
      </c>
    </row>
    <row r="93" spans="7:10" x14ac:dyDescent="0.3">
      <c r="G93" s="19">
        <f t="shared" si="11"/>
        <v>2860</v>
      </c>
      <c r="H93" s="6">
        <f t="shared" si="8"/>
        <v>11</v>
      </c>
      <c r="I93" s="6">
        <f t="shared" si="9"/>
        <v>-106</v>
      </c>
      <c r="J93" s="6">
        <f t="shared" si="10"/>
        <v>-95</v>
      </c>
    </row>
    <row r="94" spans="7:10" x14ac:dyDescent="0.3">
      <c r="G94" s="19">
        <f t="shared" si="11"/>
        <v>2870</v>
      </c>
      <c r="H94" s="6">
        <f t="shared" si="8"/>
        <v>21</v>
      </c>
      <c r="I94" s="6">
        <f t="shared" si="9"/>
        <v>-116</v>
      </c>
      <c r="J94" s="6">
        <f t="shared" si="10"/>
        <v>-95</v>
      </c>
    </row>
    <row r="95" spans="7:10" x14ac:dyDescent="0.3">
      <c r="G95" s="19">
        <f t="shared" si="11"/>
        <v>2880</v>
      </c>
      <c r="H95" s="6">
        <f t="shared" si="8"/>
        <v>31</v>
      </c>
      <c r="I95" s="6">
        <f t="shared" si="9"/>
        <v>-126</v>
      </c>
      <c r="J95" s="6">
        <f t="shared" si="10"/>
        <v>-95</v>
      </c>
    </row>
    <row r="96" spans="7:10" x14ac:dyDescent="0.3">
      <c r="G96" s="19">
        <f t="shared" si="11"/>
        <v>2890</v>
      </c>
      <c r="H96" s="6">
        <f t="shared" si="8"/>
        <v>41</v>
      </c>
      <c r="I96" s="6">
        <f t="shared" si="9"/>
        <v>-136</v>
      </c>
      <c r="J96" s="6">
        <f t="shared" si="10"/>
        <v>-95</v>
      </c>
    </row>
    <row r="97" spans="7:10" x14ac:dyDescent="0.3">
      <c r="G97" s="19">
        <f t="shared" si="11"/>
        <v>2900</v>
      </c>
      <c r="H97" s="6">
        <f t="shared" si="8"/>
        <v>51</v>
      </c>
      <c r="I97" s="6">
        <f t="shared" si="9"/>
        <v>-146</v>
      </c>
      <c r="J97" s="6">
        <f t="shared" si="10"/>
        <v>-95</v>
      </c>
    </row>
    <row r="98" spans="7:10" x14ac:dyDescent="0.3">
      <c r="G98" s="19">
        <f t="shared" si="11"/>
        <v>2910</v>
      </c>
      <c r="H98" s="6">
        <f t="shared" si="8"/>
        <v>61</v>
      </c>
      <c r="I98" s="6">
        <f t="shared" si="9"/>
        <v>-156</v>
      </c>
      <c r="J98" s="6">
        <f t="shared" si="10"/>
        <v>-95</v>
      </c>
    </row>
    <row r="99" spans="7:10" x14ac:dyDescent="0.3">
      <c r="G99" s="19">
        <f t="shared" si="11"/>
        <v>2920</v>
      </c>
      <c r="H99" s="6">
        <f t="shared" si="8"/>
        <v>71</v>
      </c>
      <c r="I99" s="6">
        <f t="shared" si="9"/>
        <v>-166</v>
      </c>
      <c r="J99" s="6">
        <f t="shared" si="10"/>
        <v>-95</v>
      </c>
    </row>
    <row r="100" spans="7:10" x14ac:dyDescent="0.3">
      <c r="G100" s="19">
        <f t="shared" si="11"/>
        <v>2930</v>
      </c>
      <c r="H100" s="6">
        <f t="shared" si="8"/>
        <v>81</v>
      </c>
      <c r="I100" s="6">
        <f t="shared" si="9"/>
        <v>-176</v>
      </c>
      <c r="J100" s="6">
        <f t="shared" si="10"/>
        <v>-95</v>
      </c>
    </row>
    <row r="101" spans="7:10" x14ac:dyDescent="0.3">
      <c r="G101" s="19">
        <f t="shared" si="11"/>
        <v>2940</v>
      </c>
      <c r="H101" s="6">
        <f t="shared" si="8"/>
        <v>91</v>
      </c>
      <c r="I101" s="6">
        <f t="shared" si="9"/>
        <v>-186</v>
      </c>
      <c r="J101" s="6">
        <f t="shared" si="10"/>
        <v>-95</v>
      </c>
    </row>
    <row r="102" spans="7:10" x14ac:dyDescent="0.3">
      <c r="G102" s="19">
        <f t="shared" si="11"/>
        <v>2950</v>
      </c>
      <c r="H102" s="6">
        <f t="shared" si="8"/>
        <v>101</v>
      </c>
      <c r="I102" s="6">
        <f t="shared" si="9"/>
        <v>-196</v>
      </c>
      <c r="J102" s="6">
        <f t="shared" si="10"/>
        <v>-95</v>
      </c>
    </row>
    <row r="103" spans="7:10" x14ac:dyDescent="0.3">
      <c r="G103" s="19">
        <f t="shared" si="11"/>
        <v>2960</v>
      </c>
      <c r="H103" s="6">
        <f t="shared" si="8"/>
        <v>111</v>
      </c>
      <c r="I103" s="6">
        <f t="shared" si="9"/>
        <v>-206</v>
      </c>
      <c r="J103" s="6">
        <f t="shared" si="10"/>
        <v>-95</v>
      </c>
    </row>
    <row r="104" spans="7:10" x14ac:dyDescent="0.3">
      <c r="G104" s="19">
        <f t="shared" si="11"/>
        <v>2970</v>
      </c>
      <c r="H104" s="6">
        <f t="shared" si="8"/>
        <v>121</v>
      </c>
      <c r="I104" s="6">
        <f t="shared" si="9"/>
        <v>-216</v>
      </c>
      <c r="J104" s="6">
        <f t="shared" si="10"/>
        <v>-95</v>
      </c>
    </row>
    <row r="105" spans="7:10" x14ac:dyDescent="0.3">
      <c r="G105" s="19">
        <f t="shared" si="11"/>
        <v>2980</v>
      </c>
      <c r="H105" s="6">
        <f t="shared" si="8"/>
        <v>131</v>
      </c>
      <c r="I105" s="6">
        <f t="shared" si="9"/>
        <v>-226</v>
      </c>
      <c r="J105" s="6">
        <f t="shared" si="10"/>
        <v>-95</v>
      </c>
    </row>
    <row r="106" spans="7:10" x14ac:dyDescent="0.3">
      <c r="G106" s="19">
        <f t="shared" si="11"/>
        <v>2990</v>
      </c>
      <c r="H106" s="6">
        <f t="shared" si="8"/>
        <v>141</v>
      </c>
      <c r="I106" s="6">
        <f t="shared" si="9"/>
        <v>-236</v>
      </c>
      <c r="J106" s="6">
        <f t="shared" si="10"/>
        <v>-95</v>
      </c>
    </row>
    <row r="107" spans="7:10" x14ac:dyDescent="0.3">
      <c r="G107" s="19">
        <f t="shared" si="11"/>
        <v>3000</v>
      </c>
      <c r="H107" s="6">
        <f t="shared" si="8"/>
        <v>151</v>
      </c>
      <c r="I107" s="6">
        <f t="shared" si="9"/>
        <v>-246</v>
      </c>
      <c r="J107" s="6">
        <f t="shared" si="10"/>
        <v>-95</v>
      </c>
    </row>
    <row r="108" spans="7:10" x14ac:dyDescent="0.3">
      <c r="G108" s="19">
        <f t="shared" si="11"/>
        <v>3010</v>
      </c>
      <c r="H108" s="6">
        <f t="shared" si="8"/>
        <v>161</v>
      </c>
      <c r="I108" s="6">
        <f t="shared" ref="I108:I157" si="12">(MAX(G108-$G$4,0)-$H$4)*-1</f>
        <v>-256</v>
      </c>
      <c r="J108" s="6">
        <f t="shared" ref="J108:J157" si="13">SUM(H108:I108)</f>
        <v>-95</v>
      </c>
    </row>
    <row r="109" spans="7:10" x14ac:dyDescent="0.3">
      <c r="G109" s="19">
        <f t="shared" si="11"/>
        <v>3020</v>
      </c>
      <c r="H109" s="6">
        <f t="shared" si="8"/>
        <v>171</v>
      </c>
      <c r="I109" s="6">
        <f t="shared" si="12"/>
        <v>-266</v>
      </c>
      <c r="J109" s="6">
        <f t="shared" si="13"/>
        <v>-95</v>
      </c>
    </row>
    <row r="110" spans="7:10" x14ac:dyDescent="0.3">
      <c r="G110" s="19">
        <f t="shared" si="11"/>
        <v>3030</v>
      </c>
      <c r="H110" s="6">
        <f t="shared" ref="H110:H135" si="14">(MAX(G110-$I$4,0)-$J$4)</f>
        <v>181</v>
      </c>
      <c r="I110" s="6">
        <f t="shared" si="12"/>
        <v>-276</v>
      </c>
      <c r="J110" s="6">
        <f t="shared" si="13"/>
        <v>-95</v>
      </c>
    </row>
    <row r="111" spans="7:10" x14ac:dyDescent="0.3">
      <c r="G111" s="19">
        <f t="shared" ref="G111:G136" si="15">G110+10</f>
        <v>3040</v>
      </c>
      <c r="H111" s="6">
        <f t="shared" si="14"/>
        <v>191</v>
      </c>
      <c r="I111" s="6">
        <f t="shared" si="12"/>
        <v>-286</v>
      </c>
      <c r="J111" s="6">
        <f t="shared" si="13"/>
        <v>-95</v>
      </c>
    </row>
    <row r="112" spans="7:10" x14ac:dyDescent="0.3">
      <c r="G112" s="19">
        <f t="shared" si="15"/>
        <v>3050</v>
      </c>
      <c r="H112" s="6">
        <f t="shared" si="14"/>
        <v>201</v>
      </c>
      <c r="I112" s="6">
        <f t="shared" si="12"/>
        <v>-296</v>
      </c>
      <c r="J112" s="6">
        <f t="shared" si="13"/>
        <v>-95</v>
      </c>
    </row>
    <row r="113" spans="7:10" x14ac:dyDescent="0.3">
      <c r="G113" s="19">
        <f t="shared" si="15"/>
        <v>3060</v>
      </c>
      <c r="H113" s="6">
        <f t="shared" si="14"/>
        <v>211</v>
      </c>
      <c r="I113" s="6">
        <f t="shared" si="12"/>
        <v>-306</v>
      </c>
      <c r="J113" s="6">
        <f t="shared" si="13"/>
        <v>-95</v>
      </c>
    </row>
    <row r="114" spans="7:10" x14ac:dyDescent="0.3">
      <c r="G114" s="19">
        <f t="shared" si="15"/>
        <v>3070</v>
      </c>
      <c r="H114" s="6">
        <f t="shared" si="14"/>
        <v>221</v>
      </c>
      <c r="I114" s="6">
        <f t="shared" si="12"/>
        <v>-316</v>
      </c>
      <c r="J114" s="6">
        <f t="shared" si="13"/>
        <v>-95</v>
      </c>
    </row>
    <row r="115" spans="7:10" x14ac:dyDescent="0.3">
      <c r="G115" s="19">
        <f t="shared" si="15"/>
        <v>3080</v>
      </c>
      <c r="H115" s="6">
        <f t="shared" si="14"/>
        <v>231</v>
      </c>
      <c r="I115" s="6">
        <f t="shared" si="12"/>
        <v>-326</v>
      </c>
      <c r="J115" s="6">
        <f t="shared" si="13"/>
        <v>-95</v>
      </c>
    </row>
    <row r="116" spans="7:10" x14ac:dyDescent="0.3">
      <c r="G116" s="19">
        <f t="shared" si="15"/>
        <v>3090</v>
      </c>
      <c r="H116" s="6">
        <f t="shared" si="14"/>
        <v>241</v>
      </c>
      <c r="I116" s="6">
        <f t="shared" si="12"/>
        <v>-336</v>
      </c>
      <c r="J116" s="6">
        <f t="shared" si="13"/>
        <v>-95</v>
      </c>
    </row>
    <row r="117" spans="7:10" x14ac:dyDescent="0.3">
      <c r="G117" s="19">
        <f t="shared" si="15"/>
        <v>3100</v>
      </c>
      <c r="H117" s="6">
        <f t="shared" si="14"/>
        <v>251</v>
      </c>
      <c r="I117" s="6">
        <f t="shared" si="12"/>
        <v>-346</v>
      </c>
      <c r="J117" s="6">
        <f t="shared" si="13"/>
        <v>-95</v>
      </c>
    </row>
    <row r="118" spans="7:10" x14ac:dyDescent="0.3">
      <c r="G118" s="19">
        <f t="shared" si="15"/>
        <v>3110</v>
      </c>
      <c r="H118" s="6">
        <f t="shared" si="14"/>
        <v>261</v>
      </c>
      <c r="I118" s="6">
        <f t="shared" si="12"/>
        <v>-356</v>
      </c>
      <c r="J118" s="6">
        <f t="shared" si="13"/>
        <v>-95</v>
      </c>
    </row>
    <row r="119" spans="7:10" x14ac:dyDescent="0.3">
      <c r="G119" s="19">
        <f t="shared" si="15"/>
        <v>3120</v>
      </c>
      <c r="H119" s="6">
        <f t="shared" si="14"/>
        <v>271</v>
      </c>
      <c r="I119" s="6">
        <f t="shared" si="12"/>
        <v>-366</v>
      </c>
      <c r="J119" s="6">
        <f t="shared" si="13"/>
        <v>-95</v>
      </c>
    </row>
    <row r="120" spans="7:10" x14ac:dyDescent="0.3">
      <c r="G120" s="19">
        <f t="shared" si="15"/>
        <v>3130</v>
      </c>
      <c r="H120" s="6">
        <f t="shared" si="14"/>
        <v>281</v>
      </c>
      <c r="I120" s="6">
        <f t="shared" si="12"/>
        <v>-376</v>
      </c>
      <c r="J120" s="6">
        <f t="shared" si="13"/>
        <v>-95</v>
      </c>
    </row>
    <row r="121" spans="7:10" x14ac:dyDescent="0.3">
      <c r="G121" s="19">
        <f t="shared" si="15"/>
        <v>3140</v>
      </c>
      <c r="H121" s="6">
        <f t="shared" si="14"/>
        <v>291</v>
      </c>
      <c r="I121" s="6">
        <f t="shared" si="12"/>
        <v>-386</v>
      </c>
      <c r="J121" s="6">
        <f t="shared" si="13"/>
        <v>-95</v>
      </c>
    </row>
    <row r="122" spans="7:10" x14ac:dyDescent="0.3">
      <c r="G122" s="19">
        <f t="shared" si="15"/>
        <v>3150</v>
      </c>
      <c r="H122" s="6">
        <f t="shared" si="14"/>
        <v>301</v>
      </c>
      <c r="I122" s="6">
        <f t="shared" si="12"/>
        <v>-396</v>
      </c>
      <c r="J122" s="6">
        <f t="shared" si="13"/>
        <v>-95</v>
      </c>
    </row>
    <row r="123" spans="7:10" x14ac:dyDescent="0.3">
      <c r="G123" s="19">
        <f t="shared" si="15"/>
        <v>3160</v>
      </c>
      <c r="H123" s="6">
        <f t="shared" si="14"/>
        <v>311</v>
      </c>
      <c r="I123" s="6">
        <f t="shared" si="12"/>
        <v>-406</v>
      </c>
      <c r="J123" s="6">
        <f t="shared" si="13"/>
        <v>-95</v>
      </c>
    </row>
    <row r="124" spans="7:10" x14ac:dyDescent="0.3">
      <c r="G124" s="19">
        <f t="shared" si="15"/>
        <v>3170</v>
      </c>
      <c r="H124" s="6">
        <f t="shared" si="14"/>
        <v>321</v>
      </c>
      <c r="I124" s="6">
        <f t="shared" si="12"/>
        <v>-416</v>
      </c>
      <c r="J124" s="6">
        <f t="shared" si="13"/>
        <v>-95</v>
      </c>
    </row>
    <row r="125" spans="7:10" x14ac:dyDescent="0.3">
      <c r="G125" s="19">
        <f t="shared" si="15"/>
        <v>3180</v>
      </c>
      <c r="H125" s="6">
        <f t="shared" si="14"/>
        <v>331</v>
      </c>
      <c r="I125" s="6">
        <f t="shared" si="12"/>
        <v>-426</v>
      </c>
      <c r="J125" s="6">
        <f t="shared" si="13"/>
        <v>-95</v>
      </c>
    </row>
    <row r="126" spans="7:10" x14ac:dyDescent="0.3">
      <c r="G126" s="19">
        <f t="shared" si="15"/>
        <v>3190</v>
      </c>
      <c r="H126" s="6">
        <f t="shared" si="14"/>
        <v>341</v>
      </c>
      <c r="I126" s="6">
        <f t="shared" si="12"/>
        <v>-436</v>
      </c>
      <c r="J126" s="6">
        <f t="shared" si="13"/>
        <v>-95</v>
      </c>
    </row>
    <row r="127" spans="7:10" x14ac:dyDescent="0.3">
      <c r="G127" s="19">
        <f t="shared" si="15"/>
        <v>3200</v>
      </c>
      <c r="H127" s="6">
        <f t="shared" si="14"/>
        <v>351</v>
      </c>
      <c r="I127" s="6">
        <f t="shared" si="12"/>
        <v>-446</v>
      </c>
      <c r="J127" s="6">
        <f t="shared" si="13"/>
        <v>-95</v>
      </c>
    </row>
    <row r="128" spans="7:10" x14ac:dyDescent="0.3">
      <c r="G128" s="19">
        <f t="shared" si="15"/>
        <v>3210</v>
      </c>
      <c r="H128" s="6">
        <f t="shared" si="14"/>
        <v>361</v>
      </c>
      <c r="I128" s="6">
        <f t="shared" si="12"/>
        <v>-456</v>
      </c>
      <c r="J128" s="6">
        <f t="shared" si="13"/>
        <v>-95</v>
      </c>
    </row>
    <row r="129" spans="7:10" x14ac:dyDescent="0.3">
      <c r="G129" s="19">
        <f t="shared" si="15"/>
        <v>3220</v>
      </c>
      <c r="H129" s="6">
        <f t="shared" si="14"/>
        <v>371</v>
      </c>
      <c r="I129" s="6">
        <f t="shared" si="12"/>
        <v>-466</v>
      </c>
      <c r="J129" s="6">
        <f t="shared" si="13"/>
        <v>-95</v>
      </c>
    </row>
    <row r="130" spans="7:10" x14ac:dyDescent="0.3">
      <c r="G130" s="19">
        <f t="shared" si="15"/>
        <v>3230</v>
      </c>
      <c r="H130" s="6">
        <f t="shared" si="14"/>
        <v>381</v>
      </c>
      <c r="I130" s="6">
        <f t="shared" si="12"/>
        <v>-476</v>
      </c>
      <c r="J130" s="6">
        <f t="shared" si="13"/>
        <v>-95</v>
      </c>
    </row>
    <row r="131" spans="7:10" x14ac:dyDescent="0.3">
      <c r="G131" s="19">
        <f t="shared" si="15"/>
        <v>3240</v>
      </c>
      <c r="H131" s="6">
        <f t="shared" si="14"/>
        <v>391</v>
      </c>
      <c r="I131" s="6">
        <f t="shared" si="12"/>
        <v>-486</v>
      </c>
      <c r="J131" s="6">
        <f t="shared" si="13"/>
        <v>-95</v>
      </c>
    </row>
    <row r="132" spans="7:10" x14ac:dyDescent="0.3">
      <c r="G132" s="19">
        <f t="shared" si="15"/>
        <v>3250</v>
      </c>
      <c r="H132" s="6">
        <f t="shared" si="14"/>
        <v>401</v>
      </c>
      <c r="I132" s="6">
        <f t="shared" si="12"/>
        <v>-496</v>
      </c>
      <c r="J132" s="6">
        <f t="shared" si="13"/>
        <v>-95</v>
      </c>
    </row>
    <row r="133" spans="7:10" x14ac:dyDescent="0.3">
      <c r="G133" s="19">
        <f t="shared" si="15"/>
        <v>3260</v>
      </c>
      <c r="H133" s="6">
        <f t="shared" si="14"/>
        <v>411</v>
      </c>
      <c r="I133" s="6">
        <f t="shared" si="12"/>
        <v>-506</v>
      </c>
      <c r="J133" s="6">
        <f t="shared" si="13"/>
        <v>-95</v>
      </c>
    </row>
    <row r="134" spans="7:10" x14ac:dyDescent="0.3">
      <c r="G134" s="19">
        <f t="shared" si="15"/>
        <v>3270</v>
      </c>
      <c r="H134" s="6">
        <f t="shared" si="14"/>
        <v>421</v>
      </c>
      <c r="I134" s="6">
        <f t="shared" si="12"/>
        <v>-516</v>
      </c>
      <c r="J134" s="6">
        <f t="shared" si="13"/>
        <v>-95</v>
      </c>
    </row>
    <row r="135" spans="7:10" x14ac:dyDescent="0.3">
      <c r="G135" s="19">
        <f t="shared" si="15"/>
        <v>3280</v>
      </c>
      <c r="H135" s="6">
        <f t="shared" si="14"/>
        <v>431</v>
      </c>
      <c r="I135" s="6">
        <f t="shared" si="12"/>
        <v>-526</v>
      </c>
      <c r="J135" s="6">
        <f t="shared" si="13"/>
        <v>-95</v>
      </c>
    </row>
    <row r="136" spans="7:10" x14ac:dyDescent="0.3">
      <c r="G136" s="19">
        <f t="shared" si="15"/>
        <v>3290</v>
      </c>
      <c r="H136" s="6">
        <f t="shared" ref="H136:H157" si="16">(MAX(G136-$I$4,0)-$J$4)</f>
        <v>441</v>
      </c>
      <c r="I136" s="6">
        <f t="shared" si="12"/>
        <v>-536</v>
      </c>
      <c r="J136" s="6">
        <f t="shared" si="13"/>
        <v>-95</v>
      </c>
    </row>
    <row r="137" spans="7:10" x14ac:dyDescent="0.3">
      <c r="G137" s="19">
        <f t="shared" ref="G137" si="17">G136+10</f>
        <v>3300</v>
      </c>
      <c r="H137" s="6">
        <f t="shared" si="16"/>
        <v>451</v>
      </c>
      <c r="I137" s="6">
        <f t="shared" si="12"/>
        <v>-546</v>
      </c>
      <c r="J137" s="6">
        <f t="shared" si="13"/>
        <v>-95</v>
      </c>
    </row>
    <row r="138" spans="7:10" x14ac:dyDescent="0.3">
      <c r="G138" s="19">
        <f>G137+10</f>
        <v>3310</v>
      </c>
      <c r="H138" s="6">
        <f t="shared" si="16"/>
        <v>461</v>
      </c>
      <c r="I138" s="6">
        <f t="shared" si="12"/>
        <v>-556</v>
      </c>
      <c r="J138" s="6">
        <f t="shared" si="13"/>
        <v>-95</v>
      </c>
    </row>
    <row r="139" spans="7:10" x14ac:dyDescent="0.3">
      <c r="G139" s="19">
        <f t="shared" ref="G139:G157" si="18">G138+10</f>
        <v>3320</v>
      </c>
      <c r="H139" s="6">
        <f t="shared" si="16"/>
        <v>471</v>
      </c>
      <c r="I139" s="6">
        <f t="shared" si="12"/>
        <v>-566</v>
      </c>
      <c r="J139" s="6">
        <f t="shared" si="13"/>
        <v>-95</v>
      </c>
    </row>
    <row r="140" spans="7:10" x14ac:dyDescent="0.3">
      <c r="G140" s="19">
        <f t="shared" si="18"/>
        <v>3330</v>
      </c>
      <c r="H140" s="6">
        <f t="shared" si="16"/>
        <v>481</v>
      </c>
      <c r="I140" s="6">
        <f t="shared" si="12"/>
        <v>-576</v>
      </c>
      <c r="J140" s="6">
        <f t="shared" si="13"/>
        <v>-95</v>
      </c>
    </row>
    <row r="141" spans="7:10" x14ac:dyDescent="0.3">
      <c r="G141" s="19">
        <f t="shared" si="18"/>
        <v>3340</v>
      </c>
      <c r="H141" s="6">
        <f t="shared" si="16"/>
        <v>491</v>
      </c>
      <c r="I141" s="6">
        <f t="shared" si="12"/>
        <v>-586</v>
      </c>
      <c r="J141" s="6">
        <f t="shared" si="13"/>
        <v>-95</v>
      </c>
    </row>
    <row r="142" spans="7:10" x14ac:dyDescent="0.3">
      <c r="G142" s="19">
        <f t="shared" si="18"/>
        <v>3350</v>
      </c>
      <c r="H142" s="6">
        <f t="shared" si="16"/>
        <v>501</v>
      </c>
      <c r="I142" s="6">
        <f t="shared" si="12"/>
        <v>-596</v>
      </c>
      <c r="J142" s="6">
        <f t="shared" si="13"/>
        <v>-95</v>
      </c>
    </row>
    <row r="143" spans="7:10" x14ac:dyDescent="0.3">
      <c r="G143" s="19">
        <f t="shared" si="18"/>
        <v>3360</v>
      </c>
      <c r="H143" s="6">
        <f t="shared" si="16"/>
        <v>511</v>
      </c>
      <c r="I143" s="6">
        <f t="shared" si="12"/>
        <v>-606</v>
      </c>
      <c r="J143" s="6">
        <f t="shared" si="13"/>
        <v>-95</v>
      </c>
    </row>
    <row r="144" spans="7:10" x14ac:dyDescent="0.3">
      <c r="G144" s="19">
        <f t="shared" si="18"/>
        <v>3370</v>
      </c>
      <c r="H144" s="6">
        <f t="shared" si="16"/>
        <v>521</v>
      </c>
      <c r="I144" s="6">
        <f t="shared" si="12"/>
        <v>-616</v>
      </c>
      <c r="J144" s="6">
        <f t="shared" si="13"/>
        <v>-95</v>
      </c>
    </row>
    <row r="145" spans="7:10" x14ac:dyDescent="0.3">
      <c r="G145" s="19">
        <f t="shared" si="18"/>
        <v>3380</v>
      </c>
      <c r="H145" s="6">
        <f t="shared" si="16"/>
        <v>531</v>
      </c>
      <c r="I145" s="6">
        <f t="shared" si="12"/>
        <v>-626</v>
      </c>
      <c r="J145" s="6">
        <f t="shared" si="13"/>
        <v>-95</v>
      </c>
    </row>
    <row r="146" spans="7:10" x14ac:dyDescent="0.3">
      <c r="G146" s="19">
        <f t="shared" si="18"/>
        <v>3390</v>
      </c>
      <c r="H146" s="6">
        <f t="shared" si="16"/>
        <v>541</v>
      </c>
      <c r="I146" s="6">
        <f t="shared" si="12"/>
        <v>-636</v>
      </c>
      <c r="J146" s="6">
        <f t="shared" si="13"/>
        <v>-95</v>
      </c>
    </row>
    <row r="147" spans="7:10" x14ac:dyDescent="0.3">
      <c r="G147" s="19">
        <f t="shared" si="18"/>
        <v>3400</v>
      </c>
      <c r="H147" s="6">
        <f t="shared" si="16"/>
        <v>551</v>
      </c>
      <c r="I147" s="6">
        <f t="shared" si="12"/>
        <v>-646</v>
      </c>
      <c r="J147" s="6">
        <f t="shared" si="13"/>
        <v>-95</v>
      </c>
    </row>
    <row r="148" spans="7:10" x14ac:dyDescent="0.3">
      <c r="G148" s="19">
        <f t="shared" si="18"/>
        <v>3410</v>
      </c>
      <c r="H148" s="6">
        <f t="shared" si="16"/>
        <v>561</v>
      </c>
      <c r="I148" s="6">
        <f t="shared" si="12"/>
        <v>-656</v>
      </c>
      <c r="J148" s="6">
        <f t="shared" si="13"/>
        <v>-95</v>
      </c>
    </row>
    <row r="149" spans="7:10" x14ac:dyDescent="0.3">
      <c r="G149" s="19">
        <f t="shared" si="18"/>
        <v>3420</v>
      </c>
      <c r="H149" s="6">
        <f t="shared" si="16"/>
        <v>571</v>
      </c>
      <c r="I149" s="6">
        <f t="shared" si="12"/>
        <v>-666</v>
      </c>
      <c r="J149" s="6">
        <f t="shared" si="13"/>
        <v>-95</v>
      </c>
    </row>
    <row r="150" spans="7:10" x14ac:dyDescent="0.3">
      <c r="G150" s="19">
        <f t="shared" si="18"/>
        <v>3430</v>
      </c>
      <c r="H150" s="6">
        <f t="shared" si="16"/>
        <v>581</v>
      </c>
      <c r="I150" s="6">
        <f t="shared" si="12"/>
        <v>-676</v>
      </c>
      <c r="J150" s="6">
        <f t="shared" si="13"/>
        <v>-95</v>
      </c>
    </row>
    <row r="151" spans="7:10" x14ac:dyDescent="0.3">
      <c r="G151" s="19">
        <f t="shared" si="18"/>
        <v>3440</v>
      </c>
      <c r="H151" s="6">
        <f t="shared" si="16"/>
        <v>591</v>
      </c>
      <c r="I151" s="6">
        <f t="shared" si="12"/>
        <v>-686</v>
      </c>
      <c r="J151" s="6">
        <f t="shared" si="13"/>
        <v>-95</v>
      </c>
    </row>
    <row r="152" spans="7:10" x14ac:dyDescent="0.3">
      <c r="G152" s="19">
        <f t="shared" si="18"/>
        <v>3450</v>
      </c>
      <c r="H152" s="6">
        <f t="shared" si="16"/>
        <v>601</v>
      </c>
      <c r="I152" s="6">
        <f t="shared" si="12"/>
        <v>-696</v>
      </c>
      <c r="J152" s="6">
        <f t="shared" si="13"/>
        <v>-95</v>
      </c>
    </row>
    <row r="153" spans="7:10" x14ac:dyDescent="0.3">
      <c r="G153" s="19">
        <f t="shared" si="18"/>
        <v>3460</v>
      </c>
      <c r="H153" s="6">
        <f t="shared" si="16"/>
        <v>611</v>
      </c>
      <c r="I153" s="6">
        <f t="shared" si="12"/>
        <v>-706</v>
      </c>
      <c r="J153" s="6">
        <f t="shared" si="13"/>
        <v>-95</v>
      </c>
    </row>
    <row r="154" spans="7:10" x14ac:dyDescent="0.3">
      <c r="G154" s="19">
        <f t="shared" si="18"/>
        <v>3470</v>
      </c>
      <c r="H154" s="6">
        <f t="shared" si="16"/>
        <v>621</v>
      </c>
      <c r="I154" s="6">
        <f t="shared" si="12"/>
        <v>-716</v>
      </c>
      <c r="J154" s="6">
        <f t="shared" si="13"/>
        <v>-95</v>
      </c>
    </row>
    <row r="155" spans="7:10" x14ac:dyDescent="0.3">
      <c r="G155" s="19">
        <f t="shared" si="18"/>
        <v>3480</v>
      </c>
      <c r="H155" s="6">
        <f t="shared" si="16"/>
        <v>631</v>
      </c>
      <c r="I155" s="6">
        <f t="shared" si="12"/>
        <v>-726</v>
      </c>
      <c r="J155" s="6">
        <f t="shared" si="13"/>
        <v>-95</v>
      </c>
    </row>
    <row r="156" spans="7:10" x14ac:dyDescent="0.3">
      <c r="G156" s="19">
        <f t="shared" si="18"/>
        <v>3490</v>
      </c>
      <c r="H156" s="6">
        <f t="shared" si="16"/>
        <v>641</v>
      </c>
      <c r="I156" s="6">
        <f t="shared" si="12"/>
        <v>-736</v>
      </c>
      <c r="J156" s="6">
        <f t="shared" si="13"/>
        <v>-95</v>
      </c>
    </row>
    <row r="157" spans="7:10" x14ac:dyDescent="0.3">
      <c r="G157" s="19">
        <f t="shared" si="18"/>
        <v>3500</v>
      </c>
      <c r="H157" s="6">
        <f t="shared" si="16"/>
        <v>651</v>
      </c>
      <c r="I157" s="6">
        <f t="shared" si="12"/>
        <v>-746</v>
      </c>
      <c r="J157" s="6">
        <f t="shared" si="13"/>
        <v>-95</v>
      </c>
    </row>
  </sheetData>
  <sheetProtection algorithmName="SHA-512" hashValue="Hlg8bBiOLJmH0g6aiWA3ojyjdV6ri+sNTDTdsmVFxZoOoiBniqhK1b/yC9dQKgndfQ6lWuoGnti+Mtddll+1sw==" saltValue="ZwJ8PNk+eGzblhF/ExSDwg==" spinCount="100000" sheet="1" objects="1" scenarios="1"/>
  <mergeCells count="7">
    <mergeCell ref="B3:E8"/>
    <mergeCell ref="B10:E12"/>
    <mergeCell ref="K77:M77"/>
    <mergeCell ref="L3:O3"/>
    <mergeCell ref="L4:O5"/>
    <mergeCell ref="L7:O9"/>
    <mergeCell ref="L11:O17"/>
  </mergeCells>
  <conditionalFormatting sqref="H6:H157">
    <cfRule type="cellIs" dxfId="34" priority="4" operator="lessThan">
      <formula>$C$9</formula>
    </cfRule>
    <cfRule type="cellIs" dxfId="33" priority="5" operator="greaterThan">
      <formula>0</formula>
    </cfRule>
  </conditionalFormatting>
  <conditionalFormatting sqref="I6:J157">
    <cfRule type="cellIs" dxfId="32" priority="1" operator="lessThan">
      <formula>0</formula>
    </cfRule>
    <cfRule type="cellIs" dxfId="31" priority="2" operator="lessThan">
      <formula>#REF!</formula>
    </cfRule>
    <cfRule type="cellIs" dxfId="30" priority="3" operator="greaterThan">
      <formula>0</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46F5D-6FC2-40C1-A25B-9C4552B951B9}">
  <sheetPr codeName="Sheet17"/>
  <dimension ref="B2:O186"/>
  <sheetViews>
    <sheetView showGridLines="0" topLeftCell="P1" zoomScaleNormal="100" workbookViewId="0">
      <selection activeCell="U6" sqref="U6"/>
    </sheetView>
  </sheetViews>
  <sheetFormatPr defaultRowHeight="14.4" x14ac:dyDescent="0.3"/>
  <cols>
    <col min="7" max="7" width="11.21875" bestFit="1" customWidth="1"/>
    <col min="8" max="9" width="10.5546875" bestFit="1" customWidth="1"/>
    <col min="10" max="10" width="9.33203125" bestFit="1" customWidth="1"/>
  </cols>
  <sheetData>
    <row r="2" spans="2:15" ht="15" thickBot="1" x14ac:dyDescent="0.35"/>
    <row r="3" spans="2:15" x14ac:dyDescent="0.3">
      <c r="B3" s="32" t="s">
        <v>124</v>
      </c>
      <c r="C3" s="33"/>
      <c r="D3" s="33"/>
      <c r="E3" s="34"/>
      <c r="G3" s="1" t="s">
        <v>52</v>
      </c>
      <c r="H3" s="1" t="s">
        <v>113</v>
      </c>
      <c r="I3" s="1" t="s">
        <v>52</v>
      </c>
      <c r="J3" s="1" t="s">
        <v>112</v>
      </c>
      <c r="L3" s="51" t="s">
        <v>71</v>
      </c>
      <c r="M3" s="52"/>
      <c r="N3" s="52"/>
      <c r="O3" s="53"/>
    </row>
    <row r="4" spans="2:15" x14ac:dyDescent="0.3">
      <c r="B4" s="35"/>
      <c r="C4" s="36"/>
      <c r="D4" s="36"/>
      <c r="E4" s="37"/>
      <c r="G4" s="19">
        <v>2600</v>
      </c>
      <c r="H4" s="19">
        <v>52</v>
      </c>
      <c r="I4" s="19">
        <v>2800</v>
      </c>
      <c r="J4" s="19">
        <v>132</v>
      </c>
      <c r="L4" s="209" t="s">
        <v>126</v>
      </c>
      <c r="M4" s="210"/>
      <c r="N4" s="210"/>
      <c r="O4" s="211"/>
    </row>
    <row r="5" spans="2:15" ht="15" thickBot="1" x14ac:dyDescent="0.35">
      <c r="B5" s="35"/>
      <c r="C5" s="36"/>
      <c r="D5" s="36"/>
      <c r="E5" s="37"/>
      <c r="G5" s="1" t="s">
        <v>4</v>
      </c>
      <c r="H5" s="17" t="str">
        <f>J3</f>
        <v>PUTT BUY</v>
      </c>
      <c r="I5" s="1" t="str">
        <f>H3</f>
        <v xml:space="preserve">PUTT SELL  </v>
      </c>
      <c r="J5" s="1" t="s">
        <v>37</v>
      </c>
      <c r="L5" s="212"/>
      <c r="M5" s="213"/>
      <c r="N5" s="213"/>
      <c r="O5" s="214"/>
    </row>
    <row r="6" spans="2:15" ht="15" thickBot="1" x14ac:dyDescent="0.35">
      <c r="B6" s="35"/>
      <c r="C6" s="36"/>
      <c r="D6" s="36"/>
      <c r="E6" s="37"/>
      <c r="G6" s="19">
        <v>2000</v>
      </c>
      <c r="H6" s="6">
        <f>(MAX($I$4-G6,0)-$J$4)</f>
        <v>668</v>
      </c>
      <c r="I6" s="6">
        <f>(MAX($G$4-G6,0)-$H$4)*-1</f>
        <v>-548</v>
      </c>
      <c r="J6" s="6">
        <f>SUM(H6:I6)</f>
        <v>120</v>
      </c>
    </row>
    <row r="7" spans="2:15" x14ac:dyDescent="0.3">
      <c r="B7" s="35"/>
      <c r="C7" s="36"/>
      <c r="D7" s="36"/>
      <c r="E7" s="37"/>
      <c r="G7" s="19">
        <f>G6+10</f>
        <v>2010</v>
      </c>
      <c r="H7" s="6">
        <f t="shared" ref="H7:H70" si="0">(MAX($I$4-G7,0)-$J$4)</f>
        <v>658</v>
      </c>
      <c r="I7" s="6">
        <f t="shared" ref="I7:I70" si="1">(MAX($G$4-G7,0)-$H$4)*-1</f>
        <v>-538</v>
      </c>
      <c r="J7" s="6">
        <f t="shared" ref="J7:J70" si="2">SUM(H7:I7)</f>
        <v>120</v>
      </c>
      <c r="L7" s="139" t="s">
        <v>127</v>
      </c>
      <c r="M7" s="140"/>
      <c r="N7" s="140"/>
      <c r="O7" s="141"/>
    </row>
    <row r="8" spans="2:15" ht="15" thickBot="1" x14ac:dyDescent="0.35">
      <c r="B8" s="38"/>
      <c r="C8" s="39"/>
      <c r="D8" s="39"/>
      <c r="E8" s="40"/>
      <c r="G8" s="19">
        <f t="shared" ref="G8:G71" si="3">G7+10</f>
        <v>2020</v>
      </c>
      <c r="H8" s="6">
        <f t="shared" si="0"/>
        <v>648</v>
      </c>
      <c r="I8" s="6">
        <f t="shared" si="1"/>
        <v>-528</v>
      </c>
      <c r="J8" s="6">
        <f t="shared" si="2"/>
        <v>120</v>
      </c>
      <c r="L8" s="142"/>
      <c r="M8" s="143"/>
      <c r="N8" s="143"/>
      <c r="O8" s="144"/>
    </row>
    <row r="9" spans="2:15" ht="15" thickBot="1" x14ac:dyDescent="0.35">
      <c r="G9" s="19">
        <f t="shared" si="3"/>
        <v>2030</v>
      </c>
      <c r="H9" s="6">
        <f t="shared" si="0"/>
        <v>638</v>
      </c>
      <c r="I9" s="6">
        <f t="shared" si="1"/>
        <v>-518</v>
      </c>
      <c r="J9" s="6">
        <f t="shared" si="2"/>
        <v>120</v>
      </c>
      <c r="L9" s="142"/>
      <c r="M9" s="143"/>
      <c r="N9" s="143"/>
      <c r="O9" s="144"/>
    </row>
    <row r="10" spans="2:15" x14ac:dyDescent="0.3">
      <c r="B10" s="186" t="s">
        <v>125</v>
      </c>
      <c r="C10" s="187"/>
      <c r="D10" s="187"/>
      <c r="E10" s="188"/>
      <c r="G10" s="19">
        <f t="shared" si="3"/>
        <v>2040</v>
      </c>
      <c r="H10" s="6">
        <f t="shared" si="0"/>
        <v>628</v>
      </c>
      <c r="I10" s="6">
        <f t="shared" si="1"/>
        <v>-508</v>
      </c>
      <c r="J10" s="6">
        <f t="shared" si="2"/>
        <v>120</v>
      </c>
      <c r="L10" s="142"/>
      <c r="M10" s="143"/>
      <c r="N10" s="143"/>
      <c r="O10" s="144"/>
    </row>
    <row r="11" spans="2:15" ht="15" thickBot="1" x14ac:dyDescent="0.35">
      <c r="B11" s="189"/>
      <c r="C11" s="190"/>
      <c r="D11" s="190"/>
      <c r="E11" s="191"/>
      <c r="G11" s="19">
        <f t="shared" si="3"/>
        <v>2050</v>
      </c>
      <c r="H11" s="6">
        <f t="shared" si="0"/>
        <v>618</v>
      </c>
      <c r="I11" s="6">
        <f t="shared" si="1"/>
        <v>-498</v>
      </c>
      <c r="J11" s="6">
        <f t="shared" si="2"/>
        <v>120</v>
      </c>
      <c r="L11" s="145"/>
      <c r="M11" s="146"/>
      <c r="N11" s="146"/>
      <c r="O11" s="147"/>
    </row>
    <row r="12" spans="2:15" ht="15" thickBot="1" x14ac:dyDescent="0.35">
      <c r="B12" s="192"/>
      <c r="C12" s="193"/>
      <c r="D12" s="193"/>
      <c r="E12" s="194"/>
      <c r="G12" s="19">
        <f t="shared" si="3"/>
        <v>2060</v>
      </c>
      <c r="H12" s="6">
        <f t="shared" si="0"/>
        <v>608</v>
      </c>
      <c r="I12" s="6">
        <f t="shared" si="1"/>
        <v>-488</v>
      </c>
      <c r="J12" s="6">
        <f t="shared" si="2"/>
        <v>120</v>
      </c>
    </row>
    <row r="13" spans="2:15" x14ac:dyDescent="0.3">
      <c r="G13" s="19">
        <f t="shared" si="3"/>
        <v>2070</v>
      </c>
      <c r="H13" s="6">
        <f t="shared" si="0"/>
        <v>598</v>
      </c>
      <c r="I13" s="6">
        <f t="shared" si="1"/>
        <v>-478</v>
      </c>
      <c r="J13" s="6">
        <f t="shared" si="2"/>
        <v>120</v>
      </c>
      <c r="L13" s="139" t="s">
        <v>128</v>
      </c>
      <c r="M13" s="201"/>
      <c r="N13" s="201"/>
      <c r="O13" s="202"/>
    </row>
    <row r="14" spans="2:15" x14ac:dyDescent="0.3">
      <c r="G14" s="19">
        <f t="shared" si="3"/>
        <v>2080</v>
      </c>
      <c r="H14" s="6">
        <f t="shared" si="0"/>
        <v>588</v>
      </c>
      <c r="I14" s="6">
        <f t="shared" si="1"/>
        <v>-468</v>
      </c>
      <c r="J14" s="6">
        <f t="shared" si="2"/>
        <v>120</v>
      </c>
      <c r="L14" s="203"/>
      <c r="M14" s="204"/>
      <c r="N14" s="204"/>
      <c r="O14" s="205"/>
    </row>
    <row r="15" spans="2:15" x14ac:dyDescent="0.3">
      <c r="G15" s="19">
        <f t="shared" si="3"/>
        <v>2090</v>
      </c>
      <c r="H15" s="6">
        <f t="shared" si="0"/>
        <v>578</v>
      </c>
      <c r="I15" s="6">
        <f t="shared" si="1"/>
        <v>-458</v>
      </c>
      <c r="J15" s="6">
        <f t="shared" si="2"/>
        <v>120</v>
      </c>
      <c r="L15" s="203"/>
      <c r="M15" s="204"/>
      <c r="N15" s="204"/>
      <c r="O15" s="205"/>
    </row>
    <row r="16" spans="2:15" x14ac:dyDescent="0.3">
      <c r="G16" s="19">
        <f t="shared" si="3"/>
        <v>2100</v>
      </c>
      <c r="H16" s="6">
        <f t="shared" si="0"/>
        <v>568</v>
      </c>
      <c r="I16" s="6">
        <f t="shared" si="1"/>
        <v>-448</v>
      </c>
      <c r="J16" s="6">
        <f t="shared" si="2"/>
        <v>120</v>
      </c>
      <c r="L16" s="203"/>
      <c r="M16" s="204"/>
      <c r="N16" s="204"/>
      <c r="O16" s="205"/>
    </row>
    <row r="17" spans="7:15" ht="15" thickBot="1" x14ac:dyDescent="0.35">
      <c r="G17" s="19">
        <f t="shared" si="3"/>
        <v>2110</v>
      </c>
      <c r="H17" s="6">
        <f t="shared" si="0"/>
        <v>558</v>
      </c>
      <c r="I17" s="6">
        <f t="shared" si="1"/>
        <v>-438</v>
      </c>
      <c r="J17" s="6">
        <f t="shared" si="2"/>
        <v>120</v>
      </c>
      <c r="L17" s="206"/>
      <c r="M17" s="207"/>
      <c r="N17" s="207"/>
      <c r="O17" s="208"/>
    </row>
    <row r="18" spans="7:15" x14ac:dyDescent="0.3">
      <c r="G18" s="19">
        <f t="shared" si="3"/>
        <v>2120</v>
      </c>
      <c r="H18" s="6">
        <f t="shared" si="0"/>
        <v>548</v>
      </c>
      <c r="I18" s="6">
        <f t="shared" si="1"/>
        <v>-428</v>
      </c>
      <c r="J18" s="6">
        <f t="shared" si="2"/>
        <v>120</v>
      </c>
    </row>
    <row r="19" spans="7:15" x14ac:dyDescent="0.3">
      <c r="G19" s="19">
        <f t="shared" si="3"/>
        <v>2130</v>
      </c>
      <c r="H19" s="6">
        <f t="shared" si="0"/>
        <v>538</v>
      </c>
      <c r="I19" s="6">
        <f t="shared" si="1"/>
        <v>-418</v>
      </c>
      <c r="J19" s="6">
        <f t="shared" si="2"/>
        <v>120</v>
      </c>
    </row>
    <row r="20" spans="7:15" x14ac:dyDescent="0.3">
      <c r="G20" s="19">
        <f t="shared" si="3"/>
        <v>2140</v>
      </c>
      <c r="H20" s="6">
        <f t="shared" si="0"/>
        <v>528</v>
      </c>
      <c r="I20" s="6">
        <f t="shared" si="1"/>
        <v>-408</v>
      </c>
      <c r="J20" s="6">
        <f t="shared" si="2"/>
        <v>120</v>
      </c>
    </row>
    <row r="21" spans="7:15" x14ac:dyDescent="0.3">
      <c r="G21" s="19">
        <f t="shared" si="3"/>
        <v>2150</v>
      </c>
      <c r="H21" s="6">
        <f t="shared" si="0"/>
        <v>518</v>
      </c>
      <c r="I21" s="6">
        <f t="shared" si="1"/>
        <v>-398</v>
      </c>
      <c r="J21" s="6">
        <f t="shared" si="2"/>
        <v>120</v>
      </c>
    </row>
    <row r="22" spans="7:15" x14ac:dyDescent="0.3">
      <c r="G22" s="19">
        <f t="shared" si="3"/>
        <v>2160</v>
      </c>
      <c r="H22" s="6">
        <f t="shared" si="0"/>
        <v>508</v>
      </c>
      <c r="I22" s="6">
        <f t="shared" si="1"/>
        <v>-388</v>
      </c>
      <c r="J22" s="6">
        <f t="shared" si="2"/>
        <v>120</v>
      </c>
    </row>
    <row r="23" spans="7:15" x14ac:dyDescent="0.3">
      <c r="G23" s="19">
        <f t="shared" si="3"/>
        <v>2170</v>
      </c>
      <c r="H23" s="6">
        <f t="shared" si="0"/>
        <v>498</v>
      </c>
      <c r="I23" s="6">
        <f t="shared" si="1"/>
        <v>-378</v>
      </c>
      <c r="J23" s="6">
        <f t="shared" si="2"/>
        <v>120</v>
      </c>
    </row>
    <row r="24" spans="7:15" x14ac:dyDescent="0.3">
      <c r="G24" s="19">
        <f t="shared" si="3"/>
        <v>2180</v>
      </c>
      <c r="H24" s="6">
        <f t="shared" si="0"/>
        <v>488</v>
      </c>
      <c r="I24" s="6">
        <f t="shared" si="1"/>
        <v>-368</v>
      </c>
      <c r="J24" s="6">
        <f t="shared" si="2"/>
        <v>120</v>
      </c>
    </row>
    <row r="25" spans="7:15" x14ac:dyDescent="0.3">
      <c r="G25" s="19">
        <f t="shared" si="3"/>
        <v>2190</v>
      </c>
      <c r="H25" s="6">
        <f t="shared" si="0"/>
        <v>478</v>
      </c>
      <c r="I25" s="6">
        <f t="shared" si="1"/>
        <v>-358</v>
      </c>
      <c r="J25" s="6">
        <f t="shared" si="2"/>
        <v>120</v>
      </c>
    </row>
    <row r="26" spans="7:15" x14ac:dyDescent="0.3">
      <c r="G26" s="19">
        <f t="shared" si="3"/>
        <v>2200</v>
      </c>
      <c r="H26" s="6">
        <f t="shared" si="0"/>
        <v>468</v>
      </c>
      <c r="I26" s="6">
        <f t="shared" si="1"/>
        <v>-348</v>
      </c>
      <c r="J26" s="6">
        <f t="shared" si="2"/>
        <v>120</v>
      </c>
    </row>
    <row r="27" spans="7:15" x14ac:dyDescent="0.3">
      <c r="G27" s="19">
        <f t="shared" si="3"/>
        <v>2210</v>
      </c>
      <c r="H27" s="6">
        <f t="shared" si="0"/>
        <v>458</v>
      </c>
      <c r="I27" s="6">
        <f t="shared" si="1"/>
        <v>-338</v>
      </c>
      <c r="J27" s="6">
        <f t="shared" si="2"/>
        <v>120</v>
      </c>
    </row>
    <row r="28" spans="7:15" x14ac:dyDescent="0.3">
      <c r="G28" s="19">
        <f t="shared" si="3"/>
        <v>2220</v>
      </c>
      <c r="H28" s="6">
        <f t="shared" si="0"/>
        <v>448</v>
      </c>
      <c r="I28" s="6">
        <f t="shared" si="1"/>
        <v>-328</v>
      </c>
      <c r="J28" s="6">
        <f t="shared" si="2"/>
        <v>120</v>
      </c>
    </row>
    <row r="29" spans="7:15" x14ac:dyDescent="0.3">
      <c r="G29" s="19">
        <f t="shared" si="3"/>
        <v>2230</v>
      </c>
      <c r="H29" s="6">
        <f t="shared" si="0"/>
        <v>438</v>
      </c>
      <c r="I29" s="6">
        <f t="shared" si="1"/>
        <v>-318</v>
      </c>
      <c r="J29" s="6">
        <f t="shared" si="2"/>
        <v>120</v>
      </c>
    </row>
    <row r="30" spans="7:15" x14ac:dyDescent="0.3">
      <c r="G30" s="19">
        <f t="shared" si="3"/>
        <v>2240</v>
      </c>
      <c r="H30" s="6">
        <f t="shared" si="0"/>
        <v>428</v>
      </c>
      <c r="I30" s="6">
        <f t="shared" si="1"/>
        <v>-308</v>
      </c>
      <c r="J30" s="6">
        <f t="shared" si="2"/>
        <v>120</v>
      </c>
    </row>
    <row r="31" spans="7:15" x14ac:dyDescent="0.3">
      <c r="G31" s="19">
        <f t="shared" si="3"/>
        <v>2250</v>
      </c>
      <c r="H31" s="6">
        <f t="shared" si="0"/>
        <v>418</v>
      </c>
      <c r="I31" s="6">
        <f t="shared" si="1"/>
        <v>-298</v>
      </c>
      <c r="J31" s="6">
        <f t="shared" si="2"/>
        <v>120</v>
      </c>
    </row>
    <row r="32" spans="7:15" x14ac:dyDescent="0.3">
      <c r="G32" s="19">
        <f t="shared" si="3"/>
        <v>2260</v>
      </c>
      <c r="H32" s="6">
        <f t="shared" si="0"/>
        <v>408</v>
      </c>
      <c r="I32" s="6">
        <f t="shared" si="1"/>
        <v>-288</v>
      </c>
      <c r="J32" s="6">
        <f t="shared" si="2"/>
        <v>120</v>
      </c>
    </row>
    <row r="33" spans="7:10" x14ac:dyDescent="0.3">
      <c r="G33" s="19">
        <f t="shared" si="3"/>
        <v>2270</v>
      </c>
      <c r="H33" s="6">
        <f t="shared" si="0"/>
        <v>398</v>
      </c>
      <c r="I33" s="6">
        <f t="shared" si="1"/>
        <v>-278</v>
      </c>
      <c r="J33" s="6">
        <f t="shared" si="2"/>
        <v>120</v>
      </c>
    </row>
    <row r="34" spans="7:10" x14ac:dyDescent="0.3">
      <c r="G34" s="19">
        <f t="shared" si="3"/>
        <v>2280</v>
      </c>
      <c r="H34" s="6">
        <f t="shared" si="0"/>
        <v>388</v>
      </c>
      <c r="I34" s="6">
        <f t="shared" si="1"/>
        <v>-268</v>
      </c>
      <c r="J34" s="6">
        <f t="shared" si="2"/>
        <v>120</v>
      </c>
    </row>
    <row r="35" spans="7:10" x14ac:dyDescent="0.3">
      <c r="G35" s="19">
        <f t="shared" si="3"/>
        <v>2290</v>
      </c>
      <c r="H35" s="6">
        <f t="shared" si="0"/>
        <v>378</v>
      </c>
      <c r="I35" s="6">
        <f t="shared" si="1"/>
        <v>-258</v>
      </c>
      <c r="J35" s="6">
        <f t="shared" si="2"/>
        <v>120</v>
      </c>
    </row>
    <row r="36" spans="7:10" x14ac:dyDescent="0.3">
      <c r="G36" s="19">
        <f t="shared" si="3"/>
        <v>2300</v>
      </c>
      <c r="H36" s="6">
        <f t="shared" si="0"/>
        <v>368</v>
      </c>
      <c r="I36" s="6">
        <f t="shared" si="1"/>
        <v>-248</v>
      </c>
      <c r="J36" s="6">
        <f t="shared" si="2"/>
        <v>120</v>
      </c>
    </row>
    <row r="37" spans="7:10" x14ac:dyDescent="0.3">
      <c r="G37" s="19">
        <f t="shared" si="3"/>
        <v>2310</v>
      </c>
      <c r="H37" s="6">
        <f t="shared" si="0"/>
        <v>358</v>
      </c>
      <c r="I37" s="6">
        <f t="shared" si="1"/>
        <v>-238</v>
      </c>
      <c r="J37" s="6">
        <f t="shared" si="2"/>
        <v>120</v>
      </c>
    </row>
    <row r="38" spans="7:10" x14ac:dyDescent="0.3">
      <c r="G38" s="19">
        <f t="shared" si="3"/>
        <v>2320</v>
      </c>
      <c r="H38" s="6">
        <f t="shared" si="0"/>
        <v>348</v>
      </c>
      <c r="I38" s="6">
        <f t="shared" si="1"/>
        <v>-228</v>
      </c>
      <c r="J38" s="6">
        <f t="shared" si="2"/>
        <v>120</v>
      </c>
    </row>
    <row r="39" spans="7:10" x14ac:dyDescent="0.3">
      <c r="G39" s="19">
        <f t="shared" si="3"/>
        <v>2330</v>
      </c>
      <c r="H39" s="6">
        <f t="shared" si="0"/>
        <v>338</v>
      </c>
      <c r="I39" s="6">
        <f t="shared" si="1"/>
        <v>-218</v>
      </c>
      <c r="J39" s="6">
        <f t="shared" si="2"/>
        <v>120</v>
      </c>
    </row>
    <row r="40" spans="7:10" x14ac:dyDescent="0.3">
      <c r="G40" s="19">
        <f t="shared" si="3"/>
        <v>2340</v>
      </c>
      <c r="H40" s="6">
        <f t="shared" si="0"/>
        <v>328</v>
      </c>
      <c r="I40" s="6">
        <f t="shared" si="1"/>
        <v>-208</v>
      </c>
      <c r="J40" s="6">
        <f t="shared" si="2"/>
        <v>120</v>
      </c>
    </row>
    <row r="41" spans="7:10" x14ac:dyDescent="0.3">
      <c r="G41" s="19">
        <f t="shared" si="3"/>
        <v>2350</v>
      </c>
      <c r="H41" s="6">
        <f t="shared" si="0"/>
        <v>318</v>
      </c>
      <c r="I41" s="6">
        <f t="shared" si="1"/>
        <v>-198</v>
      </c>
      <c r="J41" s="6">
        <f t="shared" si="2"/>
        <v>120</v>
      </c>
    </row>
    <row r="42" spans="7:10" x14ac:dyDescent="0.3">
      <c r="G42" s="19">
        <f t="shared" si="3"/>
        <v>2360</v>
      </c>
      <c r="H42" s="6">
        <f t="shared" si="0"/>
        <v>308</v>
      </c>
      <c r="I42" s="6">
        <f t="shared" si="1"/>
        <v>-188</v>
      </c>
      <c r="J42" s="6">
        <f t="shared" si="2"/>
        <v>120</v>
      </c>
    </row>
    <row r="43" spans="7:10" x14ac:dyDescent="0.3">
      <c r="G43" s="19">
        <f t="shared" si="3"/>
        <v>2370</v>
      </c>
      <c r="H43" s="6">
        <f t="shared" si="0"/>
        <v>298</v>
      </c>
      <c r="I43" s="6">
        <f t="shared" si="1"/>
        <v>-178</v>
      </c>
      <c r="J43" s="6">
        <f t="shared" si="2"/>
        <v>120</v>
      </c>
    </row>
    <row r="44" spans="7:10" x14ac:dyDescent="0.3">
      <c r="G44" s="19">
        <f t="shared" si="3"/>
        <v>2380</v>
      </c>
      <c r="H44" s="6">
        <f t="shared" si="0"/>
        <v>288</v>
      </c>
      <c r="I44" s="6">
        <f t="shared" si="1"/>
        <v>-168</v>
      </c>
      <c r="J44" s="6">
        <f t="shared" si="2"/>
        <v>120</v>
      </c>
    </row>
    <row r="45" spans="7:10" x14ac:dyDescent="0.3">
      <c r="G45" s="19">
        <f t="shared" si="3"/>
        <v>2390</v>
      </c>
      <c r="H45" s="6">
        <f t="shared" si="0"/>
        <v>278</v>
      </c>
      <c r="I45" s="6">
        <f t="shared" si="1"/>
        <v>-158</v>
      </c>
      <c r="J45" s="6">
        <f t="shared" si="2"/>
        <v>120</v>
      </c>
    </row>
    <row r="46" spans="7:10" x14ac:dyDescent="0.3">
      <c r="G46" s="19">
        <f t="shared" si="3"/>
        <v>2400</v>
      </c>
      <c r="H46" s="6">
        <f t="shared" si="0"/>
        <v>268</v>
      </c>
      <c r="I46" s="6">
        <f t="shared" si="1"/>
        <v>-148</v>
      </c>
      <c r="J46" s="6">
        <f t="shared" si="2"/>
        <v>120</v>
      </c>
    </row>
    <row r="47" spans="7:10" x14ac:dyDescent="0.3">
      <c r="G47" s="19">
        <f t="shared" si="3"/>
        <v>2410</v>
      </c>
      <c r="H47" s="6">
        <f t="shared" si="0"/>
        <v>258</v>
      </c>
      <c r="I47" s="6">
        <f t="shared" si="1"/>
        <v>-138</v>
      </c>
      <c r="J47" s="6">
        <f t="shared" si="2"/>
        <v>120</v>
      </c>
    </row>
    <row r="48" spans="7:10" x14ac:dyDescent="0.3">
      <c r="G48" s="19">
        <f t="shared" si="3"/>
        <v>2420</v>
      </c>
      <c r="H48" s="6">
        <f t="shared" si="0"/>
        <v>248</v>
      </c>
      <c r="I48" s="6">
        <f t="shared" si="1"/>
        <v>-128</v>
      </c>
      <c r="J48" s="6">
        <f t="shared" si="2"/>
        <v>120</v>
      </c>
    </row>
    <row r="49" spans="7:10" x14ac:dyDescent="0.3">
      <c r="G49" s="19">
        <f t="shared" si="3"/>
        <v>2430</v>
      </c>
      <c r="H49" s="6">
        <f t="shared" si="0"/>
        <v>238</v>
      </c>
      <c r="I49" s="6">
        <f t="shared" si="1"/>
        <v>-118</v>
      </c>
      <c r="J49" s="6">
        <f t="shared" si="2"/>
        <v>120</v>
      </c>
    </row>
    <row r="50" spans="7:10" x14ac:dyDescent="0.3">
      <c r="G50" s="19">
        <f t="shared" si="3"/>
        <v>2440</v>
      </c>
      <c r="H50" s="6">
        <f t="shared" si="0"/>
        <v>228</v>
      </c>
      <c r="I50" s="6">
        <f t="shared" si="1"/>
        <v>-108</v>
      </c>
      <c r="J50" s="6">
        <f t="shared" si="2"/>
        <v>120</v>
      </c>
    </row>
    <row r="51" spans="7:10" x14ac:dyDescent="0.3">
      <c r="G51" s="19">
        <f t="shared" si="3"/>
        <v>2450</v>
      </c>
      <c r="H51" s="6">
        <f t="shared" si="0"/>
        <v>218</v>
      </c>
      <c r="I51" s="6">
        <f t="shared" si="1"/>
        <v>-98</v>
      </c>
      <c r="J51" s="6">
        <f t="shared" si="2"/>
        <v>120</v>
      </c>
    </row>
    <row r="52" spans="7:10" x14ac:dyDescent="0.3">
      <c r="G52" s="19">
        <f t="shared" si="3"/>
        <v>2460</v>
      </c>
      <c r="H52" s="6">
        <f t="shared" si="0"/>
        <v>208</v>
      </c>
      <c r="I52" s="6">
        <f t="shared" si="1"/>
        <v>-88</v>
      </c>
      <c r="J52" s="6">
        <f t="shared" si="2"/>
        <v>120</v>
      </c>
    </row>
    <row r="53" spans="7:10" x14ac:dyDescent="0.3">
      <c r="G53" s="19">
        <f t="shared" si="3"/>
        <v>2470</v>
      </c>
      <c r="H53" s="6">
        <f t="shared" si="0"/>
        <v>198</v>
      </c>
      <c r="I53" s="6">
        <f t="shared" si="1"/>
        <v>-78</v>
      </c>
      <c r="J53" s="6">
        <f t="shared" si="2"/>
        <v>120</v>
      </c>
    </row>
    <row r="54" spans="7:10" x14ac:dyDescent="0.3">
      <c r="G54" s="19">
        <f t="shared" si="3"/>
        <v>2480</v>
      </c>
      <c r="H54" s="6">
        <f t="shared" si="0"/>
        <v>188</v>
      </c>
      <c r="I54" s="6">
        <f t="shared" si="1"/>
        <v>-68</v>
      </c>
      <c r="J54" s="6">
        <f t="shared" si="2"/>
        <v>120</v>
      </c>
    </row>
    <row r="55" spans="7:10" x14ac:dyDescent="0.3">
      <c r="G55" s="19">
        <f t="shared" si="3"/>
        <v>2490</v>
      </c>
      <c r="H55" s="6">
        <f t="shared" si="0"/>
        <v>178</v>
      </c>
      <c r="I55" s="6">
        <f t="shared" si="1"/>
        <v>-58</v>
      </c>
      <c r="J55" s="6">
        <f t="shared" si="2"/>
        <v>120</v>
      </c>
    </row>
    <row r="56" spans="7:10" x14ac:dyDescent="0.3">
      <c r="G56" s="19">
        <f t="shared" si="3"/>
        <v>2500</v>
      </c>
      <c r="H56" s="6">
        <f t="shared" si="0"/>
        <v>168</v>
      </c>
      <c r="I56" s="6">
        <f t="shared" si="1"/>
        <v>-48</v>
      </c>
      <c r="J56" s="6">
        <f t="shared" si="2"/>
        <v>120</v>
      </c>
    </row>
    <row r="57" spans="7:10" x14ac:dyDescent="0.3">
      <c r="G57" s="19">
        <f t="shared" si="3"/>
        <v>2510</v>
      </c>
      <c r="H57" s="6">
        <f t="shared" si="0"/>
        <v>158</v>
      </c>
      <c r="I57" s="6">
        <f t="shared" si="1"/>
        <v>-38</v>
      </c>
      <c r="J57" s="6">
        <f t="shared" si="2"/>
        <v>120</v>
      </c>
    </row>
    <row r="58" spans="7:10" x14ac:dyDescent="0.3">
      <c r="G58" s="19">
        <f t="shared" si="3"/>
        <v>2520</v>
      </c>
      <c r="H58" s="6">
        <f t="shared" si="0"/>
        <v>148</v>
      </c>
      <c r="I58" s="6">
        <f t="shared" si="1"/>
        <v>-28</v>
      </c>
      <c r="J58" s="6">
        <f t="shared" si="2"/>
        <v>120</v>
      </c>
    </row>
    <row r="59" spans="7:10" x14ac:dyDescent="0.3">
      <c r="G59" s="19">
        <f t="shared" si="3"/>
        <v>2530</v>
      </c>
      <c r="H59" s="6">
        <f t="shared" si="0"/>
        <v>138</v>
      </c>
      <c r="I59" s="6">
        <f t="shared" si="1"/>
        <v>-18</v>
      </c>
      <c r="J59" s="6">
        <f t="shared" si="2"/>
        <v>120</v>
      </c>
    </row>
    <row r="60" spans="7:10" x14ac:dyDescent="0.3">
      <c r="G60" s="19">
        <f t="shared" si="3"/>
        <v>2540</v>
      </c>
      <c r="H60" s="6">
        <f t="shared" si="0"/>
        <v>128</v>
      </c>
      <c r="I60" s="6">
        <f t="shared" si="1"/>
        <v>-8</v>
      </c>
      <c r="J60" s="6">
        <f t="shared" si="2"/>
        <v>120</v>
      </c>
    </row>
    <row r="61" spans="7:10" x14ac:dyDescent="0.3">
      <c r="G61" s="19">
        <f t="shared" si="3"/>
        <v>2550</v>
      </c>
      <c r="H61" s="6">
        <f t="shared" si="0"/>
        <v>118</v>
      </c>
      <c r="I61" s="6">
        <f t="shared" si="1"/>
        <v>2</v>
      </c>
      <c r="J61" s="6">
        <f t="shared" si="2"/>
        <v>120</v>
      </c>
    </row>
    <row r="62" spans="7:10" x14ac:dyDescent="0.3">
      <c r="G62" s="19">
        <f t="shared" si="3"/>
        <v>2560</v>
      </c>
      <c r="H62" s="6">
        <f t="shared" si="0"/>
        <v>108</v>
      </c>
      <c r="I62" s="6">
        <f t="shared" si="1"/>
        <v>12</v>
      </c>
      <c r="J62" s="6">
        <f t="shared" si="2"/>
        <v>120</v>
      </c>
    </row>
    <row r="63" spans="7:10" x14ac:dyDescent="0.3">
      <c r="G63" s="19">
        <f t="shared" si="3"/>
        <v>2570</v>
      </c>
      <c r="H63" s="6">
        <f t="shared" si="0"/>
        <v>98</v>
      </c>
      <c r="I63" s="6">
        <f t="shared" si="1"/>
        <v>22</v>
      </c>
      <c r="J63" s="6">
        <f t="shared" si="2"/>
        <v>120</v>
      </c>
    </row>
    <row r="64" spans="7:10" x14ac:dyDescent="0.3">
      <c r="G64" s="19">
        <f t="shared" si="3"/>
        <v>2580</v>
      </c>
      <c r="H64" s="6">
        <f t="shared" si="0"/>
        <v>88</v>
      </c>
      <c r="I64" s="6">
        <f t="shared" si="1"/>
        <v>32</v>
      </c>
      <c r="J64" s="6">
        <f t="shared" si="2"/>
        <v>120</v>
      </c>
    </row>
    <row r="65" spans="7:13" x14ac:dyDescent="0.3">
      <c r="G65" s="19">
        <f t="shared" si="3"/>
        <v>2590</v>
      </c>
      <c r="H65" s="6">
        <f t="shared" si="0"/>
        <v>78</v>
      </c>
      <c r="I65" s="6">
        <f t="shared" si="1"/>
        <v>42</v>
      </c>
      <c r="J65" s="6">
        <f t="shared" si="2"/>
        <v>120</v>
      </c>
    </row>
    <row r="66" spans="7:13" x14ac:dyDescent="0.3">
      <c r="G66" s="19">
        <f t="shared" si="3"/>
        <v>2600</v>
      </c>
      <c r="H66" s="6">
        <f t="shared" si="0"/>
        <v>68</v>
      </c>
      <c r="I66" s="6">
        <f t="shared" si="1"/>
        <v>52</v>
      </c>
      <c r="J66" s="6">
        <f t="shared" si="2"/>
        <v>120</v>
      </c>
    </row>
    <row r="67" spans="7:13" x14ac:dyDescent="0.3">
      <c r="G67" s="19">
        <f t="shared" si="3"/>
        <v>2610</v>
      </c>
      <c r="H67" s="6">
        <f t="shared" si="0"/>
        <v>58</v>
      </c>
      <c r="I67" s="6">
        <f t="shared" si="1"/>
        <v>52</v>
      </c>
      <c r="J67" s="6">
        <f t="shared" si="2"/>
        <v>110</v>
      </c>
    </row>
    <row r="68" spans="7:13" x14ac:dyDescent="0.3">
      <c r="G68" s="19">
        <f t="shared" si="3"/>
        <v>2620</v>
      </c>
      <c r="H68" s="6">
        <f t="shared" si="0"/>
        <v>48</v>
      </c>
      <c r="I68" s="6">
        <f t="shared" si="1"/>
        <v>52</v>
      </c>
      <c r="J68" s="6">
        <f t="shared" si="2"/>
        <v>100</v>
      </c>
    </row>
    <row r="69" spans="7:13" x14ac:dyDescent="0.3">
      <c r="G69" s="19">
        <f t="shared" si="3"/>
        <v>2630</v>
      </c>
      <c r="H69" s="6">
        <f t="shared" si="0"/>
        <v>38</v>
      </c>
      <c r="I69" s="6">
        <f t="shared" si="1"/>
        <v>52</v>
      </c>
      <c r="J69" s="6">
        <f t="shared" si="2"/>
        <v>90</v>
      </c>
    </row>
    <row r="70" spans="7:13" x14ac:dyDescent="0.3">
      <c r="G70" s="19">
        <f t="shared" si="3"/>
        <v>2640</v>
      </c>
      <c r="H70" s="6">
        <f t="shared" si="0"/>
        <v>28</v>
      </c>
      <c r="I70" s="6">
        <f t="shared" si="1"/>
        <v>52</v>
      </c>
      <c r="J70" s="6">
        <f t="shared" si="2"/>
        <v>80</v>
      </c>
    </row>
    <row r="71" spans="7:13" x14ac:dyDescent="0.3">
      <c r="G71" s="19">
        <f t="shared" si="3"/>
        <v>2650</v>
      </c>
      <c r="H71" s="6">
        <f t="shared" ref="H71:H134" si="4">(MAX($I$4-G71,0)-$J$4)</f>
        <v>18</v>
      </c>
      <c r="I71" s="6">
        <f t="shared" ref="I71:I134" si="5">(MAX($G$4-G71,0)-$H$4)*-1</f>
        <v>52</v>
      </c>
      <c r="J71" s="6">
        <f t="shared" ref="J71:J134" si="6">SUM(H71:I71)</f>
        <v>70</v>
      </c>
    </row>
    <row r="72" spans="7:13" x14ac:dyDescent="0.3">
      <c r="G72" s="19">
        <f t="shared" ref="G72:G135" si="7">G71+10</f>
        <v>2660</v>
      </c>
      <c r="H72" s="6">
        <f t="shared" si="4"/>
        <v>8</v>
      </c>
      <c r="I72" s="6">
        <f t="shared" si="5"/>
        <v>52</v>
      </c>
      <c r="J72" s="6">
        <f t="shared" si="6"/>
        <v>60</v>
      </c>
    </row>
    <row r="73" spans="7:13" x14ac:dyDescent="0.3">
      <c r="G73" s="19">
        <f t="shared" si="7"/>
        <v>2670</v>
      </c>
      <c r="H73" s="6">
        <f t="shared" si="4"/>
        <v>-2</v>
      </c>
      <c r="I73" s="6">
        <f t="shared" si="5"/>
        <v>52</v>
      </c>
      <c r="J73" s="6">
        <f t="shared" si="6"/>
        <v>50</v>
      </c>
    </row>
    <row r="74" spans="7:13" x14ac:dyDescent="0.3">
      <c r="G74" s="19">
        <f t="shared" si="7"/>
        <v>2680</v>
      </c>
      <c r="H74" s="6">
        <f t="shared" si="4"/>
        <v>-12</v>
      </c>
      <c r="I74" s="6">
        <f t="shared" si="5"/>
        <v>52</v>
      </c>
      <c r="J74" s="6">
        <f t="shared" si="6"/>
        <v>40</v>
      </c>
    </row>
    <row r="75" spans="7:13" x14ac:dyDescent="0.3">
      <c r="G75" s="19">
        <f t="shared" si="7"/>
        <v>2690</v>
      </c>
      <c r="H75" s="6">
        <f t="shared" si="4"/>
        <v>-22</v>
      </c>
      <c r="I75" s="6">
        <f t="shared" si="5"/>
        <v>52</v>
      </c>
      <c r="J75" s="6">
        <f t="shared" si="6"/>
        <v>30</v>
      </c>
    </row>
    <row r="76" spans="7:13" x14ac:dyDescent="0.3">
      <c r="G76" s="19">
        <f t="shared" si="7"/>
        <v>2700</v>
      </c>
      <c r="H76" s="6">
        <f t="shared" si="4"/>
        <v>-32</v>
      </c>
      <c r="I76" s="6">
        <f t="shared" si="5"/>
        <v>52</v>
      </c>
      <c r="J76" s="6">
        <f t="shared" si="6"/>
        <v>20</v>
      </c>
    </row>
    <row r="77" spans="7:13" x14ac:dyDescent="0.3">
      <c r="G77" s="19">
        <f t="shared" si="7"/>
        <v>2710</v>
      </c>
      <c r="H77" s="6">
        <f t="shared" si="4"/>
        <v>-42</v>
      </c>
      <c r="I77" s="6">
        <f t="shared" si="5"/>
        <v>52</v>
      </c>
      <c r="J77" s="6">
        <f t="shared" si="6"/>
        <v>10</v>
      </c>
    </row>
    <row r="78" spans="7:13" x14ac:dyDescent="0.3">
      <c r="G78" s="19">
        <f t="shared" si="7"/>
        <v>2720</v>
      </c>
      <c r="H78" s="6">
        <f t="shared" si="4"/>
        <v>-52</v>
      </c>
      <c r="I78" s="6">
        <f t="shared" si="5"/>
        <v>52</v>
      </c>
      <c r="J78" s="15">
        <f t="shared" si="6"/>
        <v>0</v>
      </c>
      <c r="K78" s="50" t="s">
        <v>129</v>
      </c>
      <c r="L78" s="50"/>
      <c r="M78" s="50"/>
    </row>
    <row r="79" spans="7:13" x14ac:dyDescent="0.3">
      <c r="G79" s="19">
        <f t="shared" si="7"/>
        <v>2730</v>
      </c>
      <c r="H79" s="6">
        <f t="shared" si="4"/>
        <v>-62</v>
      </c>
      <c r="I79" s="6">
        <f t="shared" si="5"/>
        <v>52</v>
      </c>
      <c r="J79" s="6">
        <f t="shared" si="6"/>
        <v>-10</v>
      </c>
    </row>
    <row r="80" spans="7:13" x14ac:dyDescent="0.3">
      <c r="G80" s="19">
        <f t="shared" si="7"/>
        <v>2740</v>
      </c>
      <c r="H80" s="6">
        <f t="shared" si="4"/>
        <v>-72</v>
      </c>
      <c r="I80" s="6">
        <f t="shared" si="5"/>
        <v>52</v>
      </c>
      <c r="J80" s="6">
        <f t="shared" si="6"/>
        <v>-20</v>
      </c>
    </row>
    <row r="81" spans="7:10" x14ac:dyDescent="0.3">
      <c r="G81" s="19">
        <f t="shared" si="7"/>
        <v>2750</v>
      </c>
      <c r="H81" s="6">
        <f t="shared" si="4"/>
        <v>-82</v>
      </c>
      <c r="I81" s="6">
        <f t="shared" si="5"/>
        <v>52</v>
      </c>
      <c r="J81" s="6">
        <f t="shared" si="6"/>
        <v>-30</v>
      </c>
    </row>
    <row r="82" spans="7:10" x14ac:dyDescent="0.3">
      <c r="G82" s="19">
        <f t="shared" si="7"/>
        <v>2760</v>
      </c>
      <c r="H82" s="6">
        <f t="shared" si="4"/>
        <v>-92</v>
      </c>
      <c r="I82" s="6">
        <f t="shared" si="5"/>
        <v>52</v>
      </c>
      <c r="J82" s="6">
        <f t="shared" si="6"/>
        <v>-40</v>
      </c>
    </row>
    <row r="83" spans="7:10" x14ac:dyDescent="0.3">
      <c r="G83" s="19">
        <f t="shared" si="7"/>
        <v>2770</v>
      </c>
      <c r="H83" s="6">
        <f t="shared" si="4"/>
        <v>-102</v>
      </c>
      <c r="I83" s="6">
        <f t="shared" si="5"/>
        <v>52</v>
      </c>
      <c r="J83" s="6">
        <f t="shared" si="6"/>
        <v>-50</v>
      </c>
    </row>
    <row r="84" spans="7:10" x14ac:dyDescent="0.3">
      <c r="G84" s="19">
        <f t="shared" si="7"/>
        <v>2780</v>
      </c>
      <c r="H84" s="6">
        <f t="shared" si="4"/>
        <v>-112</v>
      </c>
      <c r="I84" s="6">
        <f t="shared" si="5"/>
        <v>52</v>
      </c>
      <c r="J84" s="6">
        <f t="shared" si="6"/>
        <v>-60</v>
      </c>
    </row>
    <row r="85" spans="7:10" x14ac:dyDescent="0.3">
      <c r="G85" s="19">
        <f t="shared" si="7"/>
        <v>2790</v>
      </c>
      <c r="H85" s="6">
        <f t="shared" si="4"/>
        <v>-122</v>
      </c>
      <c r="I85" s="6">
        <f t="shared" si="5"/>
        <v>52</v>
      </c>
      <c r="J85" s="6">
        <f t="shared" si="6"/>
        <v>-70</v>
      </c>
    </row>
    <row r="86" spans="7:10" x14ac:dyDescent="0.3">
      <c r="G86" s="19">
        <f t="shared" si="7"/>
        <v>2800</v>
      </c>
      <c r="H86" s="6">
        <f t="shared" si="4"/>
        <v>-132</v>
      </c>
      <c r="I86" s="6">
        <f t="shared" si="5"/>
        <v>52</v>
      </c>
      <c r="J86" s="6">
        <f t="shared" si="6"/>
        <v>-80</v>
      </c>
    </row>
    <row r="87" spans="7:10" x14ac:dyDescent="0.3">
      <c r="G87" s="19">
        <f t="shared" si="7"/>
        <v>2810</v>
      </c>
      <c r="H87" s="6">
        <f t="shared" si="4"/>
        <v>-132</v>
      </c>
      <c r="I87" s="6">
        <f t="shared" si="5"/>
        <v>52</v>
      </c>
      <c r="J87" s="6">
        <f t="shared" si="6"/>
        <v>-80</v>
      </c>
    </row>
    <row r="88" spans="7:10" x14ac:dyDescent="0.3">
      <c r="G88" s="19">
        <f t="shared" si="7"/>
        <v>2820</v>
      </c>
      <c r="H88" s="6">
        <f t="shared" si="4"/>
        <v>-132</v>
      </c>
      <c r="I88" s="6">
        <f t="shared" si="5"/>
        <v>52</v>
      </c>
      <c r="J88" s="6">
        <f t="shared" si="6"/>
        <v>-80</v>
      </c>
    </row>
    <row r="89" spans="7:10" x14ac:dyDescent="0.3">
      <c r="G89" s="19">
        <f t="shared" si="7"/>
        <v>2830</v>
      </c>
      <c r="H89" s="6">
        <f t="shared" si="4"/>
        <v>-132</v>
      </c>
      <c r="I89" s="6">
        <f t="shared" si="5"/>
        <v>52</v>
      </c>
      <c r="J89" s="6">
        <f t="shared" si="6"/>
        <v>-80</v>
      </c>
    </row>
    <row r="90" spans="7:10" x14ac:dyDescent="0.3">
      <c r="G90" s="19">
        <f t="shared" si="7"/>
        <v>2840</v>
      </c>
      <c r="H90" s="6">
        <f t="shared" si="4"/>
        <v>-132</v>
      </c>
      <c r="I90" s="6">
        <f t="shared" si="5"/>
        <v>52</v>
      </c>
      <c r="J90" s="6">
        <f t="shared" si="6"/>
        <v>-80</v>
      </c>
    </row>
    <row r="91" spans="7:10" x14ac:dyDescent="0.3">
      <c r="G91" s="19">
        <f t="shared" si="7"/>
        <v>2850</v>
      </c>
      <c r="H91" s="6">
        <f t="shared" si="4"/>
        <v>-132</v>
      </c>
      <c r="I91" s="6">
        <f t="shared" si="5"/>
        <v>52</v>
      </c>
      <c r="J91" s="6">
        <f t="shared" si="6"/>
        <v>-80</v>
      </c>
    </row>
    <row r="92" spans="7:10" x14ac:dyDescent="0.3">
      <c r="G92" s="19">
        <f t="shared" si="7"/>
        <v>2860</v>
      </c>
      <c r="H92" s="6">
        <f t="shared" si="4"/>
        <v>-132</v>
      </c>
      <c r="I92" s="6">
        <f t="shared" si="5"/>
        <v>52</v>
      </c>
      <c r="J92" s="6">
        <f t="shared" si="6"/>
        <v>-80</v>
      </c>
    </row>
    <row r="93" spans="7:10" x14ac:dyDescent="0.3">
      <c r="G93" s="19">
        <f t="shared" si="7"/>
        <v>2870</v>
      </c>
      <c r="H93" s="6">
        <f t="shared" si="4"/>
        <v>-132</v>
      </c>
      <c r="I93" s="6">
        <f t="shared" si="5"/>
        <v>52</v>
      </c>
      <c r="J93" s="6">
        <f t="shared" si="6"/>
        <v>-80</v>
      </c>
    </row>
    <row r="94" spans="7:10" x14ac:dyDescent="0.3">
      <c r="G94" s="19">
        <f t="shared" si="7"/>
        <v>2880</v>
      </c>
      <c r="H94" s="6">
        <f t="shared" si="4"/>
        <v>-132</v>
      </c>
      <c r="I94" s="6">
        <f t="shared" si="5"/>
        <v>52</v>
      </c>
      <c r="J94" s="6">
        <f t="shared" si="6"/>
        <v>-80</v>
      </c>
    </row>
    <row r="95" spans="7:10" x14ac:dyDescent="0.3">
      <c r="G95" s="19">
        <f t="shared" si="7"/>
        <v>2890</v>
      </c>
      <c r="H95" s="6">
        <f t="shared" si="4"/>
        <v>-132</v>
      </c>
      <c r="I95" s="6">
        <f t="shared" si="5"/>
        <v>52</v>
      </c>
      <c r="J95" s="6">
        <f t="shared" si="6"/>
        <v>-80</v>
      </c>
    </row>
    <row r="96" spans="7:10" x14ac:dyDescent="0.3">
      <c r="G96" s="19">
        <f t="shared" si="7"/>
        <v>2900</v>
      </c>
      <c r="H96" s="6">
        <f t="shared" si="4"/>
        <v>-132</v>
      </c>
      <c r="I96" s="6">
        <f t="shared" si="5"/>
        <v>52</v>
      </c>
      <c r="J96" s="6">
        <f t="shared" si="6"/>
        <v>-80</v>
      </c>
    </row>
    <row r="97" spans="7:10" x14ac:dyDescent="0.3">
      <c r="G97" s="19">
        <f t="shared" si="7"/>
        <v>2910</v>
      </c>
      <c r="H97" s="6">
        <f t="shared" si="4"/>
        <v>-132</v>
      </c>
      <c r="I97" s="6">
        <f t="shared" si="5"/>
        <v>52</v>
      </c>
      <c r="J97" s="6">
        <f t="shared" si="6"/>
        <v>-80</v>
      </c>
    </row>
    <row r="98" spans="7:10" x14ac:dyDescent="0.3">
      <c r="G98" s="19">
        <f t="shared" si="7"/>
        <v>2920</v>
      </c>
      <c r="H98" s="6">
        <f t="shared" si="4"/>
        <v>-132</v>
      </c>
      <c r="I98" s="6">
        <f t="shared" si="5"/>
        <v>52</v>
      </c>
      <c r="J98" s="6">
        <f t="shared" si="6"/>
        <v>-80</v>
      </c>
    </row>
    <row r="99" spans="7:10" x14ac:dyDescent="0.3">
      <c r="G99" s="19">
        <f t="shared" si="7"/>
        <v>2930</v>
      </c>
      <c r="H99" s="6">
        <f t="shared" si="4"/>
        <v>-132</v>
      </c>
      <c r="I99" s="6">
        <f t="shared" si="5"/>
        <v>52</v>
      </c>
      <c r="J99" s="6">
        <f t="shared" si="6"/>
        <v>-80</v>
      </c>
    </row>
    <row r="100" spans="7:10" x14ac:dyDescent="0.3">
      <c r="G100" s="19">
        <f t="shared" si="7"/>
        <v>2940</v>
      </c>
      <c r="H100" s="6">
        <f t="shared" si="4"/>
        <v>-132</v>
      </c>
      <c r="I100" s="6">
        <f t="shared" si="5"/>
        <v>52</v>
      </c>
      <c r="J100" s="6">
        <f t="shared" si="6"/>
        <v>-80</v>
      </c>
    </row>
    <row r="101" spans="7:10" x14ac:dyDescent="0.3">
      <c r="G101" s="19">
        <f t="shared" si="7"/>
        <v>2950</v>
      </c>
      <c r="H101" s="6">
        <f t="shared" si="4"/>
        <v>-132</v>
      </c>
      <c r="I101" s="6">
        <f t="shared" si="5"/>
        <v>52</v>
      </c>
      <c r="J101" s="6">
        <f t="shared" si="6"/>
        <v>-80</v>
      </c>
    </row>
    <row r="102" spans="7:10" x14ac:dyDescent="0.3">
      <c r="G102" s="19">
        <f t="shared" si="7"/>
        <v>2960</v>
      </c>
      <c r="H102" s="6">
        <f t="shared" si="4"/>
        <v>-132</v>
      </c>
      <c r="I102" s="6">
        <f t="shared" si="5"/>
        <v>52</v>
      </c>
      <c r="J102" s="6">
        <f t="shared" si="6"/>
        <v>-80</v>
      </c>
    </row>
    <row r="103" spans="7:10" x14ac:dyDescent="0.3">
      <c r="G103" s="19">
        <f t="shared" si="7"/>
        <v>2970</v>
      </c>
      <c r="H103" s="6">
        <f t="shared" si="4"/>
        <v>-132</v>
      </c>
      <c r="I103" s="6">
        <f t="shared" si="5"/>
        <v>52</v>
      </c>
      <c r="J103" s="6">
        <f t="shared" si="6"/>
        <v>-80</v>
      </c>
    </row>
    <row r="104" spans="7:10" x14ac:dyDescent="0.3">
      <c r="G104" s="19">
        <f t="shared" si="7"/>
        <v>2980</v>
      </c>
      <c r="H104" s="6">
        <f t="shared" si="4"/>
        <v>-132</v>
      </c>
      <c r="I104" s="6">
        <f t="shared" si="5"/>
        <v>52</v>
      </c>
      <c r="J104" s="6">
        <f t="shared" si="6"/>
        <v>-80</v>
      </c>
    </row>
    <row r="105" spans="7:10" x14ac:dyDescent="0.3">
      <c r="G105" s="19">
        <f t="shared" si="7"/>
        <v>2990</v>
      </c>
      <c r="H105" s="6">
        <f t="shared" si="4"/>
        <v>-132</v>
      </c>
      <c r="I105" s="6">
        <f t="shared" si="5"/>
        <v>52</v>
      </c>
      <c r="J105" s="6">
        <f t="shared" si="6"/>
        <v>-80</v>
      </c>
    </row>
    <row r="106" spans="7:10" x14ac:dyDescent="0.3">
      <c r="G106" s="19">
        <f t="shared" si="7"/>
        <v>3000</v>
      </c>
      <c r="H106" s="6">
        <f t="shared" si="4"/>
        <v>-132</v>
      </c>
      <c r="I106" s="6">
        <f t="shared" si="5"/>
        <v>52</v>
      </c>
      <c r="J106" s="6">
        <f t="shared" si="6"/>
        <v>-80</v>
      </c>
    </row>
    <row r="107" spans="7:10" x14ac:dyDescent="0.3">
      <c r="G107" s="19">
        <f t="shared" si="7"/>
        <v>3010</v>
      </c>
      <c r="H107" s="6">
        <f t="shared" si="4"/>
        <v>-132</v>
      </c>
      <c r="I107" s="6">
        <f t="shared" si="5"/>
        <v>52</v>
      </c>
      <c r="J107" s="6">
        <f t="shared" si="6"/>
        <v>-80</v>
      </c>
    </row>
    <row r="108" spans="7:10" x14ac:dyDescent="0.3">
      <c r="G108" s="19">
        <f t="shared" si="7"/>
        <v>3020</v>
      </c>
      <c r="H108" s="6">
        <f t="shared" si="4"/>
        <v>-132</v>
      </c>
      <c r="I108" s="6">
        <f t="shared" si="5"/>
        <v>52</v>
      </c>
      <c r="J108" s="6">
        <f t="shared" si="6"/>
        <v>-80</v>
      </c>
    </row>
    <row r="109" spans="7:10" x14ac:dyDescent="0.3">
      <c r="G109" s="19">
        <f t="shared" si="7"/>
        <v>3030</v>
      </c>
      <c r="H109" s="6">
        <f t="shared" si="4"/>
        <v>-132</v>
      </c>
      <c r="I109" s="6">
        <f t="shared" si="5"/>
        <v>52</v>
      </c>
      <c r="J109" s="6">
        <f t="shared" si="6"/>
        <v>-80</v>
      </c>
    </row>
    <row r="110" spans="7:10" x14ac:dyDescent="0.3">
      <c r="G110" s="19">
        <f t="shared" si="7"/>
        <v>3040</v>
      </c>
      <c r="H110" s="6">
        <f t="shared" si="4"/>
        <v>-132</v>
      </c>
      <c r="I110" s="6">
        <f t="shared" si="5"/>
        <v>52</v>
      </c>
      <c r="J110" s="6">
        <f t="shared" si="6"/>
        <v>-80</v>
      </c>
    </row>
    <row r="111" spans="7:10" x14ac:dyDescent="0.3">
      <c r="G111" s="19">
        <f t="shared" si="7"/>
        <v>3050</v>
      </c>
      <c r="H111" s="6">
        <f t="shared" si="4"/>
        <v>-132</v>
      </c>
      <c r="I111" s="6">
        <f t="shared" si="5"/>
        <v>52</v>
      </c>
      <c r="J111" s="6">
        <f t="shared" si="6"/>
        <v>-80</v>
      </c>
    </row>
    <row r="112" spans="7:10" x14ac:dyDescent="0.3">
      <c r="G112" s="19">
        <f t="shared" si="7"/>
        <v>3060</v>
      </c>
      <c r="H112" s="6">
        <f t="shared" si="4"/>
        <v>-132</v>
      </c>
      <c r="I112" s="6">
        <f t="shared" si="5"/>
        <v>52</v>
      </c>
      <c r="J112" s="6">
        <f t="shared" si="6"/>
        <v>-80</v>
      </c>
    </row>
    <row r="113" spans="7:10" x14ac:dyDescent="0.3">
      <c r="G113" s="19">
        <f t="shared" si="7"/>
        <v>3070</v>
      </c>
      <c r="H113" s="6">
        <f t="shared" si="4"/>
        <v>-132</v>
      </c>
      <c r="I113" s="6">
        <f t="shared" si="5"/>
        <v>52</v>
      </c>
      <c r="J113" s="6">
        <f t="shared" si="6"/>
        <v>-80</v>
      </c>
    </row>
    <row r="114" spans="7:10" x14ac:dyDescent="0.3">
      <c r="G114" s="19">
        <f t="shared" si="7"/>
        <v>3080</v>
      </c>
      <c r="H114" s="6">
        <f t="shared" si="4"/>
        <v>-132</v>
      </c>
      <c r="I114" s="6">
        <f t="shared" si="5"/>
        <v>52</v>
      </c>
      <c r="J114" s="6">
        <f t="shared" si="6"/>
        <v>-80</v>
      </c>
    </row>
    <row r="115" spans="7:10" x14ac:dyDescent="0.3">
      <c r="G115" s="19">
        <f t="shared" si="7"/>
        <v>3090</v>
      </c>
      <c r="H115" s="6">
        <f t="shared" si="4"/>
        <v>-132</v>
      </c>
      <c r="I115" s="6">
        <f t="shared" si="5"/>
        <v>52</v>
      </c>
      <c r="J115" s="6">
        <f t="shared" si="6"/>
        <v>-80</v>
      </c>
    </row>
    <row r="116" spans="7:10" x14ac:dyDescent="0.3">
      <c r="G116" s="19">
        <f t="shared" si="7"/>
        <v>3100</v>
      </c>
      <c r="H116" s="6">
        <f t="shared" si="4"/>
        <v>-132</v>
      </c>
      <c r="I116" s="6">
        <f t="shared" si="5"/>
        <v>52</v>
      </c>
      <c r="J116" s="6">
        <f t="shared" si="6"/>
        <v>-80</v>
      </c>
    </row>
    <row r="117" spans="7:10" x14ac:dyDescent="0.3">
      <c r="G117" s="19">
        <f t="shared" si="7"/>
        <v>3110</v>
      </c>
      <c r="H117" s="6">
        <f t="shared" si="4"/>
        <v>-132</v>
      </c>
      <c r="I117" s="6">
        <f t="shared" si="5"/>
        <v>52</v>
      </c>
      <c r="J117" s="6">
        <f t="shared" si="6"/>
        <v>-80</v>
      </c>
    </row>
    <row r="118" spans="7:10" x14ac:dyDescent="0.3">
      <c r="G118" s="19">
        <f t="shared" si="7"/>
        <v>3120</v>
      </c>
      <c r="H118" s="6">
        <f t="shared" si="4"/>
        <v>-132</v>
      </c>
      <c r="I118" s="6">
        <f t="shared" si="5"/>
        <v>52</v>
      </c>
      <c r="J118" s="6">
        <f t="shared" si="6"/>
        <v>-80</v>
      </c>
    </row>
    <row r="119" spans="7:10" x14ac:dyDescent="0.3">
      <c r="G119" s="19">
        <f t="shared" si="7"/>
        <v>3130</v>
      </c>
      <c r="H119" s="6">
        <f t="shared" si="4"/>
        <v>-132</v>
      </c>
      <c r="I119" s="6">
        <f t="shared" si="5"/>
        <v>52</v>
      </c>
      <c r="J119" s="6">
        <f t="shared" si="6"/>
        <v>-80</v>
      </c>
    </row>
    <row r="120" spans="7:10" x14ac:dyDescent="0.3">
      <c r="G120" s="19">
        <f t="shared" si="7"/>
        <v>3140</v>
      </c>
      <c r="H120" s="6">
        <f t="shared" si="4"/>
        <v>-132</v>
      </c>
      <c r="I120" s="6">
        <f t="shared" si="5"/>
        <v>52</v>
      </c>
      <c r="J120" s="6">
        <f t="shared" si="6"/>
        <v>-80</v>
      </c>
    </row>
    <row r="121" spans="7:10" x14ac:dyDescent="0.3">
      <c r="G121" s="19">
        <f t="shared" si="7"/>
        <v>3150</v>
      </c>
      <c r="H121" s="6">
        <f t="shared" si="4"/>
        <v>-132</v>
      </c>
      <c r="I121" s="6">
        <f t="shared" si="5"/>
        <v>52</v>
      </c>
      <c r="J121" s="6">
        <f t="shared" si="6"/>
        <v>-80</v>
      </c>
    </row>
    <row r="122" spans="7:10" x14ac:dyDescent="0.3">
      <c r="G122" s="19">
        <f t="shared" si="7"/>
        <v>3160</v>
      </c>
      <c r="H122" s="6">
        <f t="shared" si="4"/>
        <v>-132</v>
      </c>
      <c r="I122" s="6">
        <f t="shared" si="5"/>
        <v>52</v>
      </c>
      <c r="J122" s="6">
        <f t="shared" si="6"/>
        <v>-80</v>
      </c>
    </row>
    <row r="123" spans="7:10" x14ac:dyDescent="0.3">
      <c r="G123" s="19">
        <f t="shared" si="7"/>
        <v>3170</v>
      </c>
      <c r="H123" s="6">
        <f t="shared" si="4"/>
        <v>-132</v>
      </c>
      <c r="I123" s="6">
        <f t="shared" si="5"/>
        <v>52</v>
      </c>
      <c r="J123" s="6">
        <f t="shared" si="6"/>
        <v>-80</v>
      </c>
    </row>
    <row r="124" spans="7:10" x14ac:dyDescent="0.3">
      <c r="G124" s="19">
        <f t="shared" si="7"/>
        <v>3180</v>
      </c>
      <c r="H124" s="6">
        <f t="shared" si="4"/>
        <v>-132</v>
      </c>
      <c r="I124" s="6">
        <f t="shared" si="5"/>
        <v>52</v>
      </c>
      <c r="J124" s="6">
        <f t="shared" si="6"/>
        <v>-80</v>
      </c>
    </row>
    <row r="125" spans="7:10" x14ac:dyDescent="0.3">
      <c r="G125" s="19">
        <f t="shared" si="7"/>
        <v>3190</v>
      </c>
      <c r="H125" s="6">
        <f t="shared" si="4"/>
        <v>-132</v>
      </c>
      <c r="I125" s="6">
        <f t="shared" si="5"/>
        <v>52</v>
      </c>
      <c r="J125" s="6">
        <f t="shared" si="6"/>
        <v>-80</v>
      </c>
    </row>
    <row r="126" spans="7:10" x14ac:dyDescent="0.3">
      <c r="G126" s="19">
        <f t="shared" si="7"/>
        <v>3200</v>
      </c>
      <c r="H126" s="6">
        <f t="shared" si="4"/>
        <v>-132</v>
      </c>
      <c r="I126" s="6">
        <f t="shared" si="5"/>
        <v>52</v>
      </c>
      <c r="J126" s="6">
        <f t="shared" si="6"/>
        <v>-80</v>
      </c>
    </row>
    <row r="127" spans="7:10" x14ac:dyDescent="0.3">
      <c r="G127" s="19">
        <f t="shared" si="7"/>
        <v>3210</v>
      </c>
      <c r="H127" s="6">
        <f t="shared" si="4"/>
        <v>-132</v>
      </c>
      <c r="I127" s="6">
        <f t="shared" si="5"/>
        <v>52</v>
      </c>
      <c r="J127" s="6">
        <f t="shared" si="6"/>
        <v>-80</v>
      </c>
    </row>
    <row r="128" spans="7:10" x14ac:dyDescent="0.3">
      <c r="G128" s="19">
        <f t="shared" si="7"/>
        <v>3220</v>
      </c>
      <c r="H128" s="6">
        <f t="shared" si="4"/>
        <v>-132</v>
      </c>
      <c r="I128" s="6">
        <f t="shared" si="5"/>
        <v>52</v>
      </c>
      <c r="J128" s="6">
        <f t="shared" si="6"/>
        <v>-80</v>
      </c>
    </row>
    <row r="129" spans="7:10" x14ac:dyDescent="0.3">
      <c r="G129" s="19">
        <f t="shared" si="7"/>
        <v>3230</v>
      </c>
      <c r="H129" s="6">
        <f t="shared" si="4"/>
        <v>-132</v>
      </c>
      <c r="I129" s="6">
        <f t="shared" si="5"/>
        <v>52</v>
      </c>
      <c r="J129" s="6">
        <f t="shared" si="6"/>
        <v>-80</v>
      </c>
    </row>
    <row r="130" spans="7:10" x14ac:dyDescent="0.3">
      <c r="G130" s="19">
        <f t="shared" si="7"/>
        <v>3240</v>
      </c>
      <c r="H130" s="6">
        <f t="shared" si="4"/>
        <v>-132</v>
      </c>
      <c r="I130" s="6">
        <f t="shared" si="5"/>
        <v>52</v>
      </c>
      <c r="J130" s="6">
        <f t="shared" si="6"/>
        <v>-80</v>
      </c>
    </row>
    <row r="131" spans="7:10" x14ac:dyDescent="0.3">
      <c r="G131" s="19">
        <f t="shared" si="7"/>
        <v>3250</v>
      </c>
      <c r="H131" s="6">
        <f t="shared" si="4"/>
        <v>-132</v>
      </c>
      <c r="I131" s="6">
        <f t="shared" si="5"/>
        <v>52</v>
      </c>
      <c r="J131" s="6">
        <f t="shared" si="6"/>
        <v>-80</v>
      </c>
    </row>
    <row r="132" spans="7:10" x14ac:dyDescent="0.3">
      <c r="G132" s="19">
        <f t="shared" si="7"/>
        <v>3260</v>
      </c>
      <c r="H132" s="6">
        <f t="shared" si="4"/>
        <v>-132</v>
      </c>
      <c r="I132" s="6">
        <f t="shared" si="5"/>
        <v>52</v>
      </c>
      <c r="J132" s="6">
        <f t="shared" si="6"/>
        <v>-80</v>
      </c>
    </row>
    <row r="133" spans="7:10" x14ac:dyDescent="0.3">
      <c r="G133" s="19">
        <f t="shared" si="7"/>
        <v>3270</v>
      </c>
      <c r="H133" s="6">
        <f t="shared" si="4"/>
        <v>-132</v>
      </c>
      <c r="I133" s="6">
        <f t="shared" si="5"/>
        <v>52</v>
      </c>
      <c r="J133" s="6">
        <f t="shared" si="6"/>
        <v>-80</v>
      </c>
    </row>
    <row r="134" spans="7:10" x14ac:dyDescent="0.3">
      <c r="G134" s="19">
        <f t="shared" si="7"/>
        <v>3280</v>
      </c>
      <c r="H134" s="6">
        <f t="shared" si="4"/>
        <v>-132</v>
      </c>
      <c r="I134" s="6">
        <f t="shared" si="5"/>
        <v>52</v>
      </c>
      <c r="J134" s="6">
        <f t="shared" si="6"/>
        <v>-80</v>
      </c>
    </row>
    <row r="135" spans="7:10" x14ac:dyDescent="0.3">
      <c r="G135" s="19">
        <f t="shared" si="7"/>
        <v>3290</v>
      </c>
      <c r="H135" s="6">
        <f t="shared" ref="H135:H156" si="8">(MAX($I$4-G135,0)-$J$4)</f>
        <v>-132</v>
      </c>
      <c r="I135" s="6">
        <f t="shared" ref="I135:I156" si="9">(MAX($G$4-G135,0)-$H$4)*-1</f>
        <v>52</v>
      </c>
      <c r="J135" s="6">
        <f t="shared" ref="J135:J156" si="10">SUM(H135:I135)</f>
        <v>-80</v>
      </c>
    </row>
    <row r="136" spans="7:10" x14ac:dyDescent="0.3">
      <c r="G136" s="19">
        <f t="shared" ref="G136:G156" si="11">G135+10</f>
        <v>3300</v>
      </c>
      <c r="H136" s="6">
        <f t="shared" si="8"/>
        <v>-132</v>
      </c>
      <c r="I136" s="6">
        <f t="shared" si="9"/>
        <v>52</v>
      </c>
      <c r="J136" s="6">
        <f t="shared" si="10"/>
        <v>-80</v>
      </c>
    </row>
    <row r="137" spans="7:10" x14ac:dyDescent="0.3">
      <c r="G137" s="19">
        <f t="shared" si="11"/>
        <v>3310</v>
      </c>
      <c r="H137" s="6">
        <f t="shared" si="8"/>
        <v>-132</v>
      </c>
      <c r="I137" s="6">
        <f t="shared" si="9"/>
        <v>52</v>
      </c>
      <c r="J137" s="6">
        <f t="shared" si="10"/>
        <v>-80</v>
      </c>
    </row>
    <row r="138" spans="7:10" x14ac:dyDescent="0.3">
      <c r="G138" s="19">
        <f t="shared" si="11"/>
        <v>3320</v>
      </c>
      <c r="H138" s="6">
        <f t="shared" si="8"/>
        <v>-132</v>
      </c>
      <c r="I138" s="6">
        <f t="shared" si="9"/>
        <v>52</v>
      </c>
      <c r="J138" s="6">
        <f t="shared" si="10"/>
        <v>-80</v>
      </c>
    </row>
    <row r="139" spans="7:10" x14ac:dyDescent="0.3">
      <c r="G139" s="19">
        <f t="shared" si="11"/>
        <v>3330</v>
      </c>
      <c r="H139" s="6">
        <f t="shared" si="8"/>
        <v>-132</v>
      </c>
      <c r="I139" s="6">
        <f t="shared" si="9"/>
        <v>52</v>
      </c>
      <c r="J139" s="6">
        <f t="shared" si="10"/>
        <v>-80</v>
      </c>
    </row>
    <row r="140" spans="7:10" x14ac:dyDescent="0.3">
      <c r="G140" s="19">
        <f t="shared" si="11"/>
        <v>3340</v>
      </c>
      <c r="H140" s="6">
        <f t="shared" si="8"/>
        <v>-132</v>
      </c>
      <c r="I140" s="6">
        <f t="shared" si="9"/>
        <v>52</v>
      </c>
      <c r="J140" s="6">
        <f t="shared" si="10"/>
        <v>-80</v>
      </c>
    </row>
    <row r="141" spans="7:10" x14ac:dyDescent="0.3">
      <c r="G141" s="19">
        <f t="shared" si="11"/>
        <v>3350</v>
      </c>
      <c r="H141" s="6">
        <f t="shared" si="8"/>
        <v>-132</v>
      </c>
      <c r="I141" s="6">
        <f t="shared" si="9"/>
        <v>52</v>
      </c>
      <c r="J141" s="6">
        <f t="shared" si="10"/>
        <v>-80</v>
      </c>
    </row>
    <row r="142" spans="7:10" x14ac:dyDescent="0.3">
      <c r="G142" s="19">
        <f t="shared" si="11"/>
        <v>3360</v>
      </c>
      <c r="H142" s="6">
        <f t="shared" si="8"/>
        <v>-132</v>
      </c>
      <c r="I142" s="6">
        <f t="shared" si="9"/>
        <v>52</v>
      </c>
      <c r="J142" s="6">
        <f t="shared" si="10"/>
        <v>-80</v>
      </c>
    </row>
    <row r="143" spans="7:10" x14ac:dyDescent="0.3">
      <c r="G143" s="19">
        <f t="shared" si="11"/>
        <v>3370</v>
      </c>
      <c r="H143" s="6">
        <f t="shared" si="8"/>
        <v>-132</v>
      </c>
      <c r="I143" s="6">
        <f t="shared" si="9"/>
        <v>52</v>
      </c>
      <c r="J143" s="6">
        <f t="shared" si="10"/>
        <v>-80</v>
      </c>
    </row>
    <row r="144" spans="7:10" x14ac:dyDescent="0.3">
      <c r="G144" s="19">
        <f t="shared" si="11"/>
        <v>3380</v>
      </c>
      <c r="H144" s="6">
        <f t="shared" si="8"/>
        <v>-132</v>
      </c>
      <c r="I144" s="6">
        <f t="shared" si="9"/>
        <v>52</v>
      </c>
      <c r="J144" s="6">
        <f t="shared" si="10"/>
        <v>-80</v>
      </c>
    </row>
    <row r="145" spans="7:10" x14ac:dyDescent="0.3">
      <c r="G145" s="19">
        <f t="shared" si="11"/>
        <v>3390</v>
      </c>
      <c r="H145" s="6">
        <f t="shared" si="8"/>
        <v>-132</v>
      </c>
      <c r="I145" s="6">
        <f t="shared" si="9"/>
        <v>52</v>
      </c>
      <c r="J145" s="6">
        <f t="shared" si="10"/>
        <v>-80</v>
      </c>
    </row>
    <row r="146" spans="7:10" x14ac:dyDescent="0.3">
      <c r="G146" s="19">
        <f t="shared" si="11"/>
        <v>3400</v>
      </c>
      <c r="H146" s="6">
        <f t="shared" si="8"/>
        <v>-132</v>
      </c>
      <c r="I146" s="6">
        <f t="shared" si="9"/>
        <v>52</v>
      </c>
      <c r="J146" s="6">
        <f t="shared" si="10"/>
        <v>-80</v>
      </c>
    </row>
    <row r="147" spans="7:10" x14ac:dyDescent="0.3">
      <c r="G147" s="19">
        <f t="shared" si="11"/>
        <v>3410</v>
      </c>
      <c r="H147" s="6">
        <f t="shared" si="8"/>
        <v>-132</v>
      </c>
      <c r="I147" s="6">
        <f t="shared" si="9"/>
        <v>52</v>
      </c>
      <c r="J147" s="6">
        <f t="shared" si="10"/>
        <v>-80</v>
      </c>
    </row>
    <row r="148" spans="7:10" x14ac:dyDescent="0.3">
      <c r="G148" s="19">
        <f t="shared" si="11"/>
        <v>3420</v>
      </c>
      <c r="H148" s="6">
        <f t="shared" si="8"/>
        <v>-132</v>
      </c>
      <c r="I148" s="6">
        <f t="shared" si="9"/>
        <v>52</v>
      </c>
      <c r="J148" s="6">
        <f t="shared" si="10"/>
        <v>-80</v>
      </c>
    </row>
    <row r="149" spans="7:10" x14ac:dyDescent="0.3">
      <c r="G149" s="19">
        <f t="shared" si="11"/>
        <v>3430</v>
      </c>
      <c r="H149" s="6">
        <f t="shared" si="8"/>
        <v>-132</v>
      </c>
      <c r="I149" s="6">
        <f t="shared" si="9"/>
        <v>52</v>
      </c>
      <c r="J149" s="6">
        <f t="shared" si="10"/>
        <v>-80</v>
      </c>
    </row>
    <row r="150" spans="7:10" x14ac:dyDescent="0.3">
      <c r="G150" s="19">
        <f t="shared" si="11"/>
        <v>3440</v>
      </c>
      <c r="H150" s="6">
        <f t="shared" si="8"/>
        <v>-132</v>
      </c>
      <c r="I150" s="6">
        <f t="shared" si="9"/>
        <v>52</v>
      </c>
      <c r="J150" s="6">
        <f t="shared" si="10"/>
        <v>-80</v>
      </c>
    </row>
    <row r="151" spans="7:10" x14ac:dyDescent="0.3">
      <c r="G151" s="19">
        <f t="shared" si="11"/>
        <v>3450</v>
      </c>
      <c r="H151" s="6">
        <f t="shared" si="8"/>
        <v>-132</v>
      </c>
      <c r="I151" s="6">
        <f t="shared" si="9"/>
        <v>52</v>
      </c>
      <c r="J151" s="6">
        <f t="shared" si="10"/>
        <v>-80</v>
      </c>
    </row>
    <row r="152" spans="7:10" x14ac:dyDescent="0.3">
      <c r="G152" s="19">
        <f t="shared" si="11"/>
        <v>3460</v>
      </c>
      <c r="H152" s="6">
        <f t="shared" si="8"/>
        <v>-132</v>
      </c>
      <c r="I152" s="6">
        <f t="shared" si="9"/>
        <v>52</v>
      </c>
      <c r="J152" s="6">
        <f t="shared" si="10"/>
        <v>-80</v>
      </c>
    </row>
    <row r="153" spans="7:10" x14ac:dyDescent="0.3">
      <c r="G153" s="19">
        <f t="shared" si="11"/>
        <v>3470</v>
      </c>
      <c r="H153" s="6">
        <f t="shared" si="8"/>
        <v>-132</v>
      </c>
      <c r="I153" s="6">
        <f t="shared" si="9"/>
        <v>52</v>
      </c>
      <c r="J153" s="6">
        <f t="shared" si="10"/>
        <v>-80</v>
      </c>
    </row>
    <row r="154" spans="7:10" x14ac:dyDescent="0.3">
      <c r="G154" s="19">
        <f t="shared" si="11"/>
        <v>3480</v>
      </c>
      <c r="H154" s="6">
        <f t="shared" si="8"/>
        <v>-132</v>
      </c>
      <c r="I154" s="6">
        <f t="shared" si="9"/>
        <v>52</v>
      </c>
      <c r="J154" s="6">
        <f t="shared" si="10"/>
        <v>-80</v>
      </c>
    </row>
    <row r="155" spans="7:10" x14ac:dyDescent="0.3">
      <c r="G155" s="19">
        <f t="shared" si="11"/>
        <v>3490</v>
      </c>
      <c r="H155" s="6">
        <f t="shared" si="8"/>
        <v>-132</v>
      </c>
      <c r="I155" s="6">
        <f t="shared" si="9"/>
        <v>52</v>
      </c>
      <c r="J155" s="6">
        <f t="shared" si="10"/>
        <v>-80</v>
      </c>
    </row>
    <row r="156" spans="7:10" x14ac:dyDescent="0.3">
      <c r="G156" s="19">
        <f t="shared" si="11"/>
        <v>3500</v>
      </c>
      <c r="H156" s="6">
        <f t="shared" si="8"/>
        <v>-132</v>
      </c>
      <c r="I156" s="6">
        <f t="shared" si="9"/>
        <v>52</v>
      </c>
      <c r="J156" s="6">
        <f t="shared" si="10"/>
        <v>-80</v>
      </c>
    </row>
    <row r="157" spans="7:10" x14ac:dyDescent="0.3">
      <c r="G157" s="16"/>
    </row>
    <row r="158" spans="7:10" x14ac:dyDescent="0.3">
      <c r="G158" s="16"/>
    </row>
    <row r="159" spans="7:10" x14ac:dyDescent="0.3">
      <c r="G159" s="16"/>
    </row>
    <row r="160" spans="7:10" x14ac:dyDescent="0.3">
      <c r="G160" s="16"/>
    </row>
    <row r="161" spans="7:7" x14ac:dyDescent="0.3">
      <c r="G161" s="16"/>
    </row>
    <row r="162" spans="7:7" x14ac:dyDescent="0.3">
      <c r="G162" s="16"/>
    </row>
    <row r="163" spans="7:7" x14ac:dyDescent="0.3">
      <c r="G163" s="16"/>
    </row>
    <row r="164" spans="7:7" x14ac:dyDescent="0.3">
      <c r="G164" s="16"/>
    </row>
    <row r="165" spans="7:7" x14ac:dyDescent="0.3">
      <c r="G165" s="16"/>
    </row>
    <row r="166" spans="7:7" x14ac:dyDescent="0.3">
      <c r="G166" s="16"/>
    </row>
    <row r="167" spans="7:7" x14ac:dyDescent="0.3">
      <c r="G167" s="16"/>
    </row>
    <row r="168" spans="7:7" x14ac:dyDescent="0.3">
      <c r="G168" s="16"/>
    </row>
    <row r="169" spans="7:7" x14ac:dyDescent="0.3">
      <c r="G169" s="16"/>
    </row>
    <row r="170" spans="7:7" x14ac:dyDescent="0.3">
      <c r="G170" s="16"/>
    </row>
    <row r="171" spans="7:7" x14ac:dyDescent="0.3">
      <c r="G171" s="16"/>
    </row>
    <row r="172" spans="7:7" x14ac:dyDescent="0.3">
      <c r="G172" s="16"/>
    </row>
    <row r="173" spans="7:7" x14ac:dyDescent="0.3">
      <c r="G173" s="16"/>
    </row>
    <row r="174" spans="7:7" x14ac:dyDescent="0.3">
      <c r="G174" s="16"/>
    </row>
    <row r="175" spans="7:7" x14ac:dyDescent="0.3">
      <c r="G175" s="16"/>
    </row>
    <row r="176" spans="7:7" x14ac:dyDescent="0.3">
      <c r="G176" s="16"/>
    </row>
    <row r="177" spans="7:7" x14ac:dyDescent="0.3">
      <c r="G177" s="16"/>
    </row>
    <row r="178" spans="7:7" x14ac:dyDescent="0.3">
      <c r="G178" s="16"/>
    </row>
    <row r="179" spans="7:7" x14ac:dyDescent="0.3">
      <c r="G179" s="16"/>
    </row>
    <row r="180" spans="7:7" x14ac:dyDescent="0.3">
      <c r="G180" s="16"/>
    </row>
    <row r="181" spans="7:7" x14ac:dyDescent="0.3">
      <c r="G181" s="16"/>
    </row>
    <row r="182" spans="7:7" x14ac:dyDescent="0.3">
      <c r="G182" s="16"/>
    </row>
    <row r="183" spans="7:7" x14ac:dyDescent="0.3">
      <c r="G183" s="16"/>
    </row>
    <row r="184" spans="7:7" x14ac:dyDescent="0.3">
      <c r="G184" s="16"/>
    </row>
    <row r="185" spans="7:7" x14ac:dyDescent="0.3">
      <c r="G185" s="16"/>
    </row>
    <row r="186" spans="7:7" x14ac:dyDescent="0.3">
      <c r="G186" s="16"/>
    </row>
  </sheetData>
  <sheetProtection algorithmName="SHA-512" hashValue="T7j0G630UMy8ok1l6bZHiDRpG91sg1RGY6mRsIopcjntC1/GK+S0OSL7rPs1TUCklyN5PhO5NreVtsxtg44Rxg==" saltValue="hhJyJWbEZcV4sr4w66rrYg==" spinCount="100000" sheet="1" objects="1" scenarios="1"/>
  <mergeCells count="7">
    <mergeCell ref="L13:O17"/>
    <mergeCell ref="K78:M78"/>
    <mergeCell ref="B3:E8"/>
    <mergeCell ref="B10:E12"/>
    <mergeCell ref="L3:O3"/>
    <mergeCell ref="L4:O5"/>
    <mergeCell ref="L7:O11"/>
  </mergeCells>
  <conditionalFormatting sqref="H6:H156">
    <cfRule type="cellIs" dxfId="29" priority="4" operator="lessThan">
      <formula>$G$9</formula>
    </cfRule>
    <cfRule type="cellIs" dxfId="28" priority="5" operator="greaterThan">
      <formula>0</formula>
    </cfRule>
  </conditionalFormatting>
  <conditionalFormatting sqref="I6:J156">
    <cfRule type="cellIs" dxfId="27" priority="1" operator="lessThan">
      <formula>0</formula>
    </cfRule>
    <cfRule type="cellIs" dxfId="26" priority="2" operator="lessThan">
      <formula>#REF!</formula>
    </cfRule>
    <cfRule type="cellIs" dxfId="25" priority="3" operator="greaterThan">
      <formula>0</formula>
    </cfRule>
  </conditionalFormatting>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1501A-73BD-46D0-AAEC-8AB04B6EB0E6}">
  <sheetPr codeName="Sheet18"/>
  <dimension ref="B2:R48"/>
  <sheetViews>
    <sheetView topLeftCell="D13" zoomScale="91" workbookViewId="0">
      <selection activeCell="N36" sqref="N36"/>
    </sheetView>
  </sheetViews>
  <sheetFormatPr defaultRowHeight="14.4" x14ac:dyDescent="0.3"/>
  <cols>
    <col min="8" max="8" width="11.21875" bestFit="1" customWidth="1"/>
    <col min="9" max="10" width="12.109375" bestFit="1" customWidth="1"/>
    <col min="11" max="13" width="11.77734375" bestFit="1" customWidth="1"/>
  </cols>
  <sheetData>
    <row r="2" spans="2:18" ht="15" thickBot="1" x14ac:dyDescent="0.35">
      <c r="H2" s="27" t="s">
        <v>133</v>
      </c>
      <c r="I2" s="3"/>
      <c r="J2" s="27" t="s">
        <v>14</v>
      </c>
      <c r="K2" s="3"/>
      <c r="L2" s="27" t="s">
        <v>15</v>
      </c>
      <c r="M2" s="3"/>
    </row>
    <row r="3" spans="2:18" x14ac:dyDescent="0.3">
      <c r="B3" s="136" t="s">
        <v>130</v>
      </c>
      <c r="C3" s="137"/>
      <c r="D3" s="137"/>
      <c r="E3" s="137"/>
      <c r="F3" s="138"/>
      <c r="H3" s="1" t="s">
        <v>52</v>
      </c>
      <c r="I3" s="1" t="s">
        <v>132</v>
      </c>
      <c r="J3" s="1" t="s">
        <v>52</v>
      </c>
      <c r="K3" s="1" t="s">
        <v>105</v>
      </c>
      <c r="L3" s="1" t="s">
        <v>52</v>
      </c>
      <c r="M3" s="1" t="s">
        <v>105</v>
      </c>
      <c r="O3" s="51" t="s">
        <v>71</v>
      </c>
      <c r="P3" s="52"/>
      <c r="Q3" s="52"/>
      <c r="R3" s="53"/>
    </row>
    <row r="4" spans="2:18" x14ac:dyDescent="0.3">
      <c r="B4" s="105"/>
      <c r="C4" s="106"/>
      <c r="D4" s="106"/>
      <c r="E4" s="106"/>
      <c r="F4" s="107"/>
      <c r="H4" s="19">
        <v>22000</v>
      </c>
      <c r="I4" s="19">
        <v>97.9</v>
      </c>
      <c r="J4" s="19">
        <v>21900</v>
      </c>
      <c r="K4" s="19">
        <v>141.55000000000001</v>
      </c>
      <c r="L4" s="19">
        <v>22100</v>
      </c>
      <c r="M4" s="19">
        <v>64</v>
      </c>
      <c r="O4" s="105" t="s">
        <v>136</v>
      </c>
      <c r="P4" s="173"/>
      <c r="Q4" s="173"/>
      <c r="R4" s="174"/>
    </row>
    <row r="5" spans="2:18" x14ac:dyDescent="0.3">
      <c r="B5" s="105"/>
      <c r="C5" s="106"/>
      <c r="D5" s="106"/>
      <c r="E5" s="106"/>
      <c r="F5" s="107"/>
      <c r="H5" s="1" t="s">
        <v>4</v>
      </c>
      <c r="I5" s="17" t="str">
        <f>K3</f>
        <v>CALL BUY</v>
      </c>
      <c r="J5" s="1" t="str">
        <f>I3</f>
        <v xml:space="preserve"> 2 CALL SELL  </v>
      </c>
      <c r="K5" s="1" t="str">
        <f>M3</f>
        <v>CALL BUY</v>
      </c>
      <c r="L5" s="1" t="s">
        <v>37</v>
      </c>
      <c r="O5" s="223"/>
      <c r="P5" s="173"/>
      <c r="Q5" s="173"/>
      <c r="R5" s="174"/>
    </row>
    <row r="6" spans="2:18" ht="15" thickBot="1" x14ac:dyDescent="0.35">
      <c r="B6" s="105"/>
      <c r="C6" s="106"/>
      <c r="D6" s="106"/>
      <c r="E6" s="106"/>
      <c r="F6" s="107"/>
      <c r="H6" s="19">
        <v>21000</v>
      </c>
      <c r="I6" s="6">
        <f>(MAX(H6-$J$4,0)-$K$4)</f>
        <v>-141.55000000000001</v>
      </c>
      <c r="J6" s="6">
        <f>((MAX(H6-$H$4,0)-$I$4)*-1)*2</f>
        <v>195.8</v>
      </c>
      <c r="K6" s="6">
        <f>(MAX(H6-$L$4,0)-$M$4)</f>
        <v>-64</v>
      </c>
      <c r="L6" s="6">
        <f>SUM(I6:K6)</f>
        <v>-9.75</v>
      </c>
      <c r="O6" s="175"/>
      <c r="P6" s="176"/>
      <c r="Q6" s="176"/>
      <c r="R6" s="177"/>
    </row>
    <row r="7" spans="2:18" ht="15" thickBot="1" x14ac:dyDescent="0.35">
      <c r="B7" s="105"/>
      <c r="C7" s="106"/>
      <c r="D7" s="106"/>
      <c r="E7" s="106"/>
      <c r="F7" s="107"/>
      <c r="H7" s="19">
        <f>H6+50</f>
        <v>21050</v>
      </c>
      <c r="I7" s="6">
        <f t="shared" ref="I7:I25" si="0">(MAX(H7-$J$4,0)-$K$4)</f>
        <v>-141.55000000000001</v>
      </c>
      <c r="J7" s="6">
        <f t="shared" ref="J7:J25" si="1">((MAX(H7-$H$4,0)-$I$4)*-1)*2</f>
        <v>195.8</v>
      </c>
      <c r="K7" s="6">
        <f t="shared" ref="K7:K25" si="2">(MAX(H7-$L$4,0)-$M$4)</f>
        <v>-64</v>
      </c>
      <c r="L7" s="6">
        <f t="shared" ref="L7:L25" si="3">SUM(I7:K7)</f>
        <v>-9.75</v>
      </c>
    </row>
    <row r="8" spans="2:18" ht="15" thickBot="1" x14ac:dyDescent="0.35">
      <c r="B8" s="105"/>
      <c r="C8" s="106"/>
      <c r="D8" s="106"/>
      <c r="E8" s="106"/>
      <c r="F8" s="107"/>
      <c r="H8" s="19">
        <f t="shared" ref="H8:H24" si="4">H7+50</f>
        <v>21100</v>
      </c>
      <c r="I8" s="6">
        <f t="shared" si="0"/>
        <v>-141.55000000000001</v>
      </c>
      <c r="J8" s="6">
        <f t="shared" si="1"/>
        <v>195.8</v>
      </c>
      <c r="K8" s="6">
        <f t="shared" si="2"/>
        <v>-64</v>
      </c>
      <c r="L8" s="6">
        <f t="shared" si="3"/>
        <v>-9.75</v>
      </c>
      <c r="O8" s="151" t="s">
        <v>137</v>
      </c>
      <c r="P8" s="152"/>
      <c r="Q8" s="152"/>
      <c r="R8" s="153"/>
    </row>
    <row r="9" spans="2:18" ht="15" thickBot="1" x14ac:dyDescent="0.35">
      <c r="B9" s="105"/>
      <c r="C9" s="106"/>
      <c r="D9" s="106"/>
      <c r="E9" s="106"/>
      <c r="F9" s="107"/>
      <c r="H9" s="19">
        <f t="shared" si="4"/>
        <v>21150</v>
      </c>
      <c r="I9" s="6">
        <f t="shared" si="0"/>
        <v>-141.55000000000001</v>
      </c>
      <c r="J9" s="6">
        <f t="shared" si="1"/>
        <v>195.8</v>
      </c>
      <c r="K9" s="6">
        <f t="shared" si="2"/>
        <v>-64</v>
      </c>
      <c r="L9" s="6">
        <f t="shared" si="3"/>
        <v>-9.75</v>
      </c>
    </row>
    <row r="10" spans="2:18" ht="15" thickBot="1" x14ac:dyDescent="0.35">
      <c r="B10" s="108"/>
      <c r="C10" s="109"/>
      <c r="D10" s="109"/>
      <c r="E10" s="109"/>
      <c r="F10" s="110"/>
      <c r="H10" s="19">
        <f t="shared" si="4"/>
        <v>21200</v>
      </c>
      <c r="I10" s="6">
        <f t="shared" si="0"/>
        <v>-141.55000000000001</v>
      </c>
      <c r="J10" s="6">
        <f t="shared" si="1"/>
        <v>195.8</v>
      </c>
      <c r="K10" s="6">
        <f t="shared" si="2"/>
        <v>-64</v>
      </c>
      <c r="L10" s="6">
        <f t="shared" si="3"/>
        <v>-9.75</v>
      </c>
      <c r="O10" s="139" t="s">
        <v>138</v>
      </c>
      <c r="P10" s="140"/>
      <c r="Q10" s="140"/>
      <c r="R10" s="141"/>
    </row>
    <row r="11" spans="2:18" ht="15" thickBot="1" x14ac:dyDescent="0.35">
      <c r="H11" s="19">
        <f t="shared" si="4"/>
        <v>21250</v>
      </c>
      <c r="I11" s="6">
        <f t="shared" si="0"/>
        <v>-141.55000000000001</v>
      </c>
      <c r="J11" s="6">
        <f t="shared" si="1"/>
        <v>195.8</v>
      </c>
      <c r="K11" s="6">
        <f t="shared" si="2"/>
        <v>-64</v>
      </c>
      <c r="L11" s="6">
        <f t="shared" si="3"/>
        <v>-9.75</v>
      </c>
      <c r="O11" s="142"/>
      <c r="P11" s="143"/>
      <c r="Q11" s="143"/>
      <c r="R11" s="144"/>
    </row>
    <row r="12" spans="2:18" ht="15" thickBot="1" x14ac:dyDescent="0.35">
      <c r="B12" s="41" t="s">
        <v>131</v>
      </c>
      <c r="C12" s="215"/>
      <c r="D12" s="215"/>
      <c r="E12" s="215"/>
      <c r="F12" s="216"/>
      <c r="H12" s="19">
        <f t="shared" si="4"/>
        <v>21300</v>
      </c>
      <c r="I12" s="6">
        <f t="shared" si="0"/>
        <v>-141.55000000000001</v>
      </c>
      <c r="J12" s="6">
        <f t="shared" si="1"/>
        <v>195.8</v>
      </c>
      <c r="K12" s="6">
        <f t="shared" si="2"/>
        <v>-64</v>
      </c>
      <c r="L12" s="6">
        <f t="shared" si="3"/>
        <v>-9.75</v>
      </c>
      <c r="O12" s="145"/>
      <c r="P12" s="146"/>
      <c r="Q12" s="146"/>
      <c r="R12" s="147"/>
    </row>
    <row r="13" spans="2:18" x14ac:dyDescent="0.3">
      <c r="B13" s="217"/>
      <c r="C13" s="218"/>
      <c r="D13" s="218"/>
      <c r="E13" s="218"/>
      <c r="F13" s="219"/>
      <c r="H13" s="19">
        <f t="shared" si="4"/>
        <v>21350</v>
      </c>
      <c r="I13" s="6">
        <f t="shared" si="0"/>
        <v>-141.55000000000001</v>
      </c>
      <c r="J13" s="6">
        <f t="shared" si="1"/>
        <v>195.8</v>
      </c>
      <c r="K13" s="6">
        <f t="shared" si="2"/>
        <v>-64</v>
      </c>
      <c r="L13" s="6">
        <f t="shared" si="3"/>
        <v>-9.75</v>
      </c>
    </row>
    <row r="14" spans="2:18" ht="15" thickBot="1" x14ac:dyDescent="0.35">
      <c r="B14" s="220"/>
      <c r="C14" s="221"/>
      <c r="D14" s="221"/>
      <c r="E14" s="221"/>
      <c r="F14" s="222"/>
      <c r="H14" s="19">
        <f t="shared" si="4"/>
        <v>21400</v>
      </c>
      <c r="I14" s="6">
        <f t="shared" si="0"/>
        <v>-141.55000000000001</v>
      </c>
      <c r="J14" s="6">
        <f t="shared" si="1"/>
        <v>195.8</v>
      </c>
      <c r="K14" s="6">
        <f t="shared" si="2"/>
        <v>-64</v>
      </c>
      <c r="L14" s="6">
        <f t="shared" si="3"/>
        <v>-9.75</v>
      </c>
    </row>
    <row r="15" spans="2:18" x14ac:dyDescent="0.3">
      <c r="H15" s="19">
        <f t="shared" si="4"/>
        <v>21450</v>
      </c>
      <c r="I15" s="6">
        <f t="shared" si="0"/>
        <v>-141.55000000000001</v>
      </c>
      <c r="J15" s="6">
        <f t="shared" si="1"/>
        <v>195.8</v>
      </c>
      <c r="K15" s="6">
        <f t="shared" si="2"/>
        <v>-64</v>
      </c>
      <c r="L15" s="6">
        <f t="shared" si="3"/>
        <v>-9.75</v>
      </c>
    </row>
    <row r="16" spans="2:18" x14ac:dyDescent="0.3">
      <c r="H16" s="19">
        <f t="shared" si="4"/>
        <v>21500</v>
      </c>
      <c r="I16" s="6">
        <f t="shared" si="0"/>
        <v>-141.55000000000001</v>
      </c>
      <c r="J16" s="6">
        <f t="shared" si="1"/>
        <v>195.8</v>
      </c>
      <c r="K16" s="6">
        <f t="shared" si="2"/>
        <v>-64</v>
      </c>
      <c r="L16" s="6">
        <f t="shared" si="3"/>
        <v>-9.75</v>
      </c>
    </row>
    <row r="17" spans="8:14" x14ac:dyDescent="0.3">
      <c r="H17" s="19">
        <f t="shared" si="4"/>
        <v>21550</v>
      </c>
      <c r="I17" s="6">
        <f t="shared" si="0"/>
        <v>-141.55000000000001</v>
      </c>
      <c r="J17" s="6">
        <f t="shared" si="1"/>
        <v>195.8</v>
      </c>
      <c r="K17" s="6">
        <f t="shared" si="2"/>
        <v>-64</v>
      </c>
      <c r="L17" s="6">
        <f t="shared" si="3"/>
        <v>-9.75</v>
      </c>
    </row>
    <row r="18" spans="8:14" x14ac:dyDescent="0.3">
      <c r="H18" s="19">
        <f t="shared" si="4"/>
        <v>21600</v>
      </c>
      <c r="I18" s="6">
        <f t="shared" si="0"/>
        <v>-141.55000000000001</v>
      </c>
      <c r="J18" s="6">
        <f t="shared" si="1"/>
        <v>195.8</v>
      </c>
      <c r="K18" s="6">
        <f t="shared" si="2"/>
        <v>-64</v>
      </c>
      <c r="L18" s="6">
        <f t="shared" si="3"/>
        <v>-9.75</v>
      </c>
    </row>
    <row r="19" spans="8:14" x14ac:dyDescent="0.3">
      <c r="H19" s="19">
        <f t="shared" si="4"/>
        <v>21650</v>
      </c>
      <c r="I19" s="6">
        <f t="shared" si="0"/>
        <v>-141.55000000000001</v>
      </c>
      <c r="J19" s="6">
        <f t="shared" si="1"/>
        <v>195.8</v>
      </c>
      <c r="K19" s="6">
        <f t="shared" si="2"/>
        <v>-64</v>
      </c>
      <c r="L19" s="6">
        <f t="shared" si="3"/>
        <v>-9.75</v>
      </c>
    </row>
    <row r="20" spans="8:14" x14ac:dyDescent="0.3">
      <c r="H20" s="19">
        <f t="shared" si="4"/>
        <v>21700</v>
      </c>
      <c r="I20" s="6">
        <f t="shared" si="0"/>
        <v>-141.55000000000001</v>
      </c>
      <c r="J20" s="6">
        <f t="shared" si="1"/>
        <v>195.8</v>
      </c>
      <c r="K20" s="6">
        <f t="shared" si="2"/>
        <v>-64</v>
      </c>
      <c r="L20" s="6">
        <f t="shared" si="3"/>
        <v>-9.75</v>
      </c>
    </row>
    <row r="21" spans="8:14" x14ac:dyDescent="0.3">
      <c r="H21" s="19">
        <f t="shared" si="4"/>
        <v>21750</v>
      </c>
      <c r="I21" s="6">
        <f t="shared" si="0"/>
        <v>-141.55000000000001</v>
      </c>
      <c r="J21" s="6">
        <f t="shared" si="1"/>
        <v>195.8</v>
      </c>
      <c r="K21" s="6">
        <f t="shared" si="2"/>
        <v>-64</v>
      </c>
      <c r="L21" s="6">
        <f t="shared" si="3"/>
        <v>-9.75</v>
      </c>
    </row>
    <row r="22" spans="8:14" x14ac:dyDescent="0.3">
      <c r="H22" s="19">
        <f t="shared" si="4"/>
        <v>21800</v>
      </c>
      <c r="I22" s="6">
        <f t="shared" si="0"/>
        <v>-141.55000000000001</v>
      </c>
      <c r="J22" s="6">
        <f t="shared" si="1"/>
        <v>195.8</v>
      </c>
      <c r="K22" s="6">
        <f t="shared" si="2"/>
        <v>-64</v>
      </c>
      <c r="L22" s="6">
        <f t="shared" si="3"/>
        <v>-9.75</v>
      </c>
    </row>
    <row r="23" spans="8:14" x14ac:dyDescent="0.3">
      <c r="H23" s="19">
        <f t="shared" si="4"/>
        <v>21850</v>
      </c>
      <c r="I23" s="6">
        <f t="shared" si="0"/>
        <v>-141.55000000000001</v>
      </c>
      <c r="J23" s="6">
        <f t="shared" si="1"/>
        <v>195.8</v>
      </c>
      <c r="K23" s="6">
        <f t="shared" si="2"/>
        <v>-64</v>
      </c>
      <c r="L23" s="6">
        <f t="shared" si="3"/>
        <v>-9.75</v>
      </c>
    </row>
    <row r="24" spans="8:14" x14ac:dyDescent="0.3">
      <c r="H24" s="19">
        <f t="shared" si="4"/>
        <v>21900</v>
      </c>
      <c r="I24" s="6">
        <f t="shared" si="0"/>
        <v>-141.55000000000001</v>
      </c>
      <c r="J24" s="6">
        <f t="shared" si="1"/>
        <v>195.8</v>
      </c>
      <c r="K24" s="6">
        <f t="shared" si="2"/>
        <v>-64</v>
      </c>
      <c r="L24" s="6">
        <f t="shared" si="3"/>
        <v>-9.75</v>
      </c>
    </row>
    <row r="25" spans="8:14" x14ac:dyDescent="0.3">
      <c r="H25" s="19">
        <f>H24+9.75</f>
        <v>21909.75</v>
      </c>
      <c r="I25" s="6">
        <f t="shared" si="0"/>
        <v>-131.80000000000001</v>
      </c>
      <c r="J25" s="6">
        <f t="shared" si="1"/>
        <v>195.8</v>
      </c>
      <c r="K25" s="6">
        <f t="shared" si="2"/>
        <v>-64</v>
      </c>
      <c r="L25" s="15">
        <f t="shared" si="3"/>
        <v>0</v>
      </c>
      <c r="M25" s="89" t="s">
        <v>135</v>
      </c>
      <c r="N25" s="89"/>
    </row>
    <row r="26" spans="8:14" x14ac:dyDescent="0.3">
      <c r="H26" s="19">
        <f>H24+50</f>
        <v>21950</v>
      </c>
      <c r="I26" s="6">
        <f t="shared" ref="I26:I48" si="5">(MAX(H26-$J$4,0)-$K$4)</f>
        <v>-91.550000000000011</v>
      </c>
      <c r="J26" s="6">
        <f t="shared" ref="J26:J48" si="6">((MAX(H26-$H$4,0)-$I$4)*-1)*2</f>
        <v>195.8</v>
      </c>
      <c r="K26" s="6">
        <f t="shared" ref="K26:K48" si="7">(MAX(H26-$L$4,0)-$M$4)</f>
        <v>-64</v>
      </c>
      <c r="L26" s="6">
        <f t="shared" ref="L26:L48" si="8">SUM(I26:K26)</f>
        <v>40.25</v>
      </c>
    </row>
    <row r="27" spans="8:14" x14ac:dyDescent="0.3">
      <c r="H27" s="19">
        <f>H26+50</f>
        <v>22000</v>
      </c>
      <c r="I27" s="6">
        <f t="shared" si="5"/>
        <v>-41.550000000000011</v>
      </c>
      <c r="J27" s="6">
        <f t="shared" si="6"/>
        <v>195.8</v>
      </c>
      <c r="K27" s="6">
        <f t="shared" si="7"/>
        <v>-64</v>
      </c>
      <c r="L27" s="6">
        <f t="shared" si="8"/>
        <v>90.25</v>
      </c>
    </row>
    <row r="28" spans="8:14" x14ac:dyDescent="0.3">
      <c r="H28" s="19">
        <f>H27+50</f>
        <v>22050</v>
      </c>
      <c r="I28" s="6">
        <f t="shared" si="5"/>
        <v>8.4499999999999886</v>
      </c>
      <c r="J28" s="6">
        <f t="shared" si="6"/>
        <v>95.800000000000011</v>
      </c>
      <c r="K28" s="6">
        <f t="shared" si="7"/>
        <v>-64</v>
      </c>
      <c r="L28" s="6">
        <f t="shared" si="8"/>
        <v>40.25</v>
      </c>
    </row>
    <row r="29" spans="8:14" x14ac:dyDescent="0.3">
      <c r="H29" s="19">
        <f>H30-9.75</f>
        <v>22090.25</v>
      </c>
      <c r="I29" s="6">
        <f t="shared" si="5"/>
        <v>48.699999999999989</v>
      </c>
      <c r="J29" s="6">
        <f t="shared" si="6"/>
        <v>15.300000000000011</v>
      </c>
      <c r="K29" s="6">
        <f t="shared" si="7"/>
        <v>-64</v>
      </c>
      <c r="L29" s="15">
        <f t="shared" si="8"/>
        <v>0</v>
      </c>
      <c r="M29" s="89" t="s">
        <v>134</v>
      </c>
      <c r="N29" s="89"/>
    </row>
    <row r="30" spans="8:14" x14ac:dyDescent="0.3">
      <c r="H30" s="19">
        <f>H28+50</f>
        <v>22100</v>
      </c>
      <c r="I30" s="6">
        <f t="shared" si="5"/>
        <v>58.449999999999989</v>
      </c>
      <c r="J30" s="6">
        <f t="shared" si="6"/>
        <v>-4.1999999999999886</v>
      </c>
      <c r="K30" s="6">
        <f t="shared" si="7"/>
        <v>-64</v>
      </c>
      <c r="L30" s="6">
        <f t="shared" si="8"/>
        <v>-9.75</v>
      </c>
    </row>
    <row r="31" spans="8:14" x14ac:dyDescent="0.3">
      <c r="H31" s="19">
        <f t="shared" ref="H31:H48" si="9">H30+50</f>
        <v>22150</v>
      </c>
      <c r="I31" s="6">
        <f t="shared" si="5"/>
        <v>108.44999999999999</v>
      </c>
      <c r="J31" s="6">
        <f t="shared" si="6"/>
        <v>-104.19999999999999</v>
      </c>
      <c r="K31" s="6">
        <f t="shared" si="7"/>
        <v>-14</v>
      </c>
      <c r="L31" s="6">
        <f t="shared" si="8"/>
        <v>-9.75</v>
      </c>
    </row>
    <row r="32" spans="8:14" x14ac:dyDescent="0.3">
      <c r="H32" s="19">
        <f t="shared" si="9"/>
        <v>22200</v>
      </c>
      <c r="I32" s="6">
        <f t="shared" si="5"/>
        <v>158.44999999999999</v>
      </c>
      <c r="J32" s="6">
        <f t="shared" si="6"/>
        <v>-204.2</v>
      </c>
      <c r="K32" s="6">
        <f t="shared" si="7"/>
        <v>36</v>
      </c>
      <c r="L32" s="6">
        <f t="shared" si="8"/>
        <v>-9.75</v>
      </c>
    </row>
    <row r="33" spans="8:12" x14ac:dyDescent="0.3">
      <c r="H33" s="19">
        <f t="shared" si="9"/>
        <v>22250</v>
      </c>
      <c r="I33" s="6">
        <f t="shared" si="5"/>
        <v>208.45</v>
      </c>
      <c r="J33" s="6">
        <f t="shared" si="6"/>
        <v>-304.2</v>
      </c>
      <c r="K33" s="6">
        <f t="shared" si="7"/>
        <v>86</v>
      </c>
      <c r="L33" s="6">
        <f t="shared" si="8"/>
        <v>-9.75</v>
      </c>
    </row>
    <row r="34" spans="8:12" x14ac:dyDescent="0.3">
      <c r="H34" s="19">
        <f t="shared" si="9"/>
        <v>22300</v>
      </c>
      <c r="I34" s="6">
        <f t="shared" si="5"/>
        <v>258.45</v>
      </c>
      <c r="J34" s="6">
        <f t="shared" si="6"/>
        <v>-404.2</v>
      </c>
      <c r="K34" s="6">
        <f t="shared" si="7"/>
        <v>136</v>
      </c>
      <c r="L34" s="6">
        <f t="shared" si="8"/>
        <v>-9.75</v>
      </c>
    </row>
    <row r="35" spans="8:12" x14ac:dyDescent="0.3">
      <c r="H35" s="19">
        <f t="shared" si="9"/>
        <v>22350</v>
      </c>
      <c r="I35" s="6">
        <f t="shared" si="5"/>
        <v>308.45</v>
      </c>
      <c r="J35" s="6">
        <f t="shared" si="6"/>
        <v>-504.2</v>
      </c>
      <c r="K35" s="6">
        <f t="shared" si="7"/>
        <v>186</v>
      </c>
      <c r="L35" s="6">
        <f t="shared" si="8"/>
        <v>-9.75</v>
      </c>
    </row>
    <row r="36" spans="8:12" x14ac:dyDescent="0.3">
      <c r="H36" s="19">
        <f t="shared" si="9"/>
        <v>22400</v>
      </c>
      <c r="I36" s="6">
        <f t="shared" si="5"/>
        <v>358.45</v>
      </c>
      <c r="J36" s="6">
        <f t="shared" si="6"/>
        <v>-604.20000000000005</v>
      </c>
      <c r="K36" s="6">
        <f t="shared" si="7"/>
        <v>236</v>
      </c>
      <c r="L36" s="6">
        <f t="shared" si="8"/>
        <v>-9.7500000000000568</v>
      </c>
    </row>
    <row r="37" spans="8:12" x14ac:dyDescent="0.3">
      <c r="H37" s="19">
        <f t="shared" si="9"/>
        <v>22450</v>
      </c>
      <c r="I37" s="6">
        <f t="shared" si="5"/>
        <v>408.45</v>
      </c>
      <c r="J37" s="6">
        <f t="shared" si="6"/>
        <v>-704.2</v>
      </c>
      <c r="K37" s="6">
        <f t="shared" si="7"/>
        <v>286</v>
      </c>
      <c r="L37" s="6">
        <f t="shared" si="8"/>
        <v>-9.7500000000000568</v>
      </c>
    </row>
    <row r="38" spans="8:12" x14ac:dyDescent="0.3">
      <c r="H38" s="19">
        <f t="shared" si="9"/>
        <v>22500</v>
      </c>
      <c r="I38" s="6">
        <f t="shared" si="5"/>
        <v>458.45</v>
      </c>
      <c r="J38" s="6">
        <f t="shared" si="6"/>
        <v>-804.2</v>
      </c>
      <c r="K38" s="6">
        <f t="shared" si="7"/>
        <v>336</v>
      </c>
      <c r="L38" s="6">
        <f t="shared" si="8"/>
        <v>-9.7500000000000568</v>
      </c>
    </row>
    <row r="39" spans="8:12" x14ac:dyDescent="0.3">
      <c r="H39" s="19">
        <f t="shared" si="9"/>
        <v>22550</v>
      </c>
      <c r="I39" s="6">
        <f t="shared" si="5"/>
        <v>508.45</v>
      </c>
      <c r="J39" s="6">
        <f t="shared" si="6"/>
        <v>-904.2</v>
      </c>
      <c r="K39" s="6">
        <f t="shared" si="7"/>
        <v>386</v>
      </c>
      <c r="L39" s="6">
        <f t="shared" si="8"/>
        <v>-9.7500000000000568</v>
      </c>
    </row>
    <row r="40" spans="8:12" x14ac:dyDescent="0.3">
      <c r="H40" s="19">
        <f t="shared" si="9"/>
        <v>22600</v>
      </c>
      <c r="I40" s="6">
        <f t="shared" si="5"/>
        <v>558.45000000000005</v>
      </c>
      <c r="J40" s="6">
        <f t="shared" si="6"/>
        <v>-1004.2</v>
      </c>
      <c r="K40" s="6">
        <f t="shared" si="7"/>
        <v>436</v>
      </c>
      <c r="L40" s="6">
        <f t="shared" si="8"/>
        <v>-9.75</v>
      </c>
    </row>
    <row r="41" spans="8:12" x14ac:dyDescent="0.3">
      <c r="H41" s="19">
        <f t="shared" si="9"/>
        <v>22650</v>
      </c>
      <c r="I41" s="6">
        <f t="shared" si="5"/>
        <v>608.45000000000005</v>
      </c>
      <c r="J41" s="6">
        <f t="shared" si="6"/>
        <v>-1104.2</v>
      </c>
      <c r="K41" s="6">
        <f t="shared" si="7"/>
        <v>486</v>
      </c>
      <c r="L41" s="6">
        <f t="shared" si="8"/>
        <v>-9.75</v>
      </c>
    </row>
    <row r="42" spans="8:12" x14ac:dyDescent="0.3">
      <c r="H42" s="19">
        <f t="shared" si="9"/>
        <v>22700</v>
      </c>
      <c r="I42" s="6">
        <f t="shared" si="5"/>
        <v>658.45</v>
      </c>
      <c r="J42" s="6">
        <f t="shared" si="6"/>
        <v>-1204.2</v>
      </c>
      <c r="K42" s="6">
        <f t="shared" si="7"/>
        <v>536</v>
      </c>
      <c r="L42" s="6">
        <f t="shared" si="8"/>
        <v>-9.75</v>
      </c>
    </row>
    <row r="43" spans="8:12" x14ac:dyDescent="0.3">
      <c r="H43" s="19">
        <f t="shared" si="9"/>
        <v>22750</v>
      </c>
      <c r="I43" s="6">
        <f t="shared" si="5"/>
        <v>708.45</v>
      </c>
      <c r="J43" s="6">
        <f t="shared" si="6"/>
        <v>-1304.2</v>
      </c>
      <c r="K43" s="6">
        <f t="shared" si="7"/>
        <v>586</v>
      </c>
      <c r="L43" s="6">
        <f t="shared" si="8"/>
        <v>-9.75</v>
      </c>
    </row>
    <row r="44" spans="8:12" x14ac:dyDescent="0.3">
      <c r="H44" s="19">
        <f t="shared" si="9"/>
        <v>22800</v>
      </c>
      <c r="I44" s="6">
        <f t="shared" si="5"/>
        <v>758.45</v>
      </c>
      <c r="J44" s="6">
        <f t="shared" si="6"/>
        <v>-1404.2</v>
      </c>
      <c r="K44" s="6">
        <f t="shared" si="7"/>
        <v>636</v>
      </c>
      <c r="L44" s="6">
        <f t="shared" si="8"/>
        <v>-9.75</v>
      </c>
    </row>
    <row r="45" spans="8:12" x14ac:dyDescent="0.3">
      <c r="H45" s="19">
        <f t="shared" si="9"/>
        <v>22850</v>
      </c>
      <c r="I45" s="6">
        <f t="shared" si="5"/>
        <v>808.45</v>
      </c>
      <c r="J45" s="6">
        <f t="shared" si="6"/>
        <v>-1504.2</v>
      </c>
      <c r="K45" s="6">
        <f t="shared" si="7"/>
        <v>686</v>
      </c>
      <c r="L45" s="6">
        <f t="shared" si="8"/>
        <v>-9.75</v>
      </c>
    </row>
    <row r="46" spans="8:12" x14ac:dyDescent="0.3">
      <c r="H46" s="19">
        <f t="shared" si="9"/>
        <v>22900</v>
      </c>
      <c r="I46" s="6">
        <f t="shared" si="5"/>
        <v>858.45</v>
      </c>
      <c r="J46" s="6">
        <f t="shared" si="6"/>
        <v>-1604.2</v>
      </c>
      <c r="K46" s="6">
        <f t="shared" si="7"/>
        <v>736</v>
      </c>
      <c r="L46" s="6">
        <f t="shared" si="8"/>
        <v>-9.75</v>
      </c>
    </row>
    <row r="47" spans="8:12" x14ac:dyDescent="0.3">
      <c r="H47" s="19">
        <f t="shared" si="9"/>
        <v>22950</v>
      </c>
      <c r="I47" s="6">
        <f t="shared" si="5"/>
        <v>908.45</v>
      </c>
      <c r="J47" s="6">
        <f t="shared" si="6"/>
        <v>-1704.2</v>
      </c>
      <c r="K47" s="6">
        <f t="shared" si="7"/>
        <v>786</v>
      </c>
      <c r="L47" s="6">
        <f t="shared" si="8"/>
        <v>-9.75</v>
      </c>
    </row>
    <row r="48" spans="8:12" x14ac:dyDescent="0.3">
      <c r="H48" s="19">
        <f t="shared" si="9"/>
        <v>23000</v>
      </c>
      <c r="I48" s="6">
        <f t="shared" si="5"/>
        <v>958.45</v>
      </c>
      <c r="J48" s="6">
        <f t="shared" si="6"/>
        <v>-1804.2</v>
      </c>
      <c r="K48" s="6">
        <f t="shared" si="7"/>
        <v>836</v>
      </c>
      <c r="L48" s="6">
        <f t="shared" si="8"/>
        <v>-9.75</v>
      </c>
    </row>
  </sheetData>
  <sheetProtection algorithmName="SHA-512" hashValue="ZpHiJ0q8VZ/e0wbP5/pJQIee+rUbCbq/2/or8o7HUBCCrp66MymgTYbDXa11W+SD5B+a+cADYgZ4ya1opSob2w==" saltValue="1Qaf2j7eVM+Q5sHJ539fBg==" spinCount="100000" sheet="1" objects="1" scenarios="1"/>
  <mergeCells count="8">
    <mergeCell ref="B3:F10"/>
    <mergeCell ref="B12:F14"/>
    <mergeCell ref="M29:N29"/>
    <mergeCell ref="M25:N25"/>
    <mergeCell ref="O3:R3"/>
    <mergeCell ref="O4:R6"/>
    <mergeCell ref="O8:R8"/>
    <mergeCell ref="O10:R12"/>
  </mergeCells>
  <conditionalFormatting sqref="I6:I48 K6:K48">
    <cfRule type="cellIs" dxfId="24" priority="8" operator="lessThan">
      <formula>$G$9</formula>
    </cfRule>
    <cfRule type="cellIs" dxfId="23" priority="9" operator="greaterThan">
      <formula>0</formula>
    </cfRule>
  </conditionalFormatting>
  <conditionalFormatting sqref="J6:J48 L6:L48">
    <cfRule type="cellIs" dxfId="22" priority="5" operator="lessThan">
      <formula>0</formula>
    </cfRule>
    <cfRule type="cellIs" dxfId="21" priority="6" operator="lessThan">
      <formula>#REF!</formula>
    </cfRule>
    <cfRule type="cellIs" dxfId="20" priority="7" operator="greaterThan">
      <formula>0</formula>
    </cfRule>
  </conditionalFormatting>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CCE6C-328C-4DBC-AD47-E0BA0FC7F9BE}">
  <sheetPr codeName="Sheet19"/>
  <dimension ref="B2:AH51"/>
  <sheetViews>
    <sheetView topLeftCell="T1" zoomScale="105" workbookViewId="0">
      <selection activeCell="AA53" sqref="AA53"/>
    </sheetView>
  </sheetViews>
  <sheetFormatPr defaultRowHeight="14.4" x14ac:dyDescent="0.3"/>
  <cols>
    <col min="8" max="8" width="11.21875" bestFit="1" customWidth="1"/>
    <col min="9" max="10" width="10.88671875" bestFit="1" customWidth="1"/>
    <col min="11" max="11" width="9.33203125" bestFit="1" customWidth="1"/>
    <col min="12" max="12" width="9.77734375" bestFit="1" customWidth="1"/>
    <col min="13" max="13" width="9.6640625" bestFit="1" customWidth="1"/>
    <col min="14" max="15" width="11" bestFit="1" customWidth="1"/>
    <col min="27" max="27" width="11.21875" bestFit="1" customWidth="1"/>
    <col min="28" max="29" width="9.44140625" bestFit="1" customWidth="1"/>
    <col min="30" max="30" width="9.33203125" bestFit="1" customWidth="1"/>
    <col min="31" max="31" width="9.44140625" bestFit="1" customWidth="1"/>
    <col min="33" max="33" width="9.44140625" bestFit="1" customWidth="1"/>
  </cols>
  <sheetData>
    <row r="2" spans="2:34" ht="15" thickBot="1" x14ac:dyDescent="0.35"/>
    <row r="3" spans="2:34" x14ac:dyDescent="0.3">
      <c r="B3" s="136" t="s">
        <v>146</v>
      </c>
      <c r="C3" s="137"/>
      <c r="D3" s="137"/>
      <c r="E3" s="137"/>
      <c r="F3" s="138"/>
      <c r="I3" s="27" t="s">
        <v>14</v>
      </c>
      <c r="J3" s="3"/>
      <c r="K3" s="27" t="s">
        <v>14</v>
      </c>
      <c r="L3" s="3"/>
      <c r="M3" s="27" t="s">
        <v>15</v>
      </c>
      <c r="N3" s="3"/>
      <c r="O3" s="27" t="s">
        <v>15</v>
      </c>
      <c r="Q3" s="51" t="s">
        <v>71</v>
      </c>
      <c r="R3" s="52"/>
      <c r="S3" s="52"/>
      <c r="T3" s="53"/>
      <c r="AB3" s="27" t="s">
        <v>14</v>
      </c>
      <c r="AC3" s="3"/>
      <c r="AD3" s="27" t="s">
        <v>14</v>
      </c>
      <c r="AE3" s="3"/>
      <c r="AF3" s="27" t="s">
        <v>15</v>
      </c>
      <c r="AG3" s="3"/>
      <c r="AH3" s="27" t="s">
        <v>15</v>
      </c>
    </row>
    <row r="4" spans="2:34" x14ac:dyDescent="0.3">
      <c r="B4" s="105"/>
      <c r="C4" s="106"/>
      <c r="D4" s="106"/>
      <c r="E4" s="106"/>
      <c r="F4" s="107"/>
      <c r="H4" s="1" t="s">
        <v>52</v>
      </c>
      <c r="I4" s="1" t="s">
        <v>148</v>
      </c>
      <c r="J4" s="1" t="s">
        <v>52</v>
      </c>
      <c r="K4" s="1" t="s">
        <v>142</v>
      </c>
      <c r="L4" s="1" t="s">
        <v>52</v>
      </c>
      <c r="M4" s="1" t="s">
        <v>105</v>
      </c>
      <c r="N4" s="1" t="s">
        <v>52</v>
      </c>
      <c r="O4" s="1" t="s">
        <v>142</v>
      </c>
      <c r="Q4" s="35" t="s">
        <v>151</v>
      </c>
      <c r="R4" s="224"/>
      <c r="S4" s="224"/>
      <c r="T4" s="225"/>
      <c r="AA4" s="1" t="s">
        <v>52</v>
      </c>
      <c r="AB4" s="1" t="s">
        <v>148</v>
      </c>
      <c r="AC4" s="1" t="s">
        <v>52</v>
      </c>
      <c r="AD4" s="1" t="s">
        <v>142</v>
      </c>
      <c r="AE4" s="1" t="s">
        <v>52</v>
      </c>
      <c r="AF4" s="1" t="s">
        <v>105</v>
      </c>
      <c r="AG4" s="1" t="s">
        <v>52</v>
      </c>
      <c r="AH4" s="1" t="s">
        <v>142</v>
      </c>
    </row>
    <row r="5" spans="2:34" x14ac:dyDescent="0.3">
      <c r="B5" s="105"/>
      <c r="C5" s="106"/>
      <c r="D5" s="106"/>
      <c r="E5" s="106"/>
      <c r="F5" s="107"/>
      <c r="H5" s="19">
        <v>21800</v>
      </c>
      <c r="I5" s="19">
        <v>241</v>
      </c>
      <c r="J5" s="19">
        <v>21900</v>
      </c>
      <c r="K5" s="19">
        <v>126</v>
      </c>
      <c r="L5" s="19">
        <v>22200</v>
      </c>
      <c r="M5" s="19">
        <v>51</v>
      </c>
      <c r="N5" s="19">
        <v>22100</v>
      </c>
      <c r="O5" s="19">
        <v>83</v>
      </c>
      <c r="Q5" s="226"/>
      <c r="R5" s="224"/>
      <c r="S5" s="224"/>
      <c r="T5" s="225"/>
      <c r="AA5" s="19">
        <v>10800</v>
      </c>
      <c r="AB5" s="19">
        <v>241</v>
      </c>
      <c r="AC5" s="19">
        <v>10900</v>
      </c>
      <c r="AD5" s="19">
        <v>126</v>
      </c>
      <c r="AE5" s="19">
        <v>11200</v>
      </c>
      <c r="AF5" s="19">
        <v>51</v>
      </c>
      <c r="AG5" s="19">
        <v>11100</v>
      </c>
      <c r="AH5" s="19">
        <v>83</v>
      </c>
    </row>
    <row r="6" spans="2:34" x14ac:dyDescent="0.3">
      <c r="B6" s="105"/>
      <c r="C6" s="106"/>
      <c r="D6" s="106"/>
      <c r="E6" s="106"/>
      <c r="F6" s="107"/>
      <c r="H6" s="1" t="s">
        <v>4</v>
      </c>
      <c r="I6" s="17" t="str">
        <f>K4</f>
        <v>CALL SELL</v>
      </c>
      <c r="J6" s="1" t="str">
        <f>I4</f>
        <v xml:space="preserve"> CALL BUY</v>
      </c>
      <c r="K6" s="1" t="str">
        <f>M4</f>
        <v>CALL BUY</v>
      </c>
      <c r="L6" s="1" t="str">
        <f>O4</f>
        <v>CALL SELL</v>
      </c>
      <c r="M6" s="1" t="s">
        <v>37</v>
      </c>
      <c r="Q6" s="226"/>
      <c r="R6" s="224"/>
      <c r="S6" s="224"/>
      <c r="T6" s="225"/>
      <c r="AA6" s="1" t="s">
        <v>4</v>
      </c>
      <c r="AB6" s="17" t="str">
        <f>AD4</f>
        <v>CALL SELL</v>
      </c>
      <c r="AC6" s="1" t="str">
        <f>AB4</f>
        <v xml:space="preserve"> CALL BUY</v>
      </c>
      <c r="AD6" s="1" t="str">
        <f>AF4</f>
        <v>CALL BUY</v>
      </c>
      <c r="AE6" s="1" t="str">
        <f>AH4</f>
        <v>CALL SELL</v>
      </c>
      <c r="AF6" s="1" t="s">
        <v>37</v>
      </c>
    </row>
    <row r="7" spans="2:34" ht="15" thickBot="1" x14ac:dyDescent="0.35">
      <c r="B7" s="105"/>
      <c r="C7" s="106"/>
      <c r="D7" s="106"/>
      <c r="E7" s="106"/>
      <c r="F7" s="107"/>
      <c r="H7" s="31">
        <v>21000</v>
      </c>
      <c r="I7" s="15">
        <f>(MAX(H7-$J$5,0)-$K$5)*-1</f>
        <v>126</v>
      </c>
      <c r="J7" s="15">
        <f>((MAX(H7-$H$5,0)-$I$5))</f>
        <v>-241</v>
      </c>
      <c r="K7" s="15">
        <f>(MAX(H7-$L$5,0)-$M$5)</f>
        <v>-51</v>
      </c>
      <c r="L7" s="15">
        <f>(MAX(H7-$N$5,0)-$O$5)*-1</f>
        <v>83</v>
      </c>
      <c r="M7" s="15">
        <f>SUM(I7:L7)</f>
        <v>-83</v>
      </c>
      <c r="Q7" s="227"/>
      <c r="R7" s="228"/>
      <c r="S7" s="228"/>
      <c r="T7" s="229"/>
      <c r="AA7" s="19">
        <v>10000</v>
      </c>
      <c r="AB7" s="6">
        <f>(MAX(AA7-$AC$5,0)-$AD$5)*-1</f>
        <v>126</v>
      </c>
      <c r="AC7" s="6">
        <f>((MAX(AA7-$AA$5,0)-$AB$5))</f>
        <v>-241</v>
      </c>
      <c r="AD7" s="6">
        <f>(MAX(AA7-$AE$5,0)-$AF$5)</f>
        <v>-51</v>
      </c>
      <c r="AE7" s="6">
        <f>(MAX(AA7-$AG$5,0)-$AH$5)*-1</f>
        <v>83</v>
      </c>
      <c r="AF7" s="6">
        <f>SUM(AB7:AE7)</f>
        <v>-83</v>
      </c>
    </row>
    <row r="8" spans="2:34" ht="15" thickBot="1" x14ac:dyDescent="0.35">
      <c r="B8" s="105"/>
      <c r="C8" s="106"/>
      <c r="D8" s="106"/>
      <c r="E8" s="106"/>
      <c r="F8" s="107"/>
      <c r="H8" s="31">
        <f>H7+50</f>
        <v>21050</v>
      </c>
      <c r="I8" s="15">
        <f t="shared" ref="I8:I25" si="0">(MAX(H8-$J$5,0)-$K$5)*-1</f>
        <v>126</v>
      </c>
      <c r="J8" s="15">
        <f t="shared" ref="J8:J25" si="1">((MAX(H8-$H$5,0)-$I$5))</f>
        <v>-241</v>
      </c>
      <c r="K8" s="15">
        <f t="shared" ref="K8:K25" si="2">(MAX(H8-$L$5,0)-$M$5)</f>
        <v>-51</v>
      </c>
      <c r="L8" s="15">
        <f t="shared" ref="L8:L25" si="3">(MAX(H8-$N$5,0)-$O$5)*-1</f>
        <v>83</v>
      </c>
      <c r="M8" s="15">
        <f t="shared" ref="M8:M25" si="4">SUM(I8:L8)</f>
        <v>-83</v>
      </c>
      <c r="AA8" s="19">
        <f>AA7+50</f>
        <v>10050</v>
      </c>
      <c r="AB8" s="6">
        <f t="shared" ref="AB8:AB51" si="5">(MAX(AA8-$AC$5,0)-$AD$5)*-1</f>
        <v>126</v>
      </c>
      <c r="AC8" s="6">
        <f t="shared" ref="AC8:AC51" si="6">((MAX(AA8-$AA$5,0)-$AB$5))</f>
        <v>-241</v>
      </c>
      <c r="AD8" s="6">
        <f t="shared" ref="AD8:AD51" si="7">(MAX(AA8-$AE$5,0)-$AF$5)</f>
        <v>-51</v>
      </c>
      <c r="AE8" s="6">
        <f t="shared" ref="AE8:AE51" si="8">(MAX(AA8-$AG$5,0)-$AH$5)*-1</f>
        <v>83</v>
      </c>
      <c r="AF8" s="6">
        <f t="shared" ref="AF8:AF51" si="9">SUM(AB8:AE8)</f>
        <v>-83</v>
      </c>
    </row>
    <row r="9" spans="2:34" x14ac:dyDescent="0.3">
      <c r="B9" s="105"/>
      <c r="C9" s="106"/>
      <c r="D9" s="106"/>
      <c r="E9" s="106"/>
      <c r="F9" s="107"/>
      <c r="H9" s="31">
        <f t="shared" ref="H9:H24" si="10">H8+50</f>
        <v>21100</v>
      </c>
      <c r="I9" s="15">
        <f t="shared" si="0"/>
        <v>126</v>
      </c>
      <c r="J9" s="15">
        <f t="shared" si="1"/>
        <v>-241</v>
      </c>
      <c r="K9" s="15">
        <f t="shared" si="2"/>
        <v>-51</v>
      </c>
      <c r="L9" s="15">
        <f t="shared" si="3"/>
        <v>83</v>
      </c>
      <c r="M9" s="15">
        <f t="shared" si="4"/>
        <v>-83</v>
      </c>
      <c r="Q9" s="139" t="s">
        <v>152</v>
      </c>
      <c r="R9" s="140"/>
      <c r="S9" s="140"/>
      <c r="T9" s="141"/>
      <c r="AA9" s="19">
        <f t="shared" ref="AA9:AA24" si="11">AA8+50</f>
        <v>10100</v>
      </c>
      <c r="AB9" s="6">
        <f t="shared" si="5"/>
        <v>126</v>
      </c>
      <c r="AC9" s="6">
        <f t="shared" si="6"/>
        <v>-241</v>
      </c>
      <c r="AD9" s="6">
        <f t="shared" si="7"/>
        <v>-51</v>
      </c>
      <c r="AE9" s="6">
        <f t="shared" si="8"/>
        <v>83</v>
      </c>
      <c r="AF9" s="6">
        <f t="shared" si="9"/>
        <v>-83</v>
      </c>
    </row>
    <row r="10" spans="2:34" x14ac:dyDescent="0.3">
      <c r="B10" s="105"/>
      <c r="C10" s="106"/>
      <c r="D10" s="106"/>
      <c r="E10" s="106"/>
      <c r="F10" s="107"/>
      <c r="H10" s="31">
        <f t="shared" si="10"/>
        <v>21150</v>
      </c>
      <c r="I10" s="15">
        <f t="shared" si="0"/>
        <v>126</v>
      </c>
      <c r="J10" s="15">
        <f t="shared" si="1"/>
        <v>-241</v>
      </c>
      <c r="K10" s="15">
        <f t="shared" si="2"/>
        <v>-51</v>
      </c>
      <c r="L10" s="15">
        <f t="shared" si="3"/>
        <v>83</v>
      </c>
      <c r="M10" s="15">
        <f>SUM(I10:L10)</f>
        <v>-83</v>
      </c>
      <c r="Q10" s="142"/>
      <c r="R10" s="143"/>
      <c r="S10" s="143"/>
      <c r="T10" s="144"/>
      <c r="AA10" s="19">
        <f t="shared" si="11"/>
        <v>10150</v>
      </c>
      <c r="AB10" s="6">
        <f t="shared" si="5"/>
        <v>126</v>
      </c>
      <c r="AC10" s="6">
        <f t="shared" si="6"/>
        <v>-241</v>
      </c>
      <c r="AD10" s="6">
        <f t="shared" si="7"/>
        <v>-51</v>
      </c>
      <c r="AE10" s="6">
        <f t="shared" si="8"/>
        <v>83</v>
      </c>
      <c r="AF10" s="6">
        <f t="shared" si="9"/>
        <v>-83</v>
      </c>
    </row>
    <row r="11" spans="2:34" x14ac:dyDescent="0.3">
      <c r="B11" s="105"/>
      <c r="C11" s="106"/>
      <c r="D11" s="106"/>
      <c r="E11" s="106"/>
      <c r="F11" s="107"/>
      <c r="H11" s="31">
        <f t="shared" si="10"/>
        <v>21200</v>
      </c>
      <c r="I11" s="15">
        <f t="shared" si="0"/>
        <v>126</v>
      </c>
      <c r="J11" s="15">
        <f t="shared" si="1"/>
        <v>-241</v>
      </c>
      <c r="K11" s="15">
        <f t="shared" si="2"/>
        <v>-51</v>
      </c>
      <c r="L11" s="15">
        <f>(MAX(H11-$N$5,0)-$O$5)*-1</f>
        <v>83</v>
      </c>
      <c r="M11" s="15">
        <f t="shared" si="4"/>
        <v>-83</v>
      </c>
      <c r="Q11" s="142"/>
      <c r="R11" s="143"/>
      <c r="S11" s="143"/>
      <c r="T11" s="144"/>
      <c r="AA11" s="19">
        <f t="shared" si="11"/>
        <v>10200</v>
      </c>
      <c r="AB11" s="6">
        <f t="shared" si="5"/>
        <v>126</v>
      </c>
      <c r="AC11" s="6">
        <f t="shared" si="6"/>
        <v>-241</v>
      </c>
      <c r="AD11" s="6">
        <f t="shared" si="7"/>
        <v>-51</v>
      </c>
      <c r="AE11" s="6">
        <f t="shared" si="8"/>
        <v>83</v>
      </c>
      <c r="AF11" s="6">
        <f t="shared" si="9"/>
        <v>-83</v>
      </c>
    </row>
    <row r="12" spans="2:34" x14ac:dyDescent="0.3">
      <c r="B12" s="105"/>
      <c r="C12" s="106"/>
      <c r="D12" s="106"/>
      <c r="E12" s="106"/>
      <c r="F12" s="107"/>
      <c r="H12" s="31">
        <f t="shared" si="10"/>
        <v>21250</v>
      </c>
      <c r="I12" s="15">
        <f t="shared" si="0"/>
        <v>126</v>
      </c>
      <c r="J12" s="15">
        <f t="shared" si="1"/>
        <v>-241</v>
      </c>
      <c r="K12" s="15">
        <f t="shared" si="2"/>
        <v>-51</v>
      </c>
      <c r="L12" s="15">
        <f t="shared" si="3"/>
        <v>83</v>
      </c>
      <c r="M12" s="15">
        <f t="shared" si="4"/>
        <v>-83</v>
      </c>
      <c r="Q12" s="142"/>
      <c r="R12" s="143"/>
      <c r="S12" s="143"/>
      <c r="T12" s="144"/>
      <c r="AA12" s="19">
        <f t="shared" si="11"/>
        <v>10250</v>
      </c>
      <c r="AB12" s="6">
        <f t="shared" si="5"/>
        <v>126</v>
      </c>
      <c r="AC12" s="6">
        <f t="shared" si="6"/>
        <v>-241</v>
      </c>
      <c r="AD12" s="6">
        <f t="shared" si="7"/>
        <v>-51</v>
      </c>
      <c r="AE12" s="6">
        <f t="shared" si="8"/>
        <v>83</v>
      </c>
      <c r="AF12" s="6">
        <f t="shared" si="9"/>
        <v>-83</v>
      </c>
    </row>
    <row r="13" spans="2:34" ht="15" thickBot="1" x14ac:dyDescent="0.35">
      <c r="B13" s="108"/>
      <c r="C13" s="109"/>
      <c r="D13" s="109"/>
      <c r="E13" s="109"/>
      <c r="F13" s="110"/>
      <c r="H13" s="31">
        <f t="shared" si="10"/>
        <v>21300</v>
      </c>
      <c r="I13" s="15">
        <f t="shared" si="0"/>
        <v>126</v>
      </c>
      <c r="J13" s="15">
        <f t="shared" si="1"/>
        <v>-241</v>
      </c>
      <c r="K13" s="15">
        <f t="shared" si="2"/>
        <v>-51</v>
      </c>
      <c r="L13" s="15">
        <f t="shared" si="3"/>
        <v>83</v>
      </c>
      <c r="M13" s="15">
        <f t="shared" si="4"/>
        <v>-83</v>
      </c>
      <c r="Q13" s="145"/>
      <c r="R13" s="146"/>
      <c r="S13" s="146"/>
      <c r="T13" s="147"/>
      <c r="AA13" s="19">
        <f t="shared" si="11"/>
        <v>10300</v>
      </c>
      <c r="AB13" s="6">
        <f t="shared" si="5"/>
        <v>126</v>
      </c>
      <c r="AC13" s="6">
        <f t="shared" si="6"/>
        <v>-241</v>
      </c>
      <c r="AD13" s="6">
        <f t="shared" si="7"/>
        <v>-51</v>
      </c>
      <c r="AE13" s="6">
        <f t="shared" si="8"/>
        <v>83</v>
      </c>
      <c r="AF13" s="6">
        <f t="shared" si="9"/>
        <v>-83</v>
      </c>
    </row>
    <row r="14" spans="2:34" ht="15" thickBot="1" x14ac:dyDescent="0.35">
      <c r="H14" s="31">
        <f t="shared" si="10"/>
        <v>21350</v>
      </c>
      <c r="I14" s="15">
        <f t="shared" si="0"/>
        <v>126</v>
      </c>
      <c r="J14" s="15">
        <f t="shared" si="1"/>
        <v>-241</v>
      </c>
      <c r="K14" s="15">
        <f t="shared" si="2"/>
        <v>-51</v>
      </c>
      <c r="L14" s="15">
        <f t="shared" si="3"/>
        <v>83</v>
      </c>
      <c r="M14" s="15">
        <f>SUM(I14:L14)</f>
        <v>-83</v>
      </c>
      <c r="AA14" s="19">
        <f t="shared" si="11"/>
        <v>10350</v>
      </c>
      <c r="AB14" s="6">
        <f t="shared" si="5"/>
        <v>126</v>
      </c>
      <c r="AC14" s="6">
        <f t="shared" si="6"/>
        <v>-241</v>
      </c>
      <c r="AD14" s="6">
        <f t="shared" si="7"/>
        <v>-51</v>
      </c>
      <c r="AE14" s="6">
        <f t="shared" si="8"/>
        <v>83</v>
      </c>
      <c r="AF14" s="6">
        <f t="shared" si="9"/>
        <v>-83</v>
      </c>
    </row>
    <row r="15" spans="2:34" x14ac:dyDescent="0.3">
      <c r="B15" s="41" t="s">
        <v>147</v>
      </c>
      <c r="C15" s="215"/>
      <c r="D15" s="215"/>
      <c r="E15" s="215"/>
      <c r="F15" s="216"/>
      <c r="H15" s="31">
        <f t="shared" si="10"/>
        <v>21400</v>
      </c>
      <c r="I15" s="15">
        <f t="shared" si="0"/>
        <v>126</v>
      </c>
      <c r="J15" s="15">
        <f t="shared" si="1"/>
        <v>-241</v>
      </c>
      <c r="K15" s="15">
        <f t="shared" si="2"/>
        <v>-51</v>
      </c>
      <c r="L15" s="15">
        <f t="shared" si="3"/>
        <v>83</v>
      </c>
      <c r="M15" s="15">
        <f t="shared" si="4"/>
        <v>-83</v>
      </c>
      <c r="Q15" s="139" t="s">
        <v>153</v>
      </c>
      <c r="R15" s="140"/>
      <c r="S15" s="140"/>
      <c r="T15" s="141"/>
      <c r="AA15" s="19">
        <f t="shared" si="11"/>
        <v>10400</v>
      </c>
      <c r="AB15" s="6">
        <f t="shared" si="5"/>
        <v>126</v>
      </c>
      <c r="AC15" s="6">
        <f t="shared" si="6"/>
        <v>-241</v>
      </c>
      <c r="AD15" s="6">
        <f t="shared" si="7"/>
        <v>-51</v>
      </c>
      <c r="AE15" s="6">
        <f t="shared" si="8"/>
        <v>83</v>
      </c>
      <c r="AF15" s="6">
        <f t="shared" si="9"/>
        <v>-83</v>
      </c>
    </row>
    <row r="16" spans="2:34" x14ac:dyDescent="0.3">
      <c r="B16" s="217"/>
      <c r="C16" s="218"/>
      <c r="D16" s="218"/>
      <c r="E16" s="218"/>
      <c r="F16" s="219"/>
      <c r="H16" s="31">
        <f t="shared" si="10"/>
        <v>21450</v>
      </c>
      <c r="I16" s="15">
        <f t="shared" si="0"/>
        <v>126</v>
      </c>
      <c r="J16" s="15">
        <f t="shared" si="1"/>
        <v>-241</v>
      </c>
      <c r="K16" s="15">
        <f t="shared" si="2"/>
        <v>-51</v>
      </c>
      <c r="L16" s="15">
        <f t="shared" si="3"/>
        <v>83</v>
      </c>
      <c r="M16" s="15">
        <f t="shared" si="4"/>
        <v>-83</v>
      </c>
      <c r="Q16" s="142"/>
      <c r="R16" s="143"/>
      <c r="S16" s="143"/>
      <c r="T16" s="144"/>
      <c r="AA16" s="19">
        <f t="shared" si="11"/>
        <v>10450</v>
      </c>
      <c r="AB16" s="6">
        <f t="shared" si="5"/>
        <v>126</v>
      </c>
      <c r="AC16" s="6">
        <f t="shared" si="6"/>
        <v>-241</v>
      </c>
      <c r="AD16" s="6">
        <f t="shared" si="7"/>
        <v>-51</v>
      </c>
      <c r="AE16" s="6">
        <f t="shared" si="8"/>
        <v>83</v>
      </c>
      <c r="AF16" s="6">
        <f t="shared" si="9"/>
        <v>-83</v>
      </c>
    </row>
    <row r="17" spans="2:32" x14ac:dyDescent="0.3">
      <c r="B17" s="217"/>
      <c r="C17" s="218"/>
      <c r="D17" s="218"/>
      <c r="E17" s="218"/>
      <c r="F17" s="219"/>
      <c r="H17" s="31">
        <f t="shared" si="10"/>
        <v>21500</v>
      </c>
      <c r="I17" s="15">
        <f t="shared" si="0"/>
        <v>126</v>
      </c>
      <c r="J17" s="15">
        <f t="shared" si="1"/>
        <v>-241</v>
      </c>
      <c r="K17" s="15">
        <f t="shared" si="2"/>
        <v>-51</v>
      </c>
      <c r="L17" s="15">
        <f t="shared" si="3"/>
        <v>83</v>
      </c>
      <c r="M17" s="15">
        <f t="shared" si="4"/>
        <v>-83</v>
      </c>
      <c r="Q17" s="142"/>
      <c r="R17" s="143"/>
      <c r="S17" s="143"/>
      <c r="T17" s="144"/>
      <c r="AA17" s="19">
        <f t="shared" si="11"/>
        <v>10500</v>
      </c>
      <c r="AB17" s="6">
        <f t="shared" si="5"/>
        <v>126</v>
      </c>
      <c r="AC17" s="6">
        <f t="shared" si="6"/>
        <v>-241</v>
      </c>
      <c r="AD17" s="6">
        <f t="shared" si="7"/>
        <v>-51</v>
      </c>
      <c r="AE17" s="6">
        <f t="shared" si="8"/>
        <v>83</v>
      </c>
      <c r="AF17" s="6">
        <f t="shared" si="9"/>
        <v>-83</v>
      </c>
    </row>
    <row r="18" spans="2:32" x14ac:dyDescent="0.3">
      <c r="B18" s="217"/>
      <c r="C18" s="218"/>
      <c r="D18" s="218"/>
      <c r="E18" s="218"/>
      <c r="F18" s="219"/>
      <c r="H18" s="31">
        <f t="shared" si="10"/>
        <v>21550</v>
      </c>
      <c r="I18" s="15">
        <f t="shared" si="0"/>
        <v>126</v>
      </c>
      <c r="J18" s="15">
        <f t="shared" si="1"/>
        <v>-241</v>
      </c>
      <c r="K18" s="15">
        <f t="shared" si="2"/>
        <v>-51</v>
      </c>
      <c r="L18" s="15">
        <f t="shared" si="3"/>
        <v>83</v>
      </c>
      <c r="M18" s="15">
        <f t="shared" si="4"/>
        <v>-83</v>
      </c>
      <c r="Q18" s="142"/>
      <c r="R18" s="143"/>
      <c r="S18" s="143"/>
      <c r="T18" s="144"/>
      <c r="AA18" s="19">
        <f t="shared" si="11"/>
        <v>10550</v>
      </c>
      <c r="AB18" s="6">
        <f t="shared" si="5"/>
        <v>126</v>
      </c>
      <c r="AC18" s="6">
        <f t="shared" si="6"/>
        <v>-241</v>
      </c>
      <c r="AD18" s="6">
        <f t="shared" si="7"/>
        <v>-51</v>
      </c>
      <c r="AE18" s="6">
        <f t="shared" si="8"/>
        <v>83</v>
      </c>
      <c r="AF18" s="6">
        <f t="shared" si="9"/>
        <v>-83</v>
      </c>
    </row>
    <row r="19" spans="2:32" ht="15" thickBot="1" x14ac:dyDescent="0.35">
      <c r="B19" s="220"/>
      <c r="C19" s="221"/>
      <c r="D19" s="221"/>
      <c r="E19" s="221"/>
      <c r="F19" s="222"/>
      <c r="H19" s="31">
        <f t="shared" si="10"/>
        <v>21600</v>
      </c>
      <c r="I19" s="15">
        <f t="shared" si="0"/>
        <v>126</v>
      </c>
      <c r="J19" s="15">
        <f t="shared" si="1"/>
        <v>-241</v>
      </c>
      <c r="K19" s="15">
        <f t="shared" si="2"/>
        <v>-51</v>
      </c>
      <c r="L19" s="15">
        <f t="shared" si="3"/>
        <v>83</v>
      </c>
      <c r="M19" s="15">
        <f t="shared" si="4"/>
        <v>-83</v>
      </c>
      <c r="Q19" s="142"/>
      <c r="R19" s="143"/>
      <c r="S19" s="143"/>
      <c r="T19" s="144"/>
      <c r="AA19" s="19">
        <f t="shared" si="11"/>
        <v>10600</v>
      </c>
      <c r="AB19" s="6">
        <f t="shared" si="5"/>
        <v>126</v>
      </c>
      <c r="AC19" s="6">
        <f t="shared" si="6"/>
        <v>-241</v>
      </c>
      <c r="AD19" s="6">
        <f t="shared" si="7"/>
        <v>-51</v>
      </c>
      <c r="AE19" s="6">
        <f t="shared" si="8"/>
        <v>83</v>
      </c>
      <c r="AF19" s="6">
        <f t="shared" si="9"/>
        <v>-83</v>
      </c>
    </row>
    <row r="20" spans="2:32" ht="15" thickBot="1" x14ac:dyDescent="0.35">
      <c r="H20" s="31">
        <f t="shared" si="10"/>
        <v>21650</v>
      </c>
      <c r="I20" s="15">
        <f t="shared" si="0"/>
        <v>126</v>
      </c>
      <c r="J20" s="15">
        <f t="shared" si="1"/>
        <v>-241</v>
      </c>
      <c r="K20" s="15">
        <f t="shared" si="2"/>
        <v>-51</v>
      </c>
      <c r="L20" s="15">
        <f t="shared" si="3"/>
        <v>83</v>
      </c>
      <c r="M20" s="15">
        <f t="shared" si="4"/>
        <v>-83</v>
      </c>
      <c r="Q20" s="145"/>
      <c r="R20" s="146"/>
      <c r="S20" s="146"/>
      <c r="T20" s="147"/>
      <c r="AA20" s="19">
        <f t="shared" si="11"/>
        <v>10650</v>
      </c>
      <c r="AB20" s="6">
        <f t="shared" si="5"/>
        <v>126</v>
      </c>
      <c r="AC20" s="6">
        <f t="shared" si="6"/>
        <v>-241</v>
      </c>
      <c r="AD20" s="6">
        <f t="shared" si="7"/>
        <v>-51</v>
      </c>
      <c r="AE20" s="6">
        <f t="shared" si="8"/>
        <v>83</v>
      </c>
      <c r="AF20" s="6">
        <f t="shared" si="9"/>
        <v>-83</v>
      </c>
    </row>
    <row r="21" spans="2:32" x14ac:dyDescent="0.3">
      <c r="H21" s="31">
        <f t="shared" si="10"/>
        <v>21700</v>
      </c>
      <c r="I21" s="15">
        <f t="shared" si="0"/>
        <v>126</v>
      </c>
      <c r="J21" s="15">
        <f t="shared" si="1"/>
        <v>-241</v>
      </c>
      <c r="K21" s="15">
        <f t="shared" si="2"/>
        <v>-51</v>
      </c>
      <c r="L21" s="15">
        <f t="shared" si="3"/>
        <v>83</v>
      </c>
      <c r="M21" s="15">
        <f t="shared" si="4"/>
        <v>-83</v>
      </c>
      <c r="AA21" s="19">
        <f t="shared" si="11"/>
        <v>10700</v>
      </c>
      <c r="AB21" s="6">
        <f t="shared" si="5"/>
        <v>126</v>
      </c>
      <c r="AC21" s="6">
        <f t="shared" si="6"/>
        <v>-241</v>
      </c>
      <c r="AD21" s="6">
        <f t="shared" si="7"/>
        <v>-51</v>
      </c>
      <c r="AE21" s="6">
        <f t="shared" si="8"/>
        <v>83</v>
      </c>
      <c r="AF21" s="6">
        <f t="shared" si="9"/>
        <v>-83</v>
      </c>
    </row>
    <row r="22" spans="2:32" x14ac:dyDescent="0.3">
      <c r="H22" s="31">
        <f t="shared" si="10"/>
        <v>21750</v>
      </c>
      <c r="I22" s="15">
        <f t="shared" si="0"/>
        <v>126</v>
      </c>
      <c r="J22" s="15">
        <f t="shared" si="1"/>
        <v>-241</v>
      </c>
      <c r="K22" s="15">
        <f t="shared" si="2"/>
        <v>-51</v>
      </c>
      <c r="L22" s="15">
        <f t="shared" si="3"/>
        <v>83</v>
      </c>
      <c r="M22" s="15">
        <f t="shared" si="4"/>
        <v>-83</v>
      </c>
      <c r="AA22" s="19">
        <f t="shared" si="11"/>
        <v>10750</v>
      </c>
      <c r="AB22" s="6">
        <f t="shared" si="5"/>
        <v>126</v>
      </c>
      <c r="AC22" s="6">
        <f t="shared" si="6"/>
        <v>-241</v>
      </c>
      <c r="AD22" s="6">
        <f t="shared" si="7"/>
        <v>-51</v>
      </c>
      <c r="AE22" s="6">
        <f t="shared" si="8"/>
        <v>83</v>
      </c>
      <c r="AF22" s="6">
        <f t="shared" si="9"/>
        <v>-83</v>
      </c>
    </row>
    <row r="23" spans="2:32" x14ac:dyDescent="0.3">
      <c r="H23" s="31">
        <f t="shared" si="10"/>
        <v>21800</v>
      </c>
      <c r="I23" s="15">
        <f t="shared" si="0"/>
        <v>126</v>
      </c>
      <c r="J23" s="15">
        <f t="shared" si="1"/>
        <v>-241</v>
      </c>
      <c r="K23" s="15">
        <f t="shared" si="2"/>
        <v>-51</v>
      </c>
      <c r="L23" s="15">
        <f t="shared" si="3"/>
        <v>83</v>
      </c>
      <c r="M23" s="15">
        <f t="shared" si="4"/>
        <v>-83</v>
      </c>
      <c r="AA23" s="19">
        <f t="shared" si="11"/>
        <v>10800</v>
      </c>
      <c r="AB23" s="6">
        <f t="shared" si="5"/>
        <v>126</v>
      </c>
      <c r="AC23" s="6">
        <f t="shared" si="6"/>
        <v>-241</v>
      </c>
      <c r="AD23" s="6">
        <f t="shared" si="7"/>
        <v>-51</v>
      </c>
      <c r="AE23" s="6">
        <f t="shared" si="8"/>
        <v>83</v>
      </c>
      <c r="AF23" s="6">
        <f t="shared" si="9"/>
        <v>-83</v>
      </c>
    </row>
    <row r="24" spans="2:32" x14ac:dyDescent="0.3">
      <c r="H24" s="31">
        <f t="shared" si="10"/>
        <v>21850</v>
      </c>
      <c r="I24" s="15">
        <f t="shared" si="0"/>
        <v>126</v>
      </c>
      <c r="J24" s="15">
        <f t="shared" si="1"/>
        <v>-191</v>
      </c>
      <c r="K24" s="15">
        <f t="shared" si="2"/>
        <v>-51</v>
      </c>
      <c r="L24" s="15">
        <f t="shared" si="3"/>
        <v>83</v>
      </c>
      <c r="M24" s="15">
        <f t="shared" si="4"/>
        <v>-33</v>
      </c>
      <c r="AA24" s="19">
        <f t="shared" si="11"/>
        <v>10850</v>
      </c>
      <c r="AB24" s="6">
        <f t="shared" si="5"/>
        <v>126</v>
      </c>
      <c r="AC24" s="6">
        <f t="shared" si="6"/>
        <v>-191</v>
      </c>
      <c r="AD24" s="6">
        <f t="shared" si="7"/>
        <v>-51</v>
      </c>
      <c r="AE24" s="6">
        <f t="shared" si="8"/>
        <v>83</v>
      </c>
      <c r="AF24" s="6">
        <f t="shared" si="9"/>
        <v>-33</v>
      </c>
    </row>
    <row r="25" spans="2:32" x14ac:dyDescent="0.3">
      <c r="H25" s="31">
        <f>H24+33</f>
        <v>21883</v>
      </c>
      <c r="I25" s="15">
        <f t="shared" si="0"/>
        <v>126</v>
      </c>
      <c r="J25" s="15">
        <f t="shared" si="1"/>
        <v>-158</v>
      </c>
      <c r="K25" s="15">
        <f t="shared" si="2"/>
        <v>-51</v>
      </c>
      <c r="L25" s="15">
        <f t="shared" si="3"/>
        <v>83</v>
      </c>
      <c r="M25" s="15">
        <f t="shared" si="4"/>
        <v>0</v>
      </c>
      <c r="N25" s="89" t="s">
        <v>149</v>
      </c>
      <c r="O25" s="89"/>
      <c r="AA25" s="19">
        <f>AA24+33</f>
        <v>10883</v>
      </c>
      <c r="AB25" s="6">
        <f t="shared" si="5"/>
        <v>126</v>
      </c>
      <c r="AC25" s="6">
        <f t="shared" si="6"/>
        <v>-158</v>
      </c>
      <c r="AD25" s="6">
        <f t="shared" si="7"/>
        <v>-51</v>
      </c>
      <c r="AE25" s="6">
        <f t="shared" si="8"/>
        <v>83</v>
      </c>
      <c r="AF25" s="6">
        <f t="shared" si="9"/>
        <v>0</v>
      </c>
    </row>
    <row r="26" spans="2:32" x14ac:dyDescent="0.3">
      <c r="H26" s="31">
        <f>H24+50</f>
        <v>21900</v>
      </c>
      <c r="I26" s="15">
        <f t="shared" ref="I26:I51" si="12">(MAX(H26-$J$5,0)-$K$5)*-1</f>
        <v>126</v>
      </c>
      <c r="J26" s="15">
        <f t="shared" ref="J26:J51" si="13">((MAX(H26-$H$5,0)-$I$5))</f>
        <v>-141</v>
      </c>
      <c r="K26" s="15">
        <f t="shared" ref="K26:K51" si="14">(MAX(H26-$L$5,0)-$M$5)</f>
        <v>-51</v>
      </c>
      <c r="L26" s="15">
        <f t="shared" ref="L26:L51" si="15">(MAX(H26-$N$5,0)-$O$5)*-1</f>
        <v>83</v>
      </c>
      <c r="M26" s="15">
        <f t="shared" ref="M26:M51" si="16">SUM(I26:L26)</f>
        <v>17</v>
      </c>
      <c r="AA26" s="19">
        <f>AA24+50</f>
        <v>10900</v>
      </c>
      <c r="AB26" s="6">
        <f t="shared" si="5"/>
        <v>126</v>
      </c>
      <c r="AC26" s="6">
        <f t="shared" si="6"/>
        <v>-141</v>
      </c>
      <c r="AD26" s="6">
        <f t="shared" si="7"/>
        <v>-51</v>
      </c>
      <c r="AE26" s="6">
        <f t="shared" si="8"/>
        <v>83</v>
      </c>
      <c r="AF26" s="6">
        <f t="shared" si="9"/>
        <v>17</v>
      </c>
    </row>
    <row r="27" spans="2:32" x14ac:dyDescent="0.3">
      <c r="H27" s="31">
        <f>H26+9.75</f>
        <v>21909.75</v>
      </c>
      <c r="I27" s="15">
        <f t="shared" si="12"/>
        <v>116.25</v>
      </c>
      <c r="J27" s="15">
        <f t="shared" si="13"/>
        <v>-131.25</v>
      </c>
      <c r="K27" s="15">
        <f t="shared" si="14"/>
        <v>-51</v>
      </c>
      <c r="L27" s="15">
        <f t="shared" si="15"/>
        <v>83</v>
      </c>
      <c r="M27" s="15">
        <f t="shared" si="16"/>
        <v>17</v>
      </c>
      <c r="AA27" s="19">
        <f>AA26+9.75</f>
        <v>10909.75</v>
      </c>
      <c r="AB27" s="6">
        <f t="shared" si="5"/>
        <v>116.25</v>
      </c>
      <c r="AC27" s="6">
        <f t="shared" si="6"/>
        <v>-131.25</v>
      </c>
      <c r="AD27" s="6">
        <f t="shared" si="7"/>
        <v>-51</v>
      </c>
      <c r="AE27" s="6">
        <f t="shared" si="8"/>
        <v>83</v>
      </c>
      <c r="AF27" s="6">
        <f t="shared" si="9"/>
        <v>17</v>
      </c>
    </row>
    <row r="28" spans="2:32" x14ac:dyDescent="0.3">
      <c r="H28" s="31">
        <f>H26+50</f>
        <v>21950</v>
      </c>
      <c r="I28" s="15">
        <f t="shared" si="12"/>
        <v>76</v>
      </c>
      <c r="J28" s="15">
        <f t="shared" si="13"/>
        <v>-91</v>
      </c>
      <c r="K28" s="15">
        <f t="shared" si="14"/>
        <v>-51</v>
      </c>
      <c r="L28" s="15">
        <f t="shared" si="15"/>
        <v>83</v>
      </c>
      <c r="M28" s="15">
        <f t="shared" si="16"/>
        <v>17</v>
      </c>
      <c r="AA28" s="19">
        <f>AA26+50</f>
        <v>10950</v>
      </c>
      <c r="AB28" s="6">
        <f t="shared" si="5"/>
        <v>76</v>
      </c>
      <c r="AC28" s="6">
        <f t="shared" si="6"/>
        <v>-91</v>
      </c>
      <c r="AD28" s="6">
        <f t="shared" si="7"/>
        <v>-51</v>
      </c>
      <c r="AE28" s="6">
        <f t="shared" si="8"/>
        <v>83</v>
      </c>
      <c r="AF28" s="6">
        <f t="shared" si="9"/>
        <v>17</v>
      </c>
    </row>
    <row r="29" spans="2:32" x14ac:dyDescent="0.3">
      <c r="H29" s="31">
        <f>H28+50</f>
        <v>22000</v>
      </c>
      <c r="I29" s="15">
        <f t="shared" si="12"/>
        <v>26</v>
      </c>
      <c r="J29" s="15">
        <f t="shared" si="13"/>
        <v>-41</v>
      </c>
      <c r="K29" s="15">
        <f t="shared" si="14"/>
        <v>-51</v>
      </c>
      <c r="L29" s="15">
        <f t="shared" si="15"/>
        <v>83</v>
      </c>
      <c r="M29" s="15">
        <f t="shared" si="16"/>
        <v>17</v>
      </c>
      <c r="AA29" s="19">
        <f>AA28+50</f>
        <v>11000</v>
      </c>
      <c r="AB29" s="6">
        <f t="shared" si="5"/>
        <v>26</v>
      </c>
      <c r="AC29" s="6">
        <f t="shared" si="6"/>
        <v>-41</v>
      </c>
      <c r="AD29" s="6">
        <f t="shared" si="7"/>
        <v>-51</v>
      </c>
      <c r="AE29" s="6">
        <f t="shared" si="8"/>
        <v>83</v>
      </c>
      <c r="AF29" s="6">
        <f t="shared" si="9"/>
        <v>17</v>
      </c>
    </row>
    <row r="30" spans="2:32" x14ac:dyDescent="0.3">
      <c r="H30" s="31">
        <f>H29+50</f>
        <v>22050</v>
      </c>
      <c r="I30" s="15">
        <f t="shared" si="12"/>
        <v>-24</v>
      </c>
      <c r="J30" s="15">
        <f t="shared" si="13"/>
        <v>9</v>
      </c>
      <c r="K30" s="15">
        <f t="shared" si="14"/>
        <v>-51</v>
      </c>
      <c r="L30" s="15">
        <f t="shared" si="15"/>
        <v>83</v>
      </c>
      <c r="M30" s="15">
        <f t="shared" si="16"/>
        <v>17</v>
      </c>
      <c r="AA30" s="19">
        <f>AA29+50</f>
        <v>11050</v>
      </c>
      <c r="AB30" s="6">
        <f t="shared" si="5"/>
        <v>-24</v>
      </c>
      <c r="AC30" s="6">
        <f t="shared" si="6"/>
        <v>9</v>
      </c>
      <c r="AD30" s="6">
        <f t="shared" si="7"/>
        <v>-51</v>
      </c>
      <c r="AE30" s="6">
        <f t="shared" si="8"/>
        <v>83</v>
      </c>
      <c r="AF30" s="6">
        <f t="shared" si="9"/>
        <v>17</v>
      </c>
    </row>
    <row r="31" spans="2:32" x14ac:dyDescent="0.3">
      <c r="H31" s="31">
        <f>H32-9.75</f>
        <v>22090.25</v>
      </c>
      <c r="I31" s="15">
        <f t="shared" si="12"/>
        <v>-64.25</v>
      </c>
      <c r="J31" s="15">
        <f t="shared" si="13"/>
        <v>49.25</v>
      </c>
      <c r="K31" s="15">
        <f t="shared" si="14"/>
        <v>-51</v>
      </c>
      <c r="L31" s="15">
        <f t="shared" si="15"/>
        <v>83</v>
      </c>
      <c r="M31" s="15">
        <f t="shared" si="16"/>
        <v>17</v>
      </c>
      <c r="AA31" s="19">
        <f>AA32-9.75</f>
        <v>11090.25</v>
      </c>
      <c r="AB31" s="6">
        <f t="shared" si="5"/>
        <v>-64.25</v>
      </c>
      <c r="AC31" s="6">
        <f t="shared" si="6"/>
        <v>49.25</v>
      </c>
      <c r="AD31" s="6">
        <f t="shared" si="7"/>
        <v>-51</v>
      </c>
      <c r="AE31" s="6">
        <f t="shared" si="8"/>
        <v>83</v>
      </c>
      <c r="AF31" s="6">
        <f t="shared" si="9"/>
        <v>17</v>
      </c>
    </row>
    <row r="32" spans="2:32" x14ac:dyDescent="0.3">
      <c r="H32" s="31">
        <f>H30+50</f>
        <v>22100</v>
      </c>
      <c r="I32" s="15">
        <f t="shared" si="12"/>
        <v>-74</v>
      </c>
      <c r="J32" s="15">
        <f t="shared" si="13"/>
        <v>59</v>
      </c>
      <c r="K32" s="15">
        <f t="shared" si="14"/>
        <v>-51</v>
      </c>
      <c r="L32" s="15">
        <f t="shared" si="15"/>
        <v>83</v>
      </c>
      <c r="M32" s="15">
        <f t="shared" si="16"/>
        <v>17</v>
      </c>
      <c r="AA32" s="19">
        <f>AA30+50</f>
        <v>11100</v>
      </c>
      <c r="AB32" s="6">
        <f t="shared" si="5"/>
        <v>-74</v>
      </c>
      <c r="AC32" s="6">
        <f t="shared" si="6"/>
        <v>59</v>
      </c>
      <c r="AD32" s="6">
        <f t="shared" si="7"/>
        <v>-51</v>
      </c>
      <c r="AE32" s="6">
        <f t="shared" si="8"/>
        <v>83</v>
      </c>
      <c r="AF32" s="6">
        <f t="shared" si="9"/>
        <v>17</v>
      </c>
    </row>
    <row r="33" spans="8:32" x14ac:dyDescent="0.3">
      <c r="H33" s="31">
        <f>H34-33</f>
        <v>22117</v>
      </c>
      <c r="I33" s="15">
        <f t="shared" si="12"/>
        <v>-91</v>
      </c>
      <c r="J33" s="15">
        <f t="shared" si="13"/>
        <v>76</v>
      </c>
      <c r="K33" s="15">
        <f t="shared" si="14"/>
        <v>-51</v>
      </c>
      <c r="L33" s="15">
        <f t="shared" si="15"/>
        <v>66</v>
      </c>
      <c r="M33" s="15">
        <f t="shared" si="16"/>
        <v>0</v>
      </c>
      <c r="N33" s="89" t="s">
        <v>150</v>
      </c>
      <c r="O33" s="89"/>
      <c r="AA33" s="19">
        <f>AA34-33</f>
        <v>11117</v>
      </c>
      <c r="AB33" s="6">
        <f t="shared" si="5"/>
        <v>-91</v>
      </c>
      <c r="AC33" s="6">
        <f t="shared" si="6"/>
        <v>76</v>
      </c>
      <c r="AD33" s="6">
        <f t="shared" si="7"/>
        <v>-51</v>
      </c>
      <c r="AE33" s="6">
        <f t="shared" si="8"/>
        <v>66</v>
      </c>
      <c r="AF33" s="6">
        <f t="shared" si="9"/>
        <v>0</v>
      </c>
    </row>
    <row r="34" spans="8:32" x14ac:dyDescent="0.3">
      <c r="H34" s="31">
        <f>H32+50</f>
        <v>22150</v>
      </c>
      <c r="I34" s="15">
        <f t="shared" si="12"/>
        <v>-124</v>
      </c>
      <c r="J34" s="15">
        <f t="shared" si="13"/>
        <v>109</v>
      </c>
      <c r="K34" s="15">
        <f t="shared" si="14"/>
        <v>-51</v>
      </c>
      <c r="L34" s="15">
        <f t="shared" si="15"/>
        <v>33</v>
      </c>
      <c r="M34" s="15">
        <f t="shared" si="16"/>
        <v>-33</v>
      </c>
      <c r="AA34" s="19">
        <f>AA32+50</f>
        <v>11150</v>
      </c>
      <c r="AB34" s="6">
        <f t="shared" si="5"/>
        <v>-124</v>
      </c>
      <c r="AC34" s="6">
        <f t="shared" si="6"/>
        <v>109</v>
      </c>
      <c r="AD34" s="6">
        <f t="shared" si="7"/>
        <v>-51</v>
      </c>
      <c r="AE34" s="6">
        <f t="shared" si="8"/>
        <v>33</v>
      </c>
      <c r="AF34" s="6">
        <f t="shared" si="9"/>
        <v>-33</v>
      </c>
    </row>
    <row r="35" spans="8:32" x14ac:dyDescent="0.3">
      <c r="H35" s="31">
        <f t="shared" ref="H35:H51" si="17">H34+50</f>
        <v>22200</v>
      </c>
      <c r="I35" s="15">
        <f t="shared" si="12"/>
        <v>-174</v>
      </c>
      <c r="J35" s="15">
        <f t="shared" si="13"/>
        <v>159</v>
      </c>
      <c r="K35" s="15">
        <f t="shared" si="14"/>
        <v>-51</v>
      </c>
      <c r="L35" s="15">
        <f t="shared" si="15"/>
        <v>-17</v>
      </c>
      <c r="M35" s="15">
        <f t="shared" si="16"/>
        <v>-83</v>
      </c>
      <c r="AA35" s="19">
        <f t="shared" ref="AA35:AA51" si="18">AA34+50</f>
        <v>11200</v>
      </c>
      <c r="AB35" s="6">
        <f t="shared" si="5"/>
        <v>-174</v>
      </c>
      <c r="AC35" s="6">
        <f t="shared" si="6"/>
        <v>159</v>
      </c>
      <c r="AD35" s="6">
        <f t="shared" si="7"/>
        <v>-51</v>
      </c>
      <c r="AE35" s="6">
        <f t="shared" si="8"/>
        <v>-17</v>
      </c>
      <c r="AF35" s="6">
        <f t="shared" si="9"/>
        <v>-83</v>
      </c>
    </row>
    <row r="36" spans="8:32" x14ac:dyDescent="0.3">
      <c r="H36" s="31">
        <f t="shared" si="17"/>
        <v>22250</v>
      </c>
      <c r="I36" s="15">
        <f t="shared" si="12"/>
        <v>-224</v>
      </c>
      <c r="J36" s="15">
        <f t="shared" si="13"/>
        <v>209</v>
      </c>
      <c r="K36" s="15">
        <f t="shared" si="14"/>
        <v>-1</v>
      </c>
      <c r="L36" s="15">
        <f t="shared" si="15"/>
        <v>-67</v>
      </c>
      <c r="M36" s="15">
        <f t="shared" si="16"/>
        <v>-83</v>
      </c>
      <c r="AA36" s="19">
        <f t="shared" si="18"/>
        <v>11250</v>
      </c>
      <c r="AB36" s="6">
        <f t="shared" si="5"/>
        <v>-224</v>
      </c>
      <c r="AC36" s="6">
        <f t="shared" si="6"/>
        <v>209</v>
      </c>
      <c r="AD36" s="6">
        <f t="shared" si="7"/>
        <v>-1</v>
      </c>
      <c r="AE36" s="6">
        <f t="shared" si="8"/>
        <v>-67</v>
      </c>
      <c r="AF36" s="6">
        <f t="shared" si="9"/>
        <v>-83</v>
      </c>
    </row>
    <row r="37" spans="8:32" x14ac:dyDescent="0.3">
      <c r="H37" s="31">
        <f t="shared" si="17"/>
        <v>22300</v>
      </c>
      <c r="I37" s="15">
        <f t="shared" si="12"/>
        <v>-274</v>
      </c>
      <c r="J37" s="15">
        <f t="shared" si="13"/>
        <v>259</v>
      </c>
      <c r="K37" s="15">
        <f t="shared" si="14"/>
        <v>49</v>
      </c>
      <c r="L37" s="15">
        <f t="shared" si="15"/>
        <v>-117</v>
      </c>
      <c r="M37" s="15">
        <f t="shared" si="16"/>
        <v>-83</v>
      </c>
      <c r="AA37" s="19">
        <f t="shared" si="18"/>
        <v>11300</v>
      </c>
      <c r="AB37" s="6">
        <f t="shared" si="5"/>
        <v>-274</v>
      </c>
      <c r="AC37" s="6">
        <f t="shared" si="6"/>
        <v>259</v>
      </c>
      <c r="AD37" s="6">
        <f t="shared" si="7"/>
        <v>49</v>
      </c>
      <c r="AE37" s="6">
        <f t="shared" si="8"/>
        <v>-117</v>
      </c>
      <c r="AF37" s="6">
        <f t="shared" si="9"/>
        <v>-83</v>
      </c>
    </row>
    <row r="38" spans="8:32" x14ac:dyDescent="0.3">
      <c r="H38" s="31">
        <f t="shared" si="17"/>
        <v>22350</v>
      </c>
      <c r="I38" s="15">
        <f t="shared" si="12"/>
        <v>-324</v>
      </c>
      <c r="J38" s="15">
        <f t="shared" si="13"/>
        <v>309</v>
      </c>
      <c r="K38" s="15">
        <f t="shared" si="14"/>
        <v>99</v>
      </c>
      <c r="L38" s="15">
        <f t="shared" si="15"/>
        <v>-167</v>
      </c>
      <c r="M38" s="15">
        <f t="shared" si="16"/>
        <v>-83</v>
      </c>
      <c r="AA38" s="19">
        <f t="shared" si="18"/>
        <v>11350</v>
      </c>
      <c r="AB38" s="6">
        <f t="shared" si="5"/>
        <v>-324</v>
      </c>
      <c r="AC38" s="6">
        <f t="shared" si="6"/>
        <v>309</v>
      </c>
      <c r="AD38" s="6">
        <f t="shared" si="7"/>
        <v>99</v>
      </c>
      <c r="AE38" s="6">
        <f t="shared" si="8"/>
        <v>-167</v>
      </c>
      <c r="AF38" s="6">
        <f t="shared" si="9"/>
        <v>-83</v>
      </c>
    </row>
    <row r="39" spans="8:32" x14ac:dyDescent="0.3">
      <c r="H39" s="31">
        <f t="shared" si="17"/>
        <v>22400</v>
      </c>
      <c r="I39" s="15">
        <f t="shared" si="12"/>
        <v>-374</v>
      </c>
      <c r="J39" s="15">
        <f t="shared" si="13"/>
        <v>359</v>
      </c>
      <c r="K39" s="15">
        <f t="shared" si="14"/>
        <v>149</v>
      </c>
      <c r="L39" s="15">
        <f t="shared" si="15"/>
        <v>-217</v>
      </c>
      <c r="M39" s="15">
        <f t="shared" si="16"/>
        <v>-83</v>
      </c>
      <c r="AA39" s="19">
        <f t="shared" si="18"/>
        <v>11400</v>
      </c>
      <c r="AB39" s="6">
        <f t="shared" si="5"/>
        <v>-374</v>
      </c>
      <c r="AC39" s="6">
        <f t="shared" si="6"/>
        <v>359</v>
      </c>
      <c r="AD39" s="6">
        <f t="shared" si="7"/>
        <v>149</v>
      </c>
      <c r="AE39" s="6">
        <f t="shared" si="8"/>
        <v>-217</v>
      </c>
      <c r="AF39" s="6">
        <f t="shared" si="9"/>
        <v>-83</v>
      </c>
    </row>
    <row r="40" spans="8:32" x14ac:dyDescent="0.3">
      <c r="H40" s="31">
        <f t="shared" si="17"/>
        <v>22450</v>
      </c>
      <c r="I40" s="15">
        <f t="shared" si="12"/>
        <v>-424</v>
      </c>
      <c r="J40" s="15">
        <f t="shared" si="13"/>
        <v>409</v>
      </c>
      <c r="K40" s="15">
        <f t="shared" si="14"/>
        <v>199</v>
      </c>
      <c r="L40" s="15">
        <f t="shared" si="15"/>
        <v>-267</v>
      </c>
      <c r="M40" s="15">
        <f t="shared" si="16"/>
        <v>-83</v>
      </c>
      <c r="AA40" s="19">
        <f t="shared" si="18"/>
        <v>11450</v>
      </c>
      <c r="AB40" s="6">
        <f t="shared" si="5"/>
        <v>-424</v>
      </c>
      <c r="AC40" s="6">
        <f t="shared" si="6"/>
        <v>409</v>
      </c>
      <c r="AD40" s="6">
        <f t="shared" si="7"/>
        <v>199</v>
      </c>
      <c r="AE40" s="6">
        <f t="shared" si="8"/>
        <v>-267</v>
      </c>
      <c r="AF40" s="6">
        <f t="shared" si="9"/>
        <v>-83</v>
      </c>
    </row>
    <row r="41" spans="8:32" x14ac:dyDescent="0.3">
      <c r="H41" s="31">
        <f t="shared" si="17"/>
        <v>22500</v>
      </c>
      <c r="I41" s="15">
        <f t="shared" si="12"/>
        <v>-474</v>
      </c>
      <c r="J41" s="15">
        <f t="shared" si="13"/>
        <v>459</v>
      </c>
      <c r="K41" s="15">
        <f t="shared" si="14"/>
        <v>249</v>
      </c>
      <c r="L41" s="15">
        <f t="shared" si="15"/>
        <v>-317</v>
      </c>
      <c r="M41" s="15">
        <f t="shared" si="16"/>
        <v>-83</v>
      </c>
      <c r="AA41" s="19">
        <f t="shared" si="18"/>
        <v>11500</v>
      </c>
      <c r="AB41" s="6">
        <f t="shared" si="5"/>
        <v>-474</v>
      </c>
      <c r="AC41" s="6">
        <f t="shared" si="6"/>
        <v>459</v>
      </c>
      <c r="AD41" s="6">
        <f t="shared" si="7"/>
        <v>249</v>
      </c>
      <c r="AE41" s="6">
        <f t="shared" si="8"/>
        <v>-317</v>
      </c>
      <c r="AF41" s="6">
        <f t="shared" si="9"/>
        <v>-83</v>
      </c>
    </row>
    <row r="42" spans="8:32" x14ac:dyDescent="0.3">
      <c r="H42" s="31">
        <f t="shared" si="17"/>
        <v>22550</v>
      </c>
      <c r="I42" s="15">
        <f t="shared" si="12"/>
        <v>-524</v>
      </c>
      <c r="J42" s="15">
        <f t="shared" si="13"/>
        <v>509</v>
      </c>
      <c r="K42" s="15">
        <f t="shared" si="14"/>
        <v>299</v>
      </c>
      <c r="L42" s="15">
        <f t="shared" si="15"/>
        <v>-367</v>
      </c>
      <c r="M42" s="15">
        <f t="shared" si="16"/>
        <v>-83</v>
      </c>
      <c r="AA42" s="19">
        <f t="shared" si="18"/>
        <v>11550</v>
      </c>
      <c r="AB42" s="6">
        <f t="shared" si="5"/>
        <v>-524</v>
      </c>
      <c r="AC42" s="6">
        <f t="shared" si="6"/>
        <v>509</v>
      </c>
      <c r="AD42" s="6">
        <f t="shared" si="7"/>
        <v>299</v>
      </c>
      <c r="AE42" s="6">
        <f t="shared" si="8"/>
        <v>-367</v>
      </c>
      <c r="AF42" s="6">
        <f t="shared" si="9"/>
        <v>-83</v>
      </c>
    </row>
    <row r="43" spans="8:32" x14ac:dyDescent="0.3">
      <c r="H43" s="31">
        <f t="shared" si="17"/>
        <v>22600</v>
      </c>
      <c r="I43" s="15">
        <f t="shared" si="12"/>
        <v>-574</v>
      </c>
      <c r="J43" s="15">
        <f t="shared" si="13"/>
        <v>559</v>
      </c>
      <c r="K43" s="15">
        <f t="shared" si="14"/>
        <v>349</v>
      </c>
      <c r="L43" s="15">
        <f t="shared" si="15"/>
        <v>-417</v>
      </c>
      <c r="M43" s="15">
        <f t="shared" si="16"/>
        <v>-83</v>
      </c>
      <c r="AA43" s="19">
        <f t="shared" si="18"/>
        <v>11600</v>
      </c>
      <c r="AB43" s="6">
        <f t="shared" si="5"/>
        <v>-574</v>
      </c>
      <c r="AC43" s="6">
        <f t="shared" si="6"/>
        <v>559</v>
      </c>
      <c r="AD43" s="6">
        <f t="shared" si="7"/>
        <v>349</v>
      </c>
      <c r="AE43" s="6">
        <f t="shared" si="8"/>
        <v>-417</v>
      </c>
      <c r="AF43" s="6">
        <f t="shared" si="9"/>
        <v>-83</v>
      </c>
    </row>
    <row r="44" spans="8:32" x14ac:dyDescent="0.3">
      <c r="H44" s="31">
        <f t="shared" si="17"/>
        <v>22650</v>
      </c>
      <c r="I44" s="15">
        <f t="shared" si="12"/>
        <v>-624</v>
      </c>
      <c r="J44" s="15">
        <f t="shared" si="13"/>
        <v>609</v>
      </c>
      <c r="K44" s="15">
        <f t="shared" si="14"/>
        <v>399</v>
      </c>
      <c r="L44" s="15">
        <f t="shared" si="15"/>
        <v>-467</v>
      </c>
      <c r="M44" s="15">
        <f t="shared" si="16"/>
        <v>-83</v>
      </c>
      <c r="AA44" s="19">
        <f t="shared" si="18"/>
        <v>11650</v>
      </c>
      <c r="AB44" s="6">
        <f t="shared" si="5"/>
        <v>-624</v>
      </c>
      <c r="AC44" s="6">
        <f t="shared" si="6"/>
        <v>609</v>
      </c>
      <c r="AD44" s="6">
        <f t="shared" si="7"/>
        <v>399</v>
      </c>
      <c r="AE44" s="6">
        <f t="shared" si="8"/>
        <v>-467</v>
      </c>
      <c r="AF44" s="6">
        <f t="shared" si="9"/>
        <v>-83</v>
      </c>
    </row>
    <row r="45" spans="8:32" x14ac:dyDescent="0.3">
      <c r="H45" s="31">
        <f t="shared" si="17"/>
        <v>22700</v>
      </c>
      <c r="I45" s="15">
        <f t="shared" si="12"/>
        <v>-674</v>
      </c>
      <c r="J45" s="15">
        <f t="shared" si="13"/>
        <v>659</v>
      </c>
      <c r="K45" s="15">
        <f t="shared" si="14"/>
        <v>449</v>
      </c>
      <c r="L45" s="15">
        <f t="shared" si="15"/>
        <v>-517</v>
      </c>
      <c r="M45" s="15">
        <f t="shared" si="16"/>
        <v>-83</v>
      </c>
      <c r="AA45" s="19">
        <f t="shared" si="18"/>
        <v>11700</v>
      </c>
      <c r="AB45" s="6">
        <f t="shared" si="5"/>
        <v>-674</v>
      </c>
      <c r="AC45" s="6">
        <f t="shared" si="6"/>
        <v>659</v>
      </c>
      <c r="AD45" s="6">
        <f t="shared" si="7"/>
        <v>449</v>
      </c>
      <c r="AE45" s="6">
        <f t="shared" si="8"/>
        <v>-517</v>
      </c>
      <c r="AF45" s="6">
        <f t="shared" si="9"/>
        <v>-83</v>
      </c>
    </row>
    <row r="46" spans="8:32" x14ac:dyDescent="0.3">
      <c r="H46" s="31">
        <f t="shared" si="17"/>
        <v>22750</v>
      </c>
      <c r="I46" s="15">
        <f t="shared" si="12"/>
        <v>-724</v>
      </c>
      <c r="J46" s="15">
        <f t="shared" si="13"/>
        <v>709</v>
      </c>
      <c r="K46" s="15">
        <f t="shared" si="14"/>
        <v>499</v>
      </c>
      <c r="L46" s="15">
        <f t="shared" si="15"/>
        <v>-567</v>
      </c>
      <c r="M46" s="15">
        <f t="shared" si="16"/>
        <v>-83</v>
      </c>
      <c r="AA46" s="19">
        <f t="shared" si="18"/>
        <v>11750</v>
      </c>
      <c r="AB46" s="6">
        <f t="shared" si="5"/>
        <v>-724</v>
      </c>
      <c r="AC46" s="6">
        <f t="shared" si="6"/>
        <v>709</v>
      </c>
      <c r="AD46" s="6">
        <f t="shared" si="7"/>
        <v>499</v>
      </c>
      <c r="AE46" s="6">
        <f t="shared" si="8"/>
        <v>-567</v>
      </c>
      <c r="AF46" s="6">
        <f t="shared" si="9"/>
        <v>-83</v>
      </c>
    </row>
    <row r="47" spans="8:32" x14ac:dyDescent="0.3">
      <c r="H47" s="31">
        <f t="shared" si="17"/>
        <v>22800</v>
      </c>
      <c r="I47" s="15">
        <f t="shared" si="12"/>
        <v>-774</v>
      </c>
      <c r="J47" s="15">
        <f t="shared" si="13"/>
        <v>759</v>
      </c>
      <c r="K47" s="15">
        <f t="shared" si="14"/>
        <v>549</v>
      </c>
      <c r="L47" s="15">
        <f t="shared" si="15"/>
        <v>-617</v>
      </c>
      <c r="M47" s="15">
        <f t="shared" si="16"/>
        <v>-83</v>
      </c>
      <c r="AA47" s="19">
        <f t="shared" si="18"/>
        <v>11800</v>
      </c>
      <c r="AB47" s="6">
        <f t="shared" si="5"/>
        <v>-774</v>
      </c>
      <c r="AC47" s="6">
        <f t="shared" si="6"/>
        <v>759</v>
      </c>
      <c r="AD47" s="6">
        <f t="shared" si="7"/>
        <v>549</v>
      </c>
      <c r="AE47" s="6">
        <f t="shared" si="8"/>
        <v>-617</v>
      </c>
      <c r="AF47" s="6">
        <f t="shared" si="9"/>
        <v>-83</v>
      </c>
    </row>
    <row r="48" spans="8:32" x14ac:dyDescent="0.3">
      <c r="H48" s="31">
        <f t="shared" si="17"/>
        <v>22850</v>
      </c>
      <c r="I48" s="15">
        <f t="shared" si="12"/>
        <v>-824</v>
      </c>
      <c r="J48" s="15">
        <f t="shared" si="13"/>
        <v>809</v>
      </c>
      <c r="K48" s="15">
        <f t="shared" si="14"/>
        <v>599</v>
      </c>
      <c r="L48" s="15">
        <f t="shared" si="15"/>
        <v>-667</v>
      </c>
      <c r="M48" s="15">
        <f t="shared" si="16"/>
        <v>-83</v>
      </c>
      <c r="AA48" s="19">
        <f t="shared" si="18"/>
        <v>11850</v>
      </c>
      <c r="AB48" s="6">
        <f t="shared" si="5"/>
        <v>-824</v>
      </c>
      <c r="AC48" s="6">
        <f t="shared" si="6"/>
        <v>809</v>
      </c>
      <c r="AD48" s="6">
        <f t="shared" si="7"/>
        <v>599</v>
      </c>
      <c r="AE48" s="6">
        <f t="shared" si="8"/>
        <v>-667</v>
      </c>
      <c r="AF48" s="6">
        <f t="shared" si="9"/>
        <v>-83</v>
      </c>
    </row>
    <row r="49" spans="8:32" x14ac:dyDescent="0.3">
      <c r="H49" s="31">
        <f t="shared" si="17"/>
        <v>22900</v>
      </c>
      <c r="I49" s="15">
        <f t="shared" si="12"/>
        <v>-874</v>
      </c>
      <c r="J49" s="15">
        <f t="shared" si="13"/>
        <v>859</v>
      </c>
      <c r="K49" s="15">
        <f t="shared" si="14"/>
        <v>649</v>
      </c>
      <c r="L49" s="15">
        <f t="shared" si="15"/>
        <v>-717</v>
      </c>
      <c r="M49" s="15">
        <f t="shared" si="16"/>
        <v>-83</v>
      </c>
      <c r="AA49" s="19">
        <f t="shared" si="18"/>
        <v>11900</v>
      </c>
      <c r="AB49" s="6">
        <f t="shared" si="5"/>
        <v>-874</v>
      </c>
      <c r="AC49" s="6">
        <f t="shared" si="6"/>
        <v>859</v>
      </c>
      <c r="AD49" s="6">
        <f t="shared" si="7"/>
        <v>649</v>
      </c>
      <c r="AE49" s="6">
        <f t="shared" si="8"/>
        <v>-717</v>
      </c>
      <c r="AF49" s="6">
        <f t="shared" si="9"/>
        <v>-83</v>
      </c>
    </row>
    <row r="50" spans="8:32" x14ac:dyDescent="0.3">
      <c r="H50" s="31">
        <f t="shared" si="17"/>
        <v>22950</v>
      </c>
      <c r="I50" s="15">
        <f t="shared" si="12"/>
        <v>-924</v>
      </c>
      <c r="J50" s="15">
        <f t="shared" si="13"/>
        <v>909</v>
      </c>
      <c r="K50" s="15">
        <f t="shared" si="14"/>
        <v>699</v>
      </c>
      <c r="L50" s="15">
        <f t="shared" si="15"/>
        <v>-767</v>
      </c>
      <c r="M50" s="15">
        <f t="shared" si="16"/>
        <v>-83</v>
      </c>
      <c r="AA50" s="19">
        <f t="shared" si="18"/>
        <v>11950</v>
      </c>
      <c r="AB50" s="6">
        <f t="shared" si="5"/>
        <v>-924</v>
      </c>
      <c r="AC50" s="6">
        <f t="shared" si="6"/>
        <v>909</v>
      </c>
      <c r="AD50" s="6">
        <f t="shared" si="7"/>
        <v>699</v>
      </c>
      <c r="AE50" s="6">
        <f t="shared" si="8"/>
        <v>-767</v>
      </c>
      <c r="AF50" s="6">
        <f t="shared" si="9"/>
        <v>-83</v>
      </c>
    </row>
    <row r="51" spans="8:32" x14ac:dyDescent="0.3">
      <c r="H51" s="31">
        <f t="shared" si="17"/>
        <v>23000</v>
      </c>
      <c r="I51" s="15">
        <f t="shared" si="12"/>
        <v>-974</v>
      </c>
      <c r="J51" s="15">
        <f t="shared" si="13"/>
        <v>959</v>
      </c>
      <c r="K51" s="15">
        <f t="shared" si="14"/>
        <v>749</v>
      </c>
      <c r="L51" s="15">
        <f t="shared" si="15"/>
        <v>-817</v>
      </c>
      <c r="M51" s="15">
        <f t="shared" si="16"/>
        <v>-83</v>
      </c>
      <c r="AA51" s="19">
        <f t="shared" si="18"/>
        <v>12000</v>
      </c>
      <c r="AB51" s="6">
        <f t="shared" si="5"/>
        <v>-974</v>
      </c>
      <c r="AC51" s="6">
        <f t="shared" si="6"/>
        <v>959</v>
      </c>
      <c r="AD51" s="6">
        <f t="shared" si="7"/>
        <v>749</v>
      </c>
      <c r="AE51" s="6">
        <f t="shared" si="8"/>
        <v>-817</v>
      </c>
      <c r="AF51" s="6">
        <f t="shared" si="9"/>
        <v>-83</v>
      </c>
    </row>
  </sheetData>
  <sheetProtection algorithmName="SHA-512" hashValue="ByZ12jXBwJgVTgd3gDUKwVYuP6NZXYb8aenwLEs4ZNpVfASyGwEuRUU/F8xN5gFwZQEV5zyLMlU/Lv1cTV2Z5g==" saltValue="U7xJCE/usNWez7LIfMCkwQ==" spinCount="100000" sheet="1" objects="1" scenarios="1"/>
  <mergeCells count="8">
    <mergeCell ref="B3:F13"/>
    <mergeCell ref="B15:F19"/>
    <mergeCell ref="N25:O25"/>
    <mergeCell ref="N33:O33"/>
    <mergeCell ref="Q3:T3"/>
    <mergeCell ref="Q4:T7"/>
    <mergeCell ref="Q9:T13"/>
    <mergeCell ref="Q15:T20"/>
  </mergeCells>
  <conditionalFormatting sqref="I7:I51 K7:L51">
    <cfRule type="cellIs" dxfId="19" priority="9" operator="lessThan">
      <formula>$G$9</formula>
    </cfRule>
    <cfRule type="cellIs" dxfId="18" priority="10" operator="greaterThan">
      <formula>0</formula>
    </cfRule>
  </conditionalFormatting>
  <conditionalFormatting sqref="J7:J51 M7:M51">
    <cfRule type="cellIs" dxfId="17" priority="6" operator="lessThan">
      <formula>0</formula>
    </cfRule>
    <cfRule type="cellIs" dxfId="16" priority="7" operator="lessThan">
      <formula>#REF!</formula>
    </cfRule>
    <cfRule type="cellIs" dxfId="15" priority="8" operator="greaterThan">
      <formula>0</formula>
    </cfRule>
  </conditionalFormatting>
  <conditionalFormatting sqref="AB7:AB51 AD7:AE51">
    <cfRule type="cellIs" dxfId="14" priority="4" operator="lessThan">
      <formula>$G$9</formula>
    </cfRule>
    <cfRule type="cellIs" dxfId="13" priority="5" operator="greaterThan">
      <formula>0</formula>
    </cfRule>
  </conditionalFormatting>
  <conditionalFormatting sqref="AC7:AC51 AF7:AF51">
    <cfRule type="cellIs" dxfId="12" priority="1" operator="lessThan">
      <formula>0</formula>
    </cfRule>
    <cfRule type="cellIs" dxfId="11" priority="2" operator="lessThan">
      <formula>#REF!</formula>
    </cfRule>
    <cfRule type="cellIs" dxfId="10" priority="3" operator="greaterThan">
      <formula>0</formula>
    </cfRule>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C3E7-D1AE-4F40-8F58-E2F34163A517}">
  <sheetPr codeName="Sheet20"/>
  <dimension ref="B1:R49"/>
  <sheetViews>
    <sheetView topLeftCell="A6" workbookViewId="0">
      <selection activeCell="AB12" sqref="AB12"/>
    </sheetView>
  </sheetViews>
  <sheetFormatPr defaultRowHeight="14.4" x14ac:dyDescent="0.3"/>
  <cols>
    <col min="8" max="8" width="11.21875" bestFit="1" customWidth="1"/>
    <col min="9" max="10" width="10.88671875" bestFit="1" customWidth="1"/>
    <col min="11" max="11" width="9.33203125" bestFit="1" customWidth="1"/>
    <col min="12" max="12" width="9.109375" bestFit="1" customWidth="1"/>
  </cols>
  <sheetData>
    <row r="1" spans="2:18" ht="15" thickBot="1" x14ac:dyDescent="0.35"/>
    <row r="2" spans="2:18" ht="15" thickBot="1" x14ac:dyDescent="0.35">
      <c r="O2" s="230" t="s">
        <v>71</v>
      </c>
      <c r="P2" s="201"/>
      <c r="Q2" s="201"/>
      <c r="R2" s="202"/>
    </row>
    <row r="3" spans="2:18" x14ac:dyDescent="0.3">
      <c r="B3" s="136" t="s">
        <v>139</v>
      </c>
      <c r="C3" s="137"/>
      <c r="D3" s="137"/>
      <c r="E3" s="137"/>
      <c r="F3" s="138"/>
      <c r="H3" s="27" t="s">
        <v>133</v>
      </c>
      <c r="I3" s="3"/>
      <c r="J3" s="27" t="s">
        <v>14</v>
      </c>
      <c r="K3" s="3"/>
      <c r="L3" s="27" t="s">
        <v>15</v>
      </c>
      <c r="M3" s="3"/>
      <c r="O3" s="105" t="s">
        <v>143</v>
      </c>
      <c r="P3" s="210"/>
      <c r="Q3" s="210"/>
      <c r="R3" s="211"/>
    </row>
    <row r="4" spans="2:18" x14ac:dyDescent="0.3">
      <c r="B4" s="105"/>
      <c r="C4" s="106"/>
      <c r="D4" s="106"/>
      <c r="E4" s="106"/>
      <c r="F4" s="107"/>
      <c r="H4" s="1" t="s">
        <v>52</v>
      </c>
      <c r="I4" s="1" t="s">
        <v>141</v>
      </c>
      <c r="J4" s="1" t="s">
        <v>52</v>
      </c>
      <c r="K4" s="1" t="s">
        <v>142</v>
      </c>
      <c r="L4" s="1" t="s">
        <v>52</v>
      </c>
      <c r="M4" s="1" t="s">
        <v>142</v>
      </c>
      <c r="O4" s="231"/>
      <c r="P4" s="210"/>
      <c r="Q4" s="210"/>
      <c r="R4" s="211"/>
    </row>
    <row r="5" spans="2:18" x14ac:dyDescent="0.3">
      <c r="B5" s="105"/>
      <c r="C5" s="106"/>
      <c r="D5" s="106"/>
      <c r="E5" s="106"/>
      <c r="F5" s="107"/>
      <c r="H5" s="19">
        <v>22000</v>
      </c>
      <c r="I5" s="19">
        <v>97.9</v>
      </c>
      <c r="J5" s="19">
        <v>21900</v>
      </c>
      <c r="K5" s="19">
        <v>141.55000000000001</v>
      </c>
      <c r="L5" s="19">
        <v>22100</v>
      </c>
      <c r="M5" s="19">
        <v>64</v>
      </c>
      <c r="O5" s="231"/>
      <c r="P5" s="210"/>
      <c r="Q5" s="210"/>
      <c r="R5" s="211"/>
    </row>
    <row r="6" spans="2:18" x14ac:dyDescent="0.3">
      <c r="B6" s="105"/>
      <c r="C6" s="106"/>
      <c r="D6" s="106"/>
      <c r="E6" s="106"/>
      <c r="F6" s="107"/>
      <c r="H6" s="1" t="s">
        <v>4</v>
      </c>
      <c r="I6" s="17" t="str">
        <f>K4</f>
        <v>CALL SELL</v>
      </c>
      <c r="J6" s="1" t="str">
        <f>I4</f>
        <v xml:space="preserve"> 2 CALL BUY</v>
      </c>
      <c r="K6" s="1" t="str">
        <f>M4</f>
        <v>CALL SELL</v>
      </c>
      <c r="L6" s="1" t="s">
        <v>37</v>
      </c>
      <c r="O6" s="231"/>
      <c r="P6" s="210"/>
      <c r="Q6" s="210"/>
      <c r="R6" s="211"/>
    </row>
    <row r="7" spans="2:18" ht="15" thickBot="1" x14ac:dyDescent="0.35">
      <c r="B7" s="105"/>
      <c r="C7" s="106"/>
      <c r="D7" s="106"/>
      <c r="E7" s="106"/>
      <c r="F7" s="107"/>
      <c r="H7" s="19">
        <v>21000</v>
      </c>
      <c r="I7" s="6">
        <f>(MAX(H7-$J$5,0)-$K$5)*-1</f>
        <v>141.55000000000001</v>
      </c>
      <c r="J7" s="6">
        <f>((MAX(H7-$H$5,0)-$I$5))*2</f>
        <v>-195.8</v>
      </c>
      <c r="K7" s="6">
        <f>(MAX(H7-$L$5,0)-$M$5)*-1</f>
        <v>64</v>
      </c>
      <c r="L7" s="6">
        <f>SUM(I7:K7)</f>
        <v>9.75</v>
      </c>
      <c r="O7" s="212"/>
      <c r="P7" s="213"/>
      <c r="Q7" s="213"/>
      <c r="R7" s="214"/>
    </row>
    <row r="8" spans="2:18" ht="15" thickBot="1" x14ac:dyDescent="0.35">
      <c r="B8" s="105"/>
      <c r="C8" s="106"/>
      <c r="D8" s="106"/>
      <c r="E8" s="106"/>
      <c r="F8" s="107"/>
      <c r="H8" s="19">
        <f>H7+50</f>
        <v>21050</v>
      </c>
      <c r="I8" s="6">
        <f t="shared" ref="I8:I49" si="0">(MAX(H8-$J$5,0)-$K$5)*-1</f>
        <v>141.55000000000001</v>
      </c>
      <c r="J8" s="6">
        <f t="shared" ref="J8:J49" si="1">((MAX(H8-$H$5,0)-$I$5))*2</f>
        <v>-195.8</v>
      </c>
      <c r="K8" s="6">
        <f t="shared" ref="K8:K49" si="2">(MAX(H8-$L$5,0)-$M$5)*-1</f>
        <v>64</v>
      </c>
      <c r="L8" s="6">
        <f t="shared" ref="L8:L49" si="3">SUM(I8:K8)</f>
        <v>9.75</v>
      </c>
    </row>
    <row r="9" spans="2:18" x14ac:dyDescent="0.3">
      <c r="B9" s="105"/>
      <c r="C9" s="106"/>
      <c r="D9" s="106"/>
      <c r="E9" s="106"/>
      <c r="F9" s="107"/>
      <c r="H9" s="19">
        <f t="shared" ref="H9:H25" si="4">H8+50</f>
        <v>21100</v>
      </c>
      <c r="I9" s="6">
        <f t="shared" si="0"/>
        <v>141.55000000000001</v>
      </c>
      <c r="J9" s="6">
        <f t="shared" si="1"/>
        <v>-195.8</v>
      </c>
      <c r="K9" s="6">
        <f t="shared" si="2"/>
        <v>64</v>
      </c>
      <c r="L9" s="6">
        <f t="shared" si="3"/>
        <v>9.75</v>
      </c>
      <c r="O9" s="139" t="s">
        <v>144</v>
      </c>
      <c r="P9" s="201"/>
      <c r="Q9" s="201"/>
      <c r="R9" s="202"/>
    </row>
    <row r="10" spans="2:18" x14ac:dyDescent="0.3">
      <c r="B10" s="105"/>
      <c r="C10" s="106"/>
      <c r="D10" s="106"/>
      <c r="E10" s="106"/>
      <c r="F10" s="107"/>
      <c r="H10" s="19">
        <f t="shared" si="4"/>
        <v>21150</v>
      </c>
      <c r="I10" s="6">
        <f t="shared" si="0"/>
        <v>141.55000000000001</v>
      </c>
      <c r="J10" s="6">
        <f t="shared" si="1"/>
        <v>-195.8</v>
      </c>
      <c r="K10" s="6">
        <f t="shared" si="2"/>
        <v>64</v>
      </c>
      <c r="L10" s="6">
        <f t="shared" si="3"/>
        <v>9.75</v>
      </c>
      <c r="O10" s="203"/>
      <c r="P10" s="204"/>
      <c r="Q10" s="204"/>
      <c r="R10" s="205"/>
    </row>
    <row r="11" spans="2:18" x14ac:dyDescent="0.3">
      <c r="B11" s="105"/>
      <c r="C11" s="106"/>
      <c r="D11" s="106"/>
      <c r="E11" s="106"/>
      <c r="F11" s="107"/>
      <c r="H11" s="19">
        <f t="shared" si="4"/>
        <v>21200</v>
      </c>
      <c r="I11" s="6">
        <f t="shared" si="0"/>
        <v>141.55000000000001</v>
      </c>
      <c r="J11" s="6">
        <f t="shared" si="1"/>
        <v>-195.8</v>
      </c>
      <c r="K11" s="6">
        <f t="shared" si="2"/>
        <v>64</v>
      </c>
      <c r="L11" s="6">
        <f t="shared" si="3"/>
        <v>9.75</v>
      </c>
      <c r="O11" s="203"/>
      <c r="P11" s="204"/>
      <c r="Q11" s="204"/>
      <c r="R11" s="205"/>
    </row>
    <row r="12" spans="2:18" ht="15" thickBot="1" x14ac:dyDescent="0.35">
      <c r="B12" s="108"/>
      <c r="C12" s="109"/>
      <c r="D12" s="109"/>
      <c r="E12" s="109"/>
      <c r="F12" s="110"/>
      <c r="H12" s="19">
        <f t="shared" si="4"/>
        <v>21250</v>
      </c>
      <c r="I12" s="6">
        <f t="shared" si="0"/>
        <v>141.55000000000001</v>
      </c>
      <c r="J12" s="6">
        <f t="shared" si="1"/>
        <v>-195.8</v>
      </c>
      <c r="K12" s="6">
        <f t="shared" si="2"/>
        <v>64</v>
      </c>
      <c r="L12" s="6">
        <f t="shared" si="3"/>
        <v>9.75</v>
      </c>
      <c r="O12" s="203"/>
      <c r="P12" s="204"/>
      <c r="Q12" s="204"/>
      <c r="R12" s="205"/>
    </row>
    <row r="13" spans="2:18" ht="15" thickBot="1" x14ac:dyDescent="0.35">
      <c r="H13" s="19">
        <f t="shared" si="4"/>
        <v>21300</v>
      </c>
      <c r="I13" s="6">
        <f t="shared" si="0"/>
        <v>141.55000000000001</v>
      </c>
      <c r="J13" s="6">
        <f t="shared" si="1"/>
        <v>-195.8</v>
      </c>
      <c r="K13" s="6">
        <f t="shared" si="2"/>
        <v>64</v>
      </c>
      <c r="L13" s="6">
        <f t="shared" si="3"/>
        <v>9.75</v>
      </c>
      <c r="O13" s="206"/>
      <c r="P13" s="207"/>
      <c r="Q13" s="207"/>
      <c r="R13" s="208"/>
    </row>
    <row r="14" spans="2:18" ht="15" thickBot="1" x14ac:dyDescent="0.35">
      <c r="B14" s="41" t="s">
        <v>140</v>
      </c>
      <c r="C14" s="42"/>
      <c r="D14" s="42"/>
      <c r="E14" s="42"/>
      <c r="F14" s="43"/>
      <c r="H14" s="19">
        <f t="shared" si="4"/>
        <v>21350</v>
      </c>
      <c r="I14" s="6">
        <f t="shared" si="0"/>
        <v>141.55000000000001</v>
      </c>
      <c r="J14" s="6">
        <f t="shared" si="1"/>
        <v>-195.8</v>
      </c>
      <c r="K14" s="6">
        <f t="shared" si="2"/>
        <v>64</v>
      </c>
      <c r="L14" s="6">
        <f t="shared" si="3"/>
        <v>9.75</v>
      </c>
    </row>
    <row r="15" spans="2:18" x14ac:dyDescent="0.3">
      <c r="B15" s="44"/>
      <c r="C15" s="45"/>
      <c r="D15" s="45"/>
      <c r="E15" s="45"/>
      <c r="F15" s="46"/>
      <c r="H15" s="19">
        <f t="shared" si="4"/>
        <v>21400</v>
      </c>
      <c r="I15" s="6">
        <f t="shared" si="0"/>
        <v>141.55000000000001</v>
      </c>
      <c r="J15" s="6">
        <f t="shared" si="1"/>
        <v>-195.8</v>
      </c>
      <c r="K15" s="6">
        <f t="shared" si="2"/>
        <v>64</v>
      </c>
      <c r="L15" s="6">
        <f t="shared" si="3"/>
        <v>9.75</v>
      </c>
      <c r="O15" s="139" t="s">
        <v>145</v>
      </c>
      <c r="P15" s="133"/>
      <c r="Q15" s="133"/>
      <c r="R15" s="134"/>
    </row>
    <row r="16" spans="2:18" ht="15" thickBot="1" x14ac:dyDescent="0.35">
      <c r="B16" s="47"/>
      <c r="C16" s="48"/>
      <c r="D16" s="48"/>
      <c r="E16" s="48"/>
      <c r="F16" s="49"/>
      <c r="H16" s="19">
        <f t="shared" si="4"/>
        <v>21450</v>
      </c>
      <c r="I16" s="6">
        <f t="shared" si="0"/>
        <v>141.55000000000001</v>
      </c>
      <c r="J16" s="6">
        <f t="shared" si="1"/>
        <v>-195.8</v>
      </c>
      <c r="K16" s="6">
        <f t="shared" si="2"/>
        <v>64</v>
      </c>
      <c r="L16" s="6">
        <f t="shared" si="3"/>
        <v>9.75</v>
      </c>
      <c r="O16" s="232"/>
      <c r="P16" s="233"/>
      <c r="Q16" s="233"/>
      <c r="R16" s="234"/>
    </row>
    <row r="17" spans="8:18" ht="15" thickBot="1" x14ac:dyDescent="0.35">
      <c r="H17" s="19">
        <f t="shared" si="4"/>
        <v>21500</v>
      </c>
      <c r="I17" s="6">
        <f t="shared" si="0"/>
        <v>141.55000000000001</v>
      </c>
      <c r="J17" s="6">
        <f t="shared" si="1"/>
        <v>-195.8</v>
      </c>
      <c r="K17" s="6">
        <f t="shared" si="2"/>
        <v>64</v>
      </c>
      <c r="L17" s="6">
        <f t="shared" si="3"/>
        <v>9.75</v>
      </c>
      <c r="O17" s="235"/>
      <c r="P17" s="236"/>
      <c r="Q17" s="236"/>
      <c r="R17" s="237"/>
    </row>
    <row r="18" spans="8:18" x14ac:dyDescent="0.3">
      <c r="H18" s="19">
        <f t="shared" si="4"/>
        <v>21550</v>
      </c>
      <c r="I18" s="6">
        <f t="shared" si="0"/>
        <v>141.55000000000001</v>
      </c>
      <c r="J18" s="6">
        <f t="shared" si="1"/>
        <v>-195.8</v>
      </c>
      <c r="K18" s="6">
        <f t="shared" si="2"/>
        <v>64</v>
      </c>
      <c r="L18" s="6">
        <f t="shared" si="3"/>
        <v>9.75</v>
      </c>
    </row>
    <row r="19" spans="8:18" x14ac:dyDescent="0.3">
      <c r="H19" s="19">
        <f t="shared" si="4"/>
        <v>21600</v>
      </c>
      <c r="I19" s="6">
        <f t="shared" si="0"/>
        <v>141.55000000000001</v>
      </c>
      <c r="J19" s="6">
        <f t="shared" si="1"/>
        <v>-195.8</v>
      </c>
      <c r="K19" s="6">
        <f t="shared" si="2"/>
        <v>64</v>
      </c>
      <c r="L19" s="6">
        <f t="shared" si="3"/>
        <v>9.75</v>
      </c>
    </row>
    <row r="20" spans="8:18" x14ac:dyDescent="0.3">
      <c r="H20" s="19">
        <f t="shared" si="4"/>
        <v>21650</v>
      </c>
      <c r="I20" s="6">
        <f t="shared" si="0"/>
        <v>141.55000000000001</v>
      </c>
      <c r="J20" s="6">
        <f t="shared" si="1"/>
        <v>-195.8</v>
      </c>
      <c r="K20" s="6">
        <f t="shared" si="2"/>
        <v>64</v>
      </c>
      <c r="L20" s="6">
        <f t="shared" si="3"/>
        <v>9.75</v>
      </c>
    </row>
    <row r="21" spans="8:18" x14ac:dyDescent="0.3">
      <c r="H21" s="19">
        <f t="shared" si="4"/>
        <v>21700</v>
      </c>
      <c r="I21" s="6">
        <f t="shared" si="0"/>
        <v>141.55000000000001</v>
      </c>
      <c r="J21" s="6">
        <f t="shared" si="1"/>
        <v>-195.8</v>
      </c>
      <c r="K21" s="6">
        <f t="shared" si="2"/>
        <v>64</v>
      </c>
      <c r="L21" s="6">
        <f t="shared" si="3"/>
        <v>9.75</v>
      </c>
    </row>
    <row r="22" spans="8:18" x14ac:dyDescent="0.3">
      <c r="H22" s="19">
        <f t="shared" si="4"/>
        <v>21750</v>
      </c>
      <c r="I22" s="6">
        <f t="shared" si="0"/>
        <v>141.55000000000001</v>
      </c>
      <c r="J22" s="6">
        <f t="shared" si="1"/>
        <v>-195.8</v>
      </c>
      <c r="K22" s="6">
        <f t="shared" si="2"/>
        <v>64</v>
      </c>
      <c r="L22" s="6">
        <f t="shared" si="3"/>
        <v>9.75</v>
      </c>
    </row>
    <row r="23" spans="8:18" x14ac:dyDescent="0.3">
      <c r="H23" s="19">
        <f t="shared" si="4"/>
        <v>21800</v>
      </c>
      <c r="I23" s="6">
        <f t="shared" si="0"/>
        <v>141.55000000000001</v>
      </c>
      <c r="J23" s="6">
        <f t="shared" si="1"/>
        <v>-195.8</v>
      </c>
      <c r="K23" s="6">
        <f t="shared" si="2"/>
        <v>64</v>
      </c>
      <c r="L23" s="6">
        <f t="shared" si="3"/>
        <v>9.75</v>
      </c>
    </row>
    <row r="24" spans="8:18" x14ac:dyDescent="0.3">
      <c r="H24" s="19">
        <f t="shared" si="4"/>
        <v>21850</v>
      </c>
      <c r="I24" s="6">
        <f t="shared" si="0"/>
        <v>141.55000000000001</v>
      </c>
      <c r="J24" s="6">
        <f t="shared" si="1"/>
        <v>-195.8</v>
      </c>
      <c r="K24" s="6">
        <f t="shared" si="2"/>
        <v>64</v>
      </c>
      <c r="L24" s="6">
        <f t="shared" si="3"/>
        <v>9.75</v>
      </c>
    </row>
    <row r="25" spans="8:18" x14ac:dyDescent="0.3">
      <c r="H25" s="19">
        <f t="shared" si="4"/>
        <v>21900</v>
      </c>
      <c r="I25" s="6">
        <f t="shared" si="0"/>
        <v>141.55000000000001</v>
      </c>
      <c r="J25" s="6">
        <f t="shared" si="1"/>
        <v>-195.8</v>
      </c>
      <c r="K25" s="6">
        <f t="shared" si="2"/>
        <v>64</v>
      </c>
      <c r="L25" s="6">
        <f t="shared" si="3"/>
        <v>9.75</v>
      </c>
    </row>
    <row r="26" spans="8:18" x14ac:dyDescent="0.3">
      <c r="H26" s="19">
        <f>H25+9.75</f>
        <v>21909.75</v>
      </c>
      <c r="I26" s="6">
        <f t="shared" si="0"/>
        <v>131.80000000000001</v>
      </c>
      <c r="J26" s="6">
        <f t="shared" si="1"/>
        <v>-195.8</v>
      </c>
      <c r="K26" s="6">
        <f t="shared" si="2"/>
        <v>64</v>
      </c>
      <c r="L26" s="15">
        <f t="shared" si="3"/>
        <v>0</v>
      </c>
      <c r="M26" s="89" t="s">
        <v>135</v>
      </c>
      <c r="N26" s="89"/>
    </row>
    <row r="27" spans="8:18" x14ac:dyDescent="0.3">
      <c r="H27" s="19">
        <f>H25+50</f>
        <v>21950</v>
      </c>
      <c r="I27" s="6">
        <f t="shared" si="0"/>
        <v>91.550000000000011</v>
      </c>
      <c r="J27" s="6">
        <f t="shared" si="1"/>
        <v>-195.8</v>
      </c>
      <c r="K27" s="6">
        <f t="shared" si="2"/>
        <v>64</v>
      </c>
      <c r="L27" s="6">
        <f t="shared" si="3"/>
        <v>-40.25</v>
      </c>
    </row>
    <row r="28" spans="8:18" x14ac:dyDescent="0.3">
      <c r="H28" s="19">
        <f>H27+50</f>
        <v>22000</v>
      </c>
      <c r="I28" s="6">
        <f t="shared" si="0"/>
        <v>41.550000000000011</v>
      </c>
      <c r="J28" s="6">
        <f t="shared" si="1"/>
        <v>-195.8</v>
      </c>
      <c r="K28" s="6">
        <f t="shared" si="2"/>
        <v>64</v>
      </c>
      <c r="L28" s="6">
        <f t="shared" si="3"/>
        <v>-90.25</v>
      </c>
    </row>
    <row r="29" spans="8:18" x14ac:dyDescent="0.3">
      <c r="H29" s="19">
        <f>H28+50</f>
        <v>22050</v>
      </c>
      <c r="I29" s="6">
        <f t="shared" si="0"/>
        <v>-8.4499999999999886</v>
      </c>
      <c r="J29" s="6">
        <f t="shared" si="1"/>
        <v>-95.800000000000011</v>
      </c>
      <c r="K29" s="6">
        <f t="shared" si="2"/>
        <v>64</v>
      </c>
      <c r="L29" s="6">
        <f t="shared" si="3"/>
        <v>-40.25</v>
      </c>
    </row>
    <row r="30" spans="8:18" x14ac:dyDescent="0.3">
      <c r="H30" s="19">
        <f>H31-9.75</f>
        <v>22090.25</v>
      </c>
      <c r="I30" s="6">
        <f t="shared" si="0"/>
        <v>-48.699999999999989</v>
      </c>
      <c r="J30" s="6">
        <f t="shared" si="1"/>
        <v>-15.300000000000011</v>
      </c>
      <c r="K30" s="6">
        <f t="shared" si="2"/>
        <v>64</v>
      </c>
      <c r="L30" s="15">
        <f t="shared" si="3"/>
        <v>0</v>
      </c>
      <c r="M30" s="89" t="s">
        <v>134</v>
      </c>
      <c r="N30" s="89"/>
    </row>
    <row r="31" spans="8:18" x14ac:dyDescent="0.3">
      <c r="H31" s="19">
        <f>H29+50</f>
        <v>22100</v>
      </c>
      <c r="I31" s="6">
        <f t="shared" si="0"/>
        <v>-58.449999999999989</v>
      </c>
      <c r="J31" s="6">
        <f t="shared" si="1"/>
        <v>4.1999999999999886</v>
      </c>
      <c r="K31" s="6">
        <f t="shared" si="2"/>
        <v>64</v>
      </c>
      <c r="L31" s="6">
        <f t="shared" si="3"/>
        <v>9.75</v>
      </c>
    </row>
    <row r="32" spans="8:18" x14ac:dyDescent="0.3">
      <c r="H32" s="19">
        <f t="shared" ref="H32:H49" si="5">H31+50</f>
        <v>22150</v>
      </c>
      <c r="I32" s="6">
        <f t="shared" si="0"/>
        <v>-108.44999999999999</v>
      </c>
      <c r="J32" s="6">
        <f t="shared" si="1"/>
        <v>104.19999999999999</v>
      </c>
      <c r="K32" s="6">
        <f t="shared" si="2"/>
        <v>14</v>
      </c>
      <c r="L32" s="6">
        <f t="shared" si="3"/>
        <v>9.75</v>
      </c>
    </row>
    <row r="33" spans="8:12" x14ac:dyDescent="0.3">
      <c r="H33" s="19">
        <f t="shared" si="5"/>
        <v>22200</v>
      </c>
      <c r="I33" s="6">
        <f t="shared" si="0"/>
        <v>-158.44999999999999</v>
      </c>
      <c r="J33" s="6">
        <f t="shared" si="1"/>
        <v>204.2</v>
      </c>
      <c r="K33" s="6">
        <f t="shared" si="2"/>
        <v>-36</v>
      </c>
      <c r="L33" s="6">
        <f t="shared" si="3"/>
        <v>9.75</v>
      </c>
    </row>
    <row r="34" spans="8:12" x14ac:dyDescent="0.3">
      <c r="H34" s="19">
        <f t="shared" si="5"/>
        <v>22250</v>
      </c>
      <c r="I34" s="6">
        <f t="shared" si="0"/>
        <v>-208.45</v>
      </c>
      <c r="J34" s="6">
        <f t="shared" si="1"/>
        <v>304.2</v>
      </c>
      <c r="K34" s="6">
        <f t="shared" si="2"/>
        <v>-86</v>
      </c>
      <c r="L34" s="6">
        <f t="shared" si="3"/>
        <v>9.75</v>
      </c>
    </row>
    <row r="35" spans="8:12" x14ac:dyDescent="0.3">
      <c r="H35" s="19">
        <f t="shared" si="5"/>
        <v>22300</v>
      </c>
      <c r="I35" s="6">
        <f t="shared" si="0"/>
        <v>-258.45</v>
      </c>
      <c r="J35" s="6">
        <f t="shared" si="1"/>
        <v>404.2</v>
      </c>
      <c r="K35" s="6">
        <f t="shared" si="2"/>
        <v>-136</v>
      </c>
      <c r="L35" s="6">
        <f t="shared" si="3"/>
        <v>9.75</v>
      </c>
    </row>
    <row r="36" spans="8:12" x14ac:dyDescent="0.3">
      <c r="H36" s="19">
        <f t="shared" si="5"/>
        <v>22350</v>
      </c>
      <c r="I36" s="6">
        <f t="shared" si="0"/>
        <v>-308.45</v>
      </c>
      <c r="J36" s="6">
        <f t="shared" si="1"/>
        <v>504.2</v>
      </c>
      <c r="K36" s="6">
        <f t="shared" si="2"/>
        <v>-186</v>
      </c>
      <c r="L36" s="6">
        <f t="shared" si="3"/>
        <v>9.75</v>
      </c>
    </row>
    <row r="37" spans="8:12" x14ac:dyDescent="0.3">
      <c r="H37" s="19">
        <f t="shared" si="5"/>
        <v>22400</v>
      </c>
      <c r="I37" s="6">
        <f t="shared" si="0"/>
        <v>-358.45</v>
      </c>
      <c r="J37" s="6">
        <f t="shared" si="1"/>
        <v>604.20000000000005</v>
      </c>
      <c r="K37" s="6">
        <f t="shared" si="2"/>
        <v>-236</v>
      </c>
      <c r="L37" s="6">
        <f t="shared" si="3"/>
        <v>9.7500000000000568</v>
      </c>
    </row>
    <row r="38" spans="8:12" x14ac:dyDescent="0.3">
      <c r="H38" s="19">
        <f t="shared" si="5"/>
        <v>22450</v>
      </c>
      <c r="I38" s="6">
        <f t="shared" si="0"/>
        <v>-408.45</v>
      </c>
      <c r="J38" s="6">
        <f t="shared" si="1"/>
        <v>704.2</v>
      </c>
      <c r="K38" s="6">
        <f t="shared" si="2"/>
        <v>-286</v>
      </c>
      <c r="L38" s="6">
        <f t="shared" si="3"/>
        <v>9.7500000000000568</v>
      </c>
    </row>
    <row r="39" spans="8:12" x14ac:dyDescent="0.3">
      <c r="H39" s="19">
        <f t="shared" si="5"/>
        <v>22500</v>
      </c>
      <c r="I39" s="6">
        <f t="shared" si="0"/>
        <v>-458.45</v>
      </c>
      <c r="J39" s="6">
        <f t="shared" si="1"/>
        <v>804.2</v>
      </c>
      <c r="K39" s="6">
        <f t="shared" si="2"/>
        <v>-336</v>
      </c>
      <c r="L39" s="6">
        <f t="shared" si="3"/>
        <v>9.7500000000000568</v>
      </c>
    </row>
    <row r="40" spans="8:12" x14ac:dyDescent="0.3">
      <c r="H40" s="19">
        <f t="shared" si="5"/>
        <v>22550</v>
      </c>
      <c r="I40" s="6">
        <f t="shared" si="0"/>
        <v>-508.45</v>
      </c>
      <c r="J40" s="6">
        <f t="shared" si="1"/>
        <v>904.2</v>
      </c>
      <c r="K40" s="6">
        <f t="shared" si="2"/>
        <v>-386</v>
      </c>
      <c r="L40" s="6">
        <f t="shared" si="3"/>
        <v>9.7500000000000568</v>
      </c>
    </row>
    <row r="41" spans="8:12" x14ac:dyDescent="0.3">
      <c r="H41" s="19">
        <f t="shared" si="5"/>
        <v>22600</v>
      </c>
      <c r="I41" s="6">
        <f t="shared" si="0"/>
        <v>-558.45000000000005</v>
      </c>
      <c r="J41" s="6">
        <f t="shared" si="1"/>
        <v>1004.2</v>
      </c>
      <c r="K41" s="6">
        <f t="shared" si="2"/>
        <v>-436</v>
      </c>
      <c r="L41" s="6">
        <f t="shared" si="3"/>
        <v>9.75</v>
      </c>
    </row>
    <row r="42" spans="8:12" x14ac:dyDescent="0.3">
      <c r="H42" s="19">
        <f t="shared" si="5"/>
        <v>22650</v>
      </c>
      <c r="I42" s="6">
        <f t="shared" si="0"/>
        <v>-608.45000000000005</v>
      </c>
      <c r="J42" s="6">
        <f t="shared" si="1"/>
        <v>1104.2</v>
      </c>
      <c r="K42" s="6">
        <f t="shared" si="2"/>
        <v>-486</v>
      </c>
      <c r="L42" s="6">
        <f t="shared" si="3"/>
        <v>9.75</v>
      </c>
    </row>
    <row r="43" spans="8:12" x14ac:dyDescent="0.3">
      <c r="H43" s="19">
        <f t="shared" si="5"/>
        <v>22700</v>
      </c>
      <c r="I43" s="6">
        <f t="shared" si="0"/>
        <v>-658.45</v>
      </c>
      <c r="J43" s="6">
        <f t="shared" si="1"/>
        <v>1204.2</v>
      </c>
      <c r="K43" s="6">
        <f t="shared" si="2"/>
        <v>-536</v>
      </c>
      <c r="L43" s="6">
        <f t="shared" si="3"/>
        <v>9.75</v>
      </c>
    </row>
    <row r="44" spans="8:12" x14ac:dyDescent="0.3">
      <c r="H44" s="19">
        <f t="shared" si="5"/>
        <v>22750</v>
      </c>
      <c r="I44" s="6">
        <f t="shared" si="0"/>
        <v>-708.45</v>
      </c>
      <c r="J44" s="6">
        <f t="shared" si="1"/>
        <v>1304.2</v>
      </c>
      <c r="K44" s="6">
        <f t="shared" si="2"/>
        <v>-586</v>
      </c>
      <c r="L44" s="6">
        <f t="shared" si="3"/>
        <v>9.75</v>
      </c>
    </row>
    <row r="45" spans="8:12" x14ac:dyDescent="0.3">
      <c r="H45" s="19">
        <f t="shared" si="5"/>
        <v>22800</v>
      </c>
      <c r="I45" s="6">
        <f t="shared" si="0"/>
        <v>-758.45</v>
      </c>
      <c r="J45" s="6">
        <f t="shared" si="1"/>
        <v>1404.2</v>
      </c>
      <c r="K45" s="6">
        <f t="shared" si="2"/>
        <v>-636</v>
      </c>
      <c r="L45" s="6">
        <f t="shared" si="3"/>
        <v>9.75</v>
      </c>
    </row>
    <row r="46" spans="8:12" x14ac:dyDescent="0.3">
      <c r="H46" s="19">
        <f t="shared" si="5"/>
        <v>22850</v>
      </c>
      <c r="I46" s="6">
        <f t="shared" si="0"/>
        <v>-808.45</v>
      </c>
      <c r="J46" s="6">
        <f t="shared" si="1"/>
        <v>1504.2</v>
      </c>
      <c r="K46" s="6">
        <f t="shared" si="2"/>
        <v>-686</v>
      </c>
      <c r="L46" s="6">
        <f t="shared" si="3"/>
        <v>9.75</v>
      </c>
    </row>
    <row r="47" spans="8:12" x14ac:dyDescent="0.3">
      <c r="H47" s="19">
        <f t="shared" si="5"/>
        <v>22900</v>
      </c>
      <c r="I47" s="6">
        <f t="shared" si="0"/>
        <v>-858.45</v>
      </c>
      <c r="J47" s="6">
        <f t="shared" si="1"/>
        <v>1604.2</v>
      </c>
      <c r="K47" s="6">
        <f t="shared" si="2"/>
        <v>-736</v>
      </c>
      <c r="L47" s="6">
        <f t="shared" si="3"/>
        <v>9.75</v>
      </c>
    </row>
    <row r="48" spans="8:12" x14ac:dyDescent="0.3">
      <c r="H48" s="19">
        <f t="shared" si="5"/>
        <v>22950</v>
      </c>
      <c r="I48" s="6">
        <f t="shared" si="0"/>
        <v>-908.45</v>
      </c>
      <c r="J48" s="6">
        <f t="shared" si="1"/>
        <v>1704.2</v>
      </c>
      <c r="K48" s="6">
        <f t="shared" si="2"/>
        <v>-786</v>
      </c>
      <c r="L48" s="6">
        <f t="shared" si="3"/>
        <v>9.75</v>
      </c>
    </row>
    <row r="49" spans="8:12" x14ac:dyDescent="0.3">
      <c r="H49" s="19">
        <f t="shared" si="5"/>
        <v>23000</v>
      </c>
      <c r="I49" s="6">
        <f t="shared" si="0"/>
        <v>-958.45</v>
      </c>
      <c r="J49" s="6">
        <f t="shared" si="1"/>
        <v>1804.2</v>
      </c>
      <c r="K49" s="6">
        <f t="shared" si="2"/>
        <v>-836</v>
      </c>
      <c r="L49" s="6">
        <f t="shared" si="3"/>
        <v>9.75</v>
      </c>
    </row>
  </sheetData>
  <sheetProtection algorithmName="SHA-512" hashValue="7XyhaLixI6PuJc25c8AqttvtrYDW8FhTWEUqJJg6mLhugAhtkkKuRfoV9hAD0hRP3XE1LG5epYQ9kSEaQfMuTw==" saltValue="8BGA2tumW0Ruwj4V59gDOQ==" spinCount="100000" sheet="1" objects="1" scenarios="1"/>
  <mergeCells count="8">
    <mergeCell ref="B3:F12"/>
    <mergeCell ref="B14:F16"/>
    <mergeCell ref="M26:N26"/>
    <mergeCell ref="M30:N30"/>
    <mergeCell ref="O2:R2"/>
    <mergeCell ref="O3:R7"/>
    <mergeCell ref="O9:R13"/>
    <mergeCell ref="O15:R17"/>
  </mergeCells>
  <conditionalFormatting sqref="I7:I49 K7:K49">
    <cfRule type="cellIs" dxfId="9" priority="7" operator="lessThan">
      <formula>$G$9</formula>
    </cfRule>
    <cfRule type="cellIs" dxfId="8" priority="8" operator="greaterThan">
      <formula>0</formula>
    </cfRule>
  </conditionalFormatting>
  <conditionalFormatting sqref="J7:J49 L7:L49">
    <cfRule type="cellIs" dxfId="7" priority="4" operator="lessThan">
      <formula>0</formula>
    </cfRule>
    <cfRule type="cellIs" dxfId="6" priority="5" operator="lessThan">
      <formula>#REF!</formula>
    </cfRule>
    <cfRule type="cellIs" dxfId="5" priority="6" operator="greaterThan">
      <formula>0</formula>
    </cfRule>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5753F-C516-4AA6-8736-450E429AB296}">
  <sheetPr codeName="Sheet21"/>
  <dimension ref="B2:T51"/>
  <sheetViews>
    <sheetView tabSelected="1" topLeftCell="G1" zoomScale="122" workbookViewId="0">
      <selection activeCell="P13" sqref="P13"/>
    </sheetView>
  </sheetViews>
  <sheetFormatPr defaultRowHeight="14.4" x14ac:dyDescent="0.3"/>
  <cols>
    <col min="8" max="8" width="11.21875" bestFit="1" customWidth="1"/>
    <col min="9" max="10" width="9.44140625" bestFit="1" customWidth="1"/>
    <col min="11" max="12" width="9.33203125" bestFit="1" customWidth="1"/>
    <col min="14" max="14" width="10.44140625" customWidth="1"/>
    <col min="15" max="15" width="11.6640625" customWidth="1"/>
  </cols>
  <sheetData>
    <row r="2" spans="2:20" ht="15" thickBot="1" x14ac:dyDescent="0.35"/>
    <row r="3" spans="2:20" ht="15" thickBot="1" x14ac:dyDescent="0.35">
      <c r="B3" s="96" t="s">
        <v>154</v>
      </c>
      <c r="C3" s="97"/>
      <c r="D3" s="97"/>
      <c r="E3" s="97"/>
      <c r="F3" s="98"/>
      <c r="H3" s="27" t="s">
        <v>14</v>
      </c>
      <c r="I3" s="3"/>
      <c r="J3" s="27" t="s">
        <v>14</v>
      </c>
      <c r="K3" s="3"/>
      <c r="L3" s="27" t="s">
        <v>15</v>
      </c>
      <c r="M3" s="3"/>
      <c r="N3" s="27" t="s">
        <v>15</v>
      </c>
    </row>
    <row r="4" spans="2:20" x14ac:dyDescent="0.3">
      <c r="B4" s="99"/>
      <c r="C4" s="100"/>
      <c r="D4" s="100"/>
      <c r="E4" s="100"/>
      <c r="F4" s="101"/>
      <c r="H4" s="1" t="s">
        <v>52</v>
      </c>
      <c r="I4" s="1" t="s">
        <v>148</v>
      </c>
      <c r="J4" s="1" t="s">
        <v>52</v>
      </c>
      <c r="K4" s="1" t="s">
        <v>142</v>
      </c>
      <c r="L4" s="1" t="s">
        <v>52</v>
      </c>
      <c r="M4" s="1" t="s">
        <v>105</v>
      </c>
      <c r="N4" s="1" t="s">
        <v>52</v>
      </c>
      <c r="O4" s="1" t="s">
        <v>142</v>
      </c>
      <c r="Q4" s="51" t="s">
        <v>71</v>
      </c>
      <c r="R4" s="52"/>
      <c r="S4" s="52"/>
      <c r="T4" s="53"/>
    </row>
    <row r="5" spans="2:20" x14ac:dyDescent="0.3">
      <c r="B5" s="99"/>
      <c r="C5" s="100"/>
      <c r="D5" s="100"/>
      <c r="E5" s="100"/>
      <c r="F5" s="101"/>
      <c r="H5" s="19">
        <v>21900</v>
      </c>
      <c r="I5" s="19">
        <v>126</v>
      </c>
      <c r="J5" s="19">
        <v>21800</v>
      </c>
      <c r="K5" s="19">
        <v>241</v>
      </c>
      <c r="L5" s="19">
        <v>22100</v>
      </c>
      <c r="M5" s="19">
        <v>83</v>
      </c>
      <c r="N5" s="19">
        <v>22200</v>
      </c>
      <c r="O5" s="19">
        <v>51</v>
      </c>
      <c r="Q5" s="105" t="s">
        <v>156</v>
      </c>
      <c r="R5" s="173"/>
      <c r="S5" s="173"/>
      <c r="T5" s="174"/>
    </row>
    <row r="6" spans="2:20" x14ac:dyDescent="0.3">
      <c r="B6" s="99"/>
      <c r="C6" s="100"/>
      <c r="D6" s="100"/>
      <c r="E6" s="100"/>
      <c r="F6" s="101"/>
      <c r="H6" s="1" t="s">
        <v>4</v>
      </c>
      <c r="I6" s="17" t="str">
        <f>K4</f>
        <v>CALL SELL</v>
      </c>
      <c r="J6" s="1" t="str">
        <f>I4</f>
        <v xml:space="preserve"> CALL BUY</v>
      </c>
      <c r="K6" s="1" t="str">
        <f>M4</f>
        <v>CALL BUY</v>
      </c>
      <c r="L6" s="1" t="str">
        <f>O4</f>
        <v>CALL SELL</v>
      </c>
      <c r="M6" s="1" t="s">
        <v>37</v>
      </c>
      <c r="Q6" s="223"/>
      <c r="R6" s="173"/>
      <c r="S6" s="173"/>
      <c r="T6" s="174"/>
    </row>
    <row r="7" spans="2:20" x14ac:dyDescent="0.3">
      <c r="B7" s="99"/>
      <c r="C7" s="100"/>
      <c r="D7" s="100"/>
      <c r="E7" s="100"/>
      <c r="F7" s="101"/>
      <c r="H7" s="19">
        <v>21000</v>
      </c>
      <c r="I7" s="6">
        <f>(MAX(H7-$J$5,0)-$K$5)*-1</f>
        <v>241</v>
      </c>
      <c r="J7" s="6">
        <f>((MAX(H7-$H$5,0)-$I$5))</f>
        <v>-126</v>
      </c>
      <c r="K7" s="6">
        <f>(MAX(H7-$L$5,0)-$M$5)</f>
        <v>-83</v>
      </c>
      <c r="L7" s="6">
        <f>(MAX(H7-$N$5,0)-$O$5)*-1</f>
        <v>51</v>
      </c>
      <c r="M7" s="6">
        <f>SUM(I7:L7)</f>
        <v>83</v>
      </c>
      <c r="Q7" s="223"/>
      <c r="R7" s="173"/>
      <c r="S7" s="173"/>
      <c r="T7" s="174"/>
    </row>
    <row r="8" spans="2:20" x14ac:dyDescent="0.3">
      <c r="B8" s="99"/>
      <c r="C8" s="100"/>
      <c r="D8" s="100"/>
      <c r="E8" s="100"/>
      <c r="F8" s="101"/>
      <c r="H8" s="19">
        <f>H7+50</f>
        <v>21050</v>
      </c>
      <c r="I8" s="6">
        <f t="shared" ref="I8:I51" si="0">(MAX(H8-$J$5,0)-$K$5)*-1</f>
        <v>241</v>
      </c>
      <c r="J8" s="6">
        <f t="shared" ref="J8:J51" si="1">((MAX(H8-$H$5,0)-$I$5))</f>
        <v>-126</v>
      </c>
      <c r="K8" s="6">
        <f t="shared" ref="K8:K51" si="2">(MAX(H8-$L$5,0)-$M$5)</f>
        <v>-83</v>
      </c>
      <c r="L8" s="6">
        <f t="shared" ref="L8:L51" si="3">(MAX(H8-$N$5,0)-$O$5)*-1</f>
        <v>51</v>
      </c>
      <c r="M8" s="6">
        <f t="shared" ref="M8:M51" si="4">SUM(I8:L8)</f>
        <v>83</v>
      </c>
      <c r="Q8" s="223"/>
      <c r="R8" s="173"/>
      <c r="S8" s="173"/>
      <c r="T8" s="174"/>
    </row>
    <row r="9" spans="2:20" ht="15" thickBot="1" x14ac:dyDescent="0.35">
      <c r="B9" s="99"/>
      <c r="C9" s="100"/>
      <c r="D9" s="100"/>
      <c r="E9" s="100"/>
      <c r="F9" s="101"/>
      <c r="H9" s="19">
        <f t="shared" ref="H9:H24" si="5">H8+50</f>
        <v>21100</v>
      </c>
      <c r="I9" s="6">
        <f t="shared" si="0"/>
        <v>241</v>
      </c>
      <c r="J9" s="6">
        <f t="shared" si="1"/>
        <v>-126</v>
      </c>
      <c r="K9" s="6">
        <f t="shared" si="2"/>
        <v>-83</v>
      </c>
      <c r="L9" s="6">
        <f t="shared" si="3"/>
        <v>51</v>
      </c>
      <c r="M9" s="6">
        <f t="shared" si="4"/>
        <v>83</v>
      </c>
      <c r="Q9" s="175"/>
      <c r="R9" s="176"/>
      <c r="S9" s="176"/>
      <c r="T9" s="177"/>
    </row>
    <row r="10" spans="2:20" ht="15" thickBot="1" x14ac:dyDescent="0.35">
      <c r="B10" s="99"/>
      <c r="C10" s="100"/>
      <c r="D10" s="100"/>
      <c r="E10" s="100"/>
      <c r="F10" s="101"/>
      <c r="H10" s="19">
        <f t="shared" si="5"/>
        <v>21150</v>
      </c>
      <c r="I10" s="6">
        <f t="shared" si="0"/>
        <v>241</v>
      </c>
      <c r="J10" s="6">
        <f t="shared" si="1"/>
        <v>-126</v>
      </c>
      <c r="K10" s="6">
        <f t="shared" si="2"/>
        <v>-83</v>
      </c>
      <c r="L10" s="6">
        <f t="shared" si="3"/>
        <v>51</v>
      </c>
      <c r="M10" s="6">
        <f t="shared" si="4"/>
        <v>83</v>
      </c>
    </row>
    <row r="11" spans="2:20" x14ac:dyDescent="0.3">
      <c r="B11" s="99"/>
      <c r="C11" s="100"/>
      <c r="D11" s="100"/>
      <c r="E11" s="100"/>
      <c r="F11" s="101"/>
      <c r="H11" s="19">
        <f t="shared" si="5"/>
        <v>21200</v>
      </c>
      <c r="I11" s="6">
        <f t="shared" si="0"/>
        <v>241</v>
      </c>
      <c r="J11" s="6">
        <f t="shared" si="1"/>
        <v>-126</v>
      </c>
      <c r="K11" s="6">
        <f t="shared" si="2"/>
        <v>-83</v>
      </c>
      <c r="L11" s="6">
        <f t="shared" si="3"/>
        <v>51</v>
      </c>
      <c r="M11" s="6">
        <f t="shared" si="4"/>
        <v>83</v>
      </c>
      <c r="Q11" s="139" t="s">
        <v>157</v>
      </c>
      <c r="R11" s="201"/>
      <c r="S11" s="201"/>
      <c r="T11" s="202"/>
    </row>
    <row r="12" spans="2:20" x14ac:dyDescent="0.3">
      <c r="B12" s="99"/>
      <c r="C12" s="100"/>
      <c r="D12" s="100"/>
      <c r="E12" s="100"/>
      <c r="F12" s="101"/>
      <c r="H12" s="19">
        <f t="shared" si="5"/>
        <v>21250</v>
      </c>
      <c r="I12" s="6">
        <f t="shared" si="0"/>
        <v>241</v>
      </c>
      <c r="J12" s="6">
        <f t="shared" si="1"/>
        <v>-126</v>
      </c>
      <c r="K12" s="6">
        <f t="shared" si="2"/>
        <v>-83</v>
      </c>
      <c r="L12" s="6">
        <f t="shared" si="3"/>
        <v>51</v>
      </c>
      <c r="M12" s="6">
        <f t="shared" si="4"/>
        <v>83</v>
      </c>
      <c r="Q12" s="203"/>
      <c r="R12" s="204"/>
      <c r="S12" s="204"/>
      <c r="T12" s="205"/>
    </row>
    <row r="13" spans="2:20" ht="15" thickBot="1" x14ac:dyDescent="0.35">
      <c r="B13" s="102"/>
      <c r="C13" s="103"/>
      <c r="D13" s="103"/>
      <c r="E13" s="103"/>
      <c r="F13" s="104"/>
      <c r="H13" s="19">
        <f t="shared" si="5"/>
        <v>21300</v>
      </c>
      <c r="I13" s="6">
        <f t="shared" si="0"/>
        <v>241</v>
      </c>
      <c r="J13" s="6">
        <f t="shared" si="1"/>
        <v>-126</v>
      </c>
      <c r="K13" s="6">
        <f t="shared" si="2"/>
        <v>-83</v>
      </c>
      <c r="L13" s="6">
        <f t="shared" si="3"/>
        <v>51</v>
      </c>
      <c r="M13" s="6">
        <f t="shared" si="4"/>
        <v>83</v>
      </c>
      <c r="Q13" s="203"/>
      <c r="R13" s="204"/>
      <c r="S13" s="204"/>
      <c r="T13" s="205"/>
    </row>
    <row r="14" spans="2:20" ht="15" thickBot="1" x14ac:dyDescent="0.35">
      <c r="H14" s="19">
        <f t="shared" si="5"/>
        <v>21350</v>
      </c>
      <c r="I14" s="6">
        <f t="shared" si="0"/>
        <v>241</v>
      </c>
      <c r="J14" s="6">
        <f t="shared" si="1"/>
        <v>-126</v>
      </c>
      <c r="K14" s="6">
        <f t="shared" si="2"/>
        <v>-83</v>
      </c>
      <c r="L14" s="6">
        <f t="shared" si="3"/>
        <v>51</v>
      </c>
      <c r="M14" s="6">
        <f t="shared" si="4"/>
        <v>83</v>
      </c>
      <c r="Q14" s="206"/>
      <c r="R14" s="207"/>
      <c r="S14" s="207"/>
      <c r="T14" s="208"/>
    </row>
    <row r="15" spans="2:20" ht="15" thickBot="1" x14ac:dyDescent="0.35">
      <c r="B15" s="41" t="s">
        <v>155</v>
      </c>
      <c r="C15" s="215"/>
      <c r="D15" s="215"/>
      <c r="E15" s="215"/>
      <c r="F15" s="216"/>
      <c r="H15" s="19">
        <f t="shared" si="5"/>
        <v>21400</v>
      </c>
      <c r="I15" s="6">
        <f t="shared" si="0"/>
        <v>241</v>
      </c>
      <c r="J15" s="6">
        <f t="shared" si="1"/>
        <v>-126</v>
      </c>
      <c r="K15" s="6">
        <f t="shared" si="2"/>
        <v>-83</v>
      </c>
      <c r="L15" s="6">
        <f t="shared" si="3"/>
        <v>51</v>
      </c>
      <c r="M15" s="6">
        <f t="shared" si="4"/>
        <v>83</v>
      </c>
    </row>
    <row r="16" spans="2:20" x14ac:dyDescent="0.3">
      <c r="B16" s="217"/>
      <c r="C16" s="218"/>
      <c r="D16" s="218"/>
      <c r="E16" s="218"/>
      <c r="F16" s="219"/>
      <c r="H16" s="19">
        <f t="shared" si="5"/>
        <v>21450</v>
      </c>
      <c r="I16" s="6">
        <f t="shared" si="0"/>
        <v>241</v>
      </c>
      <c r="J16" s="6">
        <f t="shared" si="1"/>
        <v>-126</v>
      </c>
      <c r="K16" s="6">
        <f t="shared" si="2"/>
        <v>-83</v>
      </c>
      <c r="L16" s="6">
        <f t="shared" si="3"/>
        <v>51</v>
      </c>
      <c r="M16" s="6">
        <f t="shared" si="4"/>
        <v>83</v>
      </c>
      <c r="Q16" s="139" t="s">
        <v>159</v>
      </c>
      <c r="R16" s="140"/>
      <c r="S16" s="140"/>
      <c r="T16" s="141"/>
    </row>
    <row r="17" spans="2:20" x14ac:dyDescent="0.3">
      <c r="B17" s="217"/>
      <c r="C17" s="218"/>
      <c r="D17" s="218"/>
      <c r="E17" s="218"/>
      <c r="F17" s="219"/>
      <c r="H17" s="19">
        <f t="shared" si="5"/>
        <v>21500</v>
      </c>
      <c r="I17" s="6">
        <f t="shared" si="0"/>
        <v>241</v>
      </c>
      <c r="J17" s="6">
        <f t="shared" si="1"/>
        <v>-126</v>
      </c>
      <c r="K17" s="6">
        <f t="shared" si="2"/>
        <v>-83</v>
      </c>
      <c r="L17" s="6">
        <f t="shared" si="3"/>
        <v>51</v>
      </c>
      <c r="M17" s="6">
        <f t="shared" si="4"/>
        <v>83</v>
      </c>
      <c r="Q17" s="142"/>
      <c r="R17" s="143"/>
      <c r="S17" s="143"/>
      <c r="T17" s="144"/>
    </row>
    <row r="18" spans="2:20" x14ac:dyDescent="0.3">
      <c r="B18" s="217"/>
      <c r="C18" s="218"/>
      <c r="D18" s="218"/>
      <c r="E18" s="218"/>
      <c r="F18" s="219"/>
      <c r="H18" s="19">
        <f t="shared" si="5"/>
        <v>21550</v>
      </c>
      <c r="I18" s="6">
        <f t="shared" si="0"/>
        <v>241</v>
      </c>
      <c r="J18" s="6">
        <f t="shared" si="1"/>
        <v>-126</v>
      </c>
      <c r="K18" s="6">
        <f t="shared" si="2"/>
        <v>-83</v>
      </c>
      <c r="L18" s="6">
        <f t="shared" si="3"/>
        <v>51</v>
      </c>
      <c r="M18" s="6">
        <f t="shared" si="4"/>
        <v>83</v>
      </c>
      <c r="Q18" s="142"/>
      <c r="R18" s="143"/>
      <c r="S18" s="143"/>
      <c r="T18" s="144"/>
    </row>
    <row r="19" spans="2:20" x14ac:dyDescent="0.3">
      <c r="B19" s="217"/>
      <c r="C19" s="218"/>
      <c r="D19" s="218"/>
      <c r="E19" s="218"/>
      <c r="F19" s="219"/>
      <c r="H19" s="19">
        <f t="shared" si="5"/>
        <v>21600</v>
      </c>
      <c r="I19" s="6">
        <f t="shared" si="0"/>
        <v>241</v>
      </c>
      <c r="J19" s="6">
        <f t="shared" si="1"/>
        <v>-126</v>
      </c>
      <c r="K19" s="6">
        <f t="shared" si="2"/>
        <v>-83</v>
      </c>
      <c r="L19" s="6">
        <f t="shared" si="3"/>
        <v>51</v>
      </c>
      <c r="M19" s="6">
        <f t="shared" si="4"/>
        <v>83</v>
      </c>
      <c r="Q19" s="142"/>
      <c r="R19" s="143"/>
      <c r="S19" s="143"/>
      <c r="T19" s="144"/>
    </row>
    <row r="20" spans="2:20" ht="15" thickBot="1" x14ac:dyDescent="0.35">
      <c r="B20" s="220"/>
      <c r="C20" s="221"/>
      <c r="D20" s="221"/>
      <c r="E20" s="221"/>
      <c r="F20" s="222"/>
      <c r="H20" s="19">
        <f t="shared" si="5"/>
        <v>21650</v>
      </c>
      <c r="I20" s="6">
        <f t="shared" si="0"/>
        <v>241</v>
      </c>
      <c r="J20" s="6">
        <f t="shared" si="1"/>
        <v>-126</v>
      </c>
      <c r="K20" s="6">
        <f t="shared" si="2"/>
        <v>-83</v>
      </c>
      <c r="L20" s="6">
        <f t="shared" si="3"/>
        <v>51</v>
      </c>
      <c r="M20" s="6">
        <f t="shared" si="4"/>
        <v>83</v>
      </c>
      <c r="Q20" s="142"/>
      <c r="R20" s="143"/>
      <c r="S20" s="143"/>
      <c r="T20" s="144"/>
    </row>
    <row r="21" spans="2:20" x14ac:dyDescent="0.3">
      <c r="H21" s="19">
        <f t="shared" si="5"/>
        <v>21700</v>
      </c>
      <c r="I21" s="6">
        <f t="shared" si="0"/>
        <v>241</v>
      </c>
      <c r="J21" s="6">
        <f t="shared" si="1"/>
        <v>-126</v>
      </c>
      <c r="K21" s="6">
        <f t="shared" si="2"/>
        <v>-83</v>
      </c>
      <c r="L21" s="6">
        <f t="shared" si="3"/>
        <v>51</v>
      </c>
      <c r="M21" s="6">
        <f t="shared" si="4"/>
        <v>83</v>
      </c>
      <c r="Q21" s="142"/>
      <c r="R21" s="143"/>
      <c r="S21" s="143"/>
      <c r="T21" s="144"/>
    </row>
    <row r="22" spans="2:20" ht="15" thickBot="1" x14ac:dyDescent="0.35">
      <c r="H22" s="19">
        <f t="shared" si="5"/>
        <v>21750</v>
      </c>
      <c r="I22" s="6">
        <f t="shared" si="0"/>
        <v>241</v>
      </c>
      <c r="J22" s="6">
        <f t="shared" si="1"/>
        <v>-126</v>
      </c>
      <c r="K22" s="6">
        <f t="shared" si="2"/>
        <v>-83</v>
      </c>
      <c r="L22" s="6">
        <f t="shared" si="3"/>
        <v>51</v>
      </c>
      <c r="M22" s="6">
        <f t="shared" si="4"/>
        <v>83</v>
      </c>
      <c r="Q22" s="145"/>
      <c r="R22" s="146"/>
      <c r="S22" s="146"/>
      <c r="T22" s="147"/>
    </row>
    <row r="23" spans="2:20" x14ac:dyDescent="0.3">
      <c r="H23" s="19">
        <f t="shared" si="5"/>
        <v>21800</v>
      </c>
      <c r="I23" s="6">
        <f t="shared" si="0"/>
        <v>241</v>
      </c>
      <c r="J23" s="6">
        <f t="shared" si="1"/>
        <v>-126</v>
      </c>
      <c r="K23" s="6">
        <f t="shared" si="2"/>
        <v>-83</v>
      </c>
      <c r="L23" s="6">
        <f t="shared" si="3"/>
        <v>51</v>
      </c>
      <c r="M23" s="6">
        <f t="shared" si="4"/>
        <v>83</v>
      </c>
    </row>
    <row r="24" spans="2:20" x14ac:dyDescent="0.3">
      <c r="H24" s="19">
        <f t="shared" si="5"/>
        <v>21850</v>
      </c>
      <c r="I24" s="6">
        <f t="shared" si="0"/>
        <v>191</v>
      </c>
      <c r="J24" s="6">
        <f t="shared" si="1"/>
        <v>-126</v>
      </c>
      <c r="K24" s="6">
        <f t="shared" si="2"/>
        <v>-83</v>
      </c>
      <c r="L24" s="6">
        <f t="shared" si="3"/>
        <v>51</v>
      </c>
      <c r="M24" s="6">
        <f t="shared" si="4"/>
        <v>33</v>
      </c>
    </row>
    <row r="25" spans="2:20" x14ac:dyDescent="0.3">
      <c r="H25" s="19">
        <f>H24+33</f>
        <v>21883</v>
      </c>
      <c r="I25" s="6">
        <f t="shared" si="0"/>
        <v>158</v>
      </c>
      <c r="J25" s="6">
        <f t="shared" si="1"/>
        <v>-126</v>
      </c>
      <c r="K25" s="6">
        <f t="shared" si="2"/>
        <v>-83</v>
      </c>
      <c r="L25" s="6">
        <f t="shared" si="3"/>
        <v>51</v>
      </c>
      <c r="M25" s="15">
        <f t="shared" si="4"/>
        <v>0</v>
      </c>
      <c r="N25" s="89" t="s">
        <v>149</v>
      </c>
      <c r="O25" s="89"/>
    </row>
    <row r="26" spans="2:20" x14ac:dyDescent="0.3">
      <c r="H26" s="19">
        <f>H24+50</f>
        <v>21900</v>
      </c>
      <c r="I26" s="6">
        <f t="shared" si="0"/>
        <v>141</v>
      </c>
      <c r="J26" s="6">
        <f t="shared" si="1"/>
        <v>-126</v>
      </c>
      <c r="K26" s="6">
        <f t="shared" si="2"/>
        <v>-83</v>
      </c>
      <c r="L26" s="6">
        <f t="shared" si="3"/>
        <v>51</v>
      </c>
      <c r="M26" s="6">
        <f t="shared" si="4"/>
        <v>-17</v>
      </c>
    </row>
    <row r="27" spans="2:20" x14ac:dyDescent="0.3">
      <c r="H27" s="19">
        <f>H26+9.75</f>
        <v>21909.75</v>
      </c>
      <c r="I27" s="6">
        <f t="shared" si="0"/>
        <v>131.25</v>
      </c>
      <c r="J27" s="6">
        <f t="shared" si="1"/>
        <v>-116.25</v>
      </c>
      <c r="K27" s="6">
        <f t="shared" si="2"/>
        <v>-83</v>
      </c>
      <c r="L27" s="6">
        <f t="shared" si="3"/>
        <v>51</v>
      </c>
      <c r="M27" s="6">
        <f t="shared" si="4"/>
        <v>-17</v>
      </c>
    </row>
    <row r="28" spans="2:20" x14ac:dyDescent="0.3">
      <c r="H28" s="19">
        <f>H26+50</f>
        <v>21950</v>
      </c>
      <c r="I28" s="6">
        <f t="shared" si="0"/>
        <v>91</v>
      </c>
      <c r="J28" s="6">
        <f t="shared" si="1"/>
        <v>-76</v>
      </c>
      <c r="K28" s="6">
        <f t="shared" si="2"/>
        <v>-83</v>
      </c>
      <c r="L28" s="6">
        <f t="shared" si="3"/>
        <v>51</v>
      </c>
      <c r="M28" s="6">
        <f t="shared" si="4"/>
        <v>-17</v>
      </c>
    </row>
    <row r="29" spans="2:20" x14ac:dyDescent="0.3">
      <c r="H29" s="19">
        <f>H28+50</f>
        <v>22000</v>
      </c>
      <c r="I29" s="6">
        <f t="shared" si="0"/>
        <v>41</v>
      </c>
      <c r="J29" s="6">
        <f t="shared" si="1"/>
        <v>-26</v>
      </c>
      <c r="K29" s="6">
        <f t="shared" si="2"/>
        <v>-83</v>
      </c>
      <c r="L29" s="6">
        <f t="shared" si="3"/>
        <v>51</v>
      </c>
      <c r="M29" s="6">
        <f t="shared" si="4"/>
        <v>-17</v>
      </c>
    </row>
    <row r="30" spans="2:20" x14ac:dyDescent="0.3">
      <c r="H30" s="19">
        <f>H29+50</f>
        <v>22050</v>
      </c>
      <c r="I30" s="6">
        <f t="shared" si="0"/>
        <v>-9</v>
      </c>
      <c r="J30" s="6">
        <f t="shared" si="1"/>
        <v>24</v>
      </c>
      <c r="K30" s="6">
        <f t="shared" si="2"/>
        <v>-83</v>
      </c>
      <c r="L30" s="6">
        <f t="shared" si="3"/>
        <v>51</v>
      </c>
      <c r="M30" s="6">
        <f t="shared" si="4"/>
        <v>-17</v>
      </c>
    </row>
    <row r="31" spans="2:20" x14ac:dyDescent="0.3">
      <c r="H31" s="19">
        <f>H32-9.75</f>
        <v>22090.25</v>
      </c>
      <c r="I31" s="6">
        <f t="shared" si="0"/>
        <v>-49.25</v>
      </c>
      <c r="J31" s="6">
        <f t="shared" si="1"/>
        <v>64.25</v>
      </c>
      <c r="K31" s="6">
        <f t="shared" si="2"/>
        <v>-83</v>
      </c>
      <c r="L31" s="6">
        <f t="shared" si="3"/>
        <v>51</v>
      </c>
      <c r="M31" s="6">
        <f t="shared" si="4"/>
        <v>-17</v>
      </c>
    </row>
    <row r="32" spans="2:20" x14ac:dyDescent="0.3">
      <c r="H32" s="19">
        <f>H30+50</f>
        <v>22100</v>
      </c>
      <c r="I32" s="6">
        <f t="shared" si="0"/>
        <v>-59</v>
      </c>
      <c r="J32" s="6">
        <f t="shared" si="1"/>
        <v>74</v>
      </c>
      <c r="K32" s="6">
        <f t="shared" si="2"/>
        <v>-83</v>
      </c>
      <c r="L32" s="6">
        <f t="shared" si="3"/>
        <v>51</v>
      </c>
      <c r="M32" s="6">
        <f t="shared" si="4"/>
        <v>-17</v>
      </c>
    </row>
    <row r="33" spans="8:15" x14ac:dyDescent="0.3">
      <c r="H33" s="19">
        <f>H34-33</f>
        <v>22117</v>
      </c>
      <c r="I33" s="6">
        <f t="shared" si="0"/>
        <v>-76</v>
      </c>
      <c r="J33" s="6">
        <f t="shared" si="1"/>
        <v>91</v>
      </c>
      <c r="K33" s="6">
        <f t="shared" si="2"/>
        <v>-66</v>
      </c>
      <c r="L33" s="6">
        <f t="shared" si="3"/>
        <v>51</v>
      </c>
      <c r="M33" s="15">
        <f t="shared" si="4"/>
        <v>0</v>
      </c>
      <c r="N33" s="89" t="s">
        <v>158</v>
      </c>
      <c r="O33" s="89"/>
    </row>
    <row r="34" spans="8:15" x14ac:dyDescent="0.3">
      <c r="H34" s="19">
        <f>H32+50</f>
        <v>22150</v>
      </c>
      <c r="I34" s="6">
        <f t="shared" si="0"/>
        <v>-109</v>
      </c>
      <c r="J34" s="6">
        <f t="shared" si="1"/>
        <v>124</v>
      </c>
      <c r="K34" s="6">
        <f t="shared" si="2"/>
        <v>-33</v>
      </c>
      <c r="L34" s="6">
        <f t="shared" si="3"/>
        <v>51</v>
      </c>
      <c r="M34" s="6">
        <f t="shared" si="4"/>
        <v>33</v>
      </c>
    </row>
    <row r="35" spans="8:15" x14ac:dyDescent="0.3">
      <c r="H35" s="19">
        <f t="shared" ref="H35:H51" si="6">H34+50</f>
        <v>22200</v>
      </c>
      <c r="I35" s="6">
        <f t="shared" si="0"/>
        <v>-159</v>
      </c>
      <c r="J35" s="6">
        <f t="shared" si="1"/>
        <v>174</v>
      </c>
      <c r="K35" s="6">
        <f t="shared" si="2"/>
        <v>17</v>
      </c>
      <c r="L35" s="6">
        <f t="shared" si="3"/>
        <v>51</v>
      </c>
      <c r="M35" s="6">
        <f t="shared" si="4"/>
        <v>83</v>
      </c>
    </row>
    <row r="36" spans="8:15" x14ac:dyDescent="0.3">
      <c r="H36" s="19">
        <f t="shared" si="6"/>
        <v>22250</v>
      </c>
      <c r="I36" s="6">
        <f t="shared" si="0"/>
        <v>-209</v>
      </c>
      <c r="J36" s="6">
        <f t="shared" si="1"/>
        <v>224</v>
      </c>
      <c r="K36" s="6">
        <f t="shared" si="2"/>
        <v>67</v>
      </c>
      <c r="L36" s="6">
        <f t="shared" si="3"/>
        <v>1</v>
      </c>
      <c r="M36" s="6">
        <f t="shared" si="4"/>
        <v>83</v>
      </c>
    </row>
    <row r="37" spans="8:15" x14ac:dyDescent="0.3">
      <c r="H37" s="19">
        <f t="shared" si="6"/>
        <v>22300</v>
      </c>
      <c r="I37" s="6">
        <f t="shared" si="0"/>
        <v>-259</v>
      </c>
      <c r="J37" s="6">
        <f t="shared" si="1"/>
        <v>274</v>
      </c>
      <c r="K37" s="6">
        <f t="shared" si="2"/>
        <v>117</v>
      </c>
      <c r="L37" s="6">
        <f t="shared" si="3"/>
        <v>-49</v>
      </c>
      <c r="M37" s="6">
        <f t="shared" si="4"/>
        <v>83</v>
      </c>
    </row>
    <row r="38" spans="8:15" x14ac:dyDescent="0.3">
      <c r="H38" s="19">
        <f t="shared" si="6"/>
        <v>22350</v>
      </c>
      <c r="I38" s="6">
        <f t="shared" si="0"/>
        <v>-309</v>
      </c>
      <c r="J38" s="6">
        <f t="shared" si="1"/>
        <v>324</v>
      </c>
      <c r="K38" s="6">
        <f t="shared" si="2"/>
        <v>167</v>
      </c>
      <c r="L38" s="6">
        <f t="shared" si="3"/>
        <v>-99</v>
      </c>
      <c r="M38" s="6">
        <f t="shared" si="4"/>
        <v>83</v>
      </c>
    </row>
    <row r="39" spans="8:15" x14ac:dyDescent="0.3">
      <c r="H39" s="19">
        <f t="shared" si="6"/>
        <v>22400</v>
      </c>
      <c r="I39" s="6">
        <f t="shared" si="0"/>
        <v>-359</v>
      </c>
      <c r="J39" s="6">
        <f t="shared" si="1"/>
        <v>374</v>
      </c>
      <c r="K39" s="6">
        <f t="shared" si="2"/>
        <v>217</v>
      </c>
      <c r="L39" s="6">
        <f t="shared" si="3"/>
        <v>-149</v>
      </c>
      <c r="M39" s="6">
        <f t="shared" si="4"/>
        <v>83</v>
      </c>
    </row>
    <row r="40" spans="8:15" x14ac:dyDescent="0.3">
      <c r="H40" s="19">
        <f t="shared" si="6"/>
        <v>22450</v>
      </c>
      <c r="I40" s="6">
        <f t="shared" si="0"/>
        <v>-409</v>
      </c>
      <c r="J40" s="6">
        <f t="shared" si="1"/>
        <v>424</v>
      </c>
      <c r="K40" s="6">
        <f t="shared" si="2"/>
        <v>267</v>
      </c>
      <c r="L40" s="6">
        <f t="shared" si="3"/>
        <v>-199</v>
      </c>
      <c r="M40" s="6">
        <f t="shared" si="4"/>
        <v>83</v>
      </c>
    </row>
    <row r="41" spans="8:15" x14ac:dyDescent="0.3">
      <c r="H41" s="19">
        <f t="shared" si="6"/>
        <v>22500</v>
      </c>
      <c r="I41" s="6">
        <f t="shared" si="0"/>
        <v>-459</v>
      </c>
      <c r="J41" s="6">
        <f t="shared" si="1"/>
        <v>474</v>
      </c>
      <c r="K41" s="6">
        <f t="shared" si="2"/>
        <v>317</v>
      </c>
      <c r="L41" s="6">
        <f t="shared" si="3"/>
        <v>-249</v>
      </c>
      <c r="M41" s="6">
        <f t="shared" si="4"/>
        <v>83</v>
      </c>
    </row>
    <row r="42" spans="8:15" x14ac:dyDescent="0.3">
      <c r="H42" s="19">
        <f t="shared" si="6"/>
        <v>22550</v>
      </c>
      <c r="I42" s="6">
        <f t="shared" si="0"/>
        <v>-509</v>
      </c>
      <c r="J42" s="6">
        <f t="shared" si="1"/>
        <v>524</v>
      </c>
      <c r="K42" s="6">
        <f t="shared" si="2"/>
        <v>367</v>
      </c>
      <c r="L42" s="6">
        <f t="shared" si="3"/>
        <v>-299</v>
      </c>
      <c r="M42" s="6">
        <f t="shared" si="4"/>
        <v>83</v>
      </c>
    </row>
    <row r="43" spans="8:15" x14ac:dyDescent="0.3">
      <c r="H43" s="19">
        <f t="shared" si="6"/>
        <v>22600</v>
      </c>
      <c r="I43" s="6">
        <f t="shared" si="0"/>
        <v>-559</v>
      </c>
      <c r="J43" s="6">
        <f t="shared" si="1"/>
        <v>574</v>
      </c>
      <c r="K43" s="6">
        <f t="shared" si="2"/>
        <v>417</v>
      </c>
      <c r="L43" s="6">
        <f t="shared" si="3"/>
        <v>-349</v>
      </c>
      <c r="M43" s="6">
        <f t="shared" si="4"/>
        <v>83</v>
      </c>
    </row>
    <row r="44" spans="8:15" x14ac:dyDescent="0.3">
      <c r="H44" s="19">
        <f t="shared" si="6"/>
        <v>22650</v>
      </c>
      <c r="I44" s="6">
        <f t="shared" si="0"/>
        <v>-609</v>
      </c>
      <c r="J44" s="6">
        <f t="shared" si="1"/>
        <v>624</v>
      </c>
      <c r="K44" s="6">
        <f t="shared" si="2"/>
        <v>467</v>
      </c>
      <c r="L44" s="6">
        <f t="shared" si="3"/>
        <v>-399</v>
      </c>
      <c r="M44" s="6">
        <f t="shared" si="4"/>
        <v>83</v>
      </c>
    </row>
    <row r="45" spans="8:15" x14ac:dyDescent="0.3">
      <c r="H45" s="19">
        <f t="shared" si="6"/>
        <v>22700</v>
      </c>
      <c r="I45" s="6">
        <f t="shared" si="0"/>
        <v>-659</v>
      </c>
      <c r="J45" s="6">
        <f t="shared" si="1"/>
        <v>674</v>
      </c>
      <c r="K45" s="6">
        <f t="shared" si="2"/>
        <v>517</v>
      </c>
      <c r="L45" s="6">
        <f t="shared" si="3"/>
        <v>-449</v>
      </c>
      <c r="M45" s="6">
        <f t="shared" si="4"/>
        <v>83</v>
      </c>
    </row>
    <row r="46" spans="8:15" x14ac:dyDescent="0.3">
      <c r="H46" s="19">
        <f t="shared" si="6"/>
        <v>22750</v>
      </c>
      <c r="I46" s="6">
        <f t="shared" si="0"/>
        <v>-709</v>
      </c>
      <c r="J46" s="6">
        <f t="shared" si="1"/>
        <v>724</v>
      </c>
      <c r="K46" s="6">
        <f t="shared" si="2"/>
        <v>567</v>
      </c>
      <c r="L46" s="6">
        <f t="shared" si="3"/>
        <v>-499</v>
      </c>
      <c r="M46" s="6">
        <f t="shared" si="4"/>
        <v>83</v>
      </c>
    </row>
    <row r="47" spans="8:15" x14ac:dyDescent="0.3">
      <c r="H47" s="19">
        <f t="shared" si="6"/>
        <v>22800</v>
      </c>
      <c r="I47" s="6">
        <f t="shared" si="0"/>
        <v>-759</v>
      </c>
      <c r="J47" s="6">
        <f t="shared" si="1"/>
        <v>774</v>
      </c>
      <c r="K47" s="6">
        <f t="shared" si="2"/>
        <v>617</v>
      </c>
      <c r="L47" s="6">
        <f t="shared" si="3"/>
        <v>-549</v>
      </c>
      <c r="M47" s="6">
        <f t="shared" si="4"/>
        <v>83</v>
      </c>
    </row>
    <row r="48" spans="8:15" x14ac:dyDescent="0.3">
      <c r="H48" s="19">
        <f t="shared" si="6"/>
        <v>22850</v>
      </c>
      <c r="I48" s="6">
        <f t="shared" si="0"/>
        <v>-809</v>
      </c>
      <c r="J48" s="6">
        <f t="shared" si="1"/>
        <v>824</v>
      </c>
      <c r="K48" s="6">
        <f t="shared" si="2"/>
        <v>667</v>
      </c>
      <c r="L48" s="6">
        <f t="shared" si="3"/>
        <v>-599</v>
      </c>
      <c r="M48" s="6">
        <f t="shared" si="4"/>
        <v>83</v>
      </c>
    </row>
    <row r="49" spans="8:13" x14ac:dyDescent="0.3">
      <c r="H49" s="19">
        <f t="shared" si="6"/>
        <v>22900</v>
      </c>
      <c r="I49" s="6">
        <f t="shared" si="0"/>
        <v>-859</v>
      </c>
      <c r="J49" s="6">
        <f t="shared" si="1"/>
        <v>874</v>
      </c>
      <c r="K49" s="6">
        <f t="shared" si="2"/>
        <v>717</v>
      </c>
      <c r="L49" s="6">
        <f t="shared" si="3"/>
        <v>-649</v>
      </c>
      <c r="M49" s="6">
        <f t="shared" si="4"/>
        <v>83</v>
      </c>
    </row>
    <row r="50" spans="8:13" x14ac:dyDescent="0.3">
      <c r="H50" s="19">
        <f t="shared" si="6"/>
        <v>22950</v>
      </c>
      <c r="I50" s="6">
        <f t="shared" si="0"/>
        <v>-909</v>
      </c>
      <c r="J50" s="6">
        <f t="shared" si="1"/>
        <v>924</v>
      </c>
      <c r="K50" s="6">
        <f t="shared" si="2"/>
        <v>767</v>
      </c>
      <c r="L50" s="6">
        <f t="shared" si="3"/>
        <v>-699</v>
      </c>
      <c r="M50" s="6">
        <f t="shared" si="4"/>
        <v>83</v>
      </c>
    </row>
    <row r="51" spans="8:13" x14ac:dyDescent="0.3">
      <c r="H51" s="19">
        <f t="shared" si="6"/>
        <v>23000</v>
      </c>
      <c r="I51" s="6">
        <f t="shared" si="0"/>
        <v>-959</v>
      </c>
      <c r="J51" s="6">
        <f t="shared" si="1"/>
        <v>974</v>
      </c>
      <c r="K51" s="6">
        <f t="shared" si="2"/>
        <v>817</v>
      </c>
      <c r="L51" s="6">
        <f t="shared" si="3"/>
        <v>-749</v>
      </c>
      <c r="M51" s="6">
        <f t="shared" si="4"/>
        <v>83</v>
      </c>
    </row>
  </sheetData>
  <sheetProtection algorithmName="SHA-512" hashValue="Vmy3OtuIIdeezMB+9liA92WwALveplSzNNyIZL8B48UQhcZqDn5qYa309zM38xMjw8Y/6KyRYkIDvK0qdbYMUw==" saltValue="DW/VpdOd93Dt6tpV9rwlrw==" spinCount="100000" sheet="1" objects="1" scenarios="1"/>
  <mergeCells count="8">
    <mergeCell ref="B3:F13"/>
    <mergeCell ref="B15:F20"/>
    <mergeCell ref="N25:O25"/>
    <mergeCell ref="N33:O33"/>
    <mergeCell ref="Q4:T4"/>
    <mergeCell ref="Q5:T9"/>
    <mergeCell ref="Q11:T14"/>
    <mergeCell ref="Q16:T22"/>
  </mergeCells>
  <conditionalFormatting sqref="I7:I51 K7:L51">
    <cfRule type="cellIs" dxfId="4" priority="4" operator="lessThan">
      <formula>$G$9</formula>
    </cfRule>
    <cfRule type="cellIs" dxfId="3" priority="5" operator="greaterThan">
      <formula>0</formula>
    </cfRule>
  </conditionalFormatting>
  <conditionalFormatting sqref="J7:J51 M7:M51">
    <cfRule type="cellIs" dxfId="2" priority="1" operator="lessThan">
      <formula>0</formula>
    </cfRule>
    <cfRule type="cellIs" dxfId="1" priority="2" operator="lessThan">
      <formula>#REF!</formula>
    </cfRule>
    <cfRule type="cellIs" dxfId="0" priority="3" operator="greaterThan">
      <formula>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INDEX</vt:lpstr>
      <vt:lpstr>CE</vt:lpstr>
      <vt:lpstr>PE</vt:lpstr>
      <vt:lpstr>COVERED CALL </vt:lpstr>
      <vt:lpstr>PROTECTIVE PUT </vt:lpstr>
      <vt:lpstr>LONG COMBO</vt:lpstr>
      <vt:lpstr>PROTECTIVE CALL</vt:lpstr>
      <vt:lpstr>COVERED PUT</vt:lpstr>
      <vt:lpstr>LONG STRADDLE</vt:lpstr>
      <vt:lpstr>SHORT STRADDLE</vt:lpstr>
      <vt:lpstr> LONG STRANGLE </vt:lpstr>
      <vt:lpstr>SHORT STRANGLE</vt:lpstr>
      <vt:lpstr>COLLAR</vt:lpstr>
      <vt:lpstr>BULL CALL SPREAD STRATEGY</vt:lpstr>
      <vt:lpstr>BULL PUT SPREAD STRATEGY</vt:lpstr>
      <vt:lpstr>BEAR CALL SPREAD STRATEGY</vt:lpstr>
      <vt:lpstr>BEAR PUT SPREAD</vt:lpstr>
      <vt:lpstr>LONG CALL BUTTERFLY</vt:lpstr>
      <vt:lpstr>LONG CALL CONDOR</vt:lpstr>
      <vt:lpstr>SHORT CALL BUTTERFLY</vt:lpstr>
      <vt:lpstr>SHORT CALL CONDOR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 lakha</dc:creator>
  <cp:lastModifiedBy>kamal lakha</cp:lastModifiedBy>
  <dcterms:created xsi:type="dcterms:W3CDTF">2025-08-25T08:09:43Z</dcterms:created>
  <dcterms:modified xsi:type="dcterms:W3CDTF">2026-06-22T05:36:25Z</dcterms:modified>
</cp:coreProperties>
</file>