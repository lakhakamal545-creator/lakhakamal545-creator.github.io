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M\ea\ca1\"/>
    </mc:Choice>
  </mc:AlternateContent>
  <xr:revisionPtr revIDLastSave="0" documentId="13_ncr:1_{F1AE538F-A21F-495E-A8EA-0ED8B7C5842F}" xr6:coauthVersionLast="47" xr6:coauthVersionMax="47" xr10:uidLastSave="{00000000-0000-0000-0000-000000000000}"/>
  <workbookProtection workbookAlgorithmName="SHA-512" workbookHashValue="kiUvGBA542FFJYVOBWc5/RvHcyDanK5qblLIagNqZZPXMiZX5+SPNoRLviTbi7UsddNbphsUQCtepfnE5ZFzcQ==" workbookSaltValue="SxlGc1/Cx86C773rgQbOIA==" workbookSpinCount="100000" lockStructure="1"/>
  <bookViews>
    <workbookView xWindow="-108" yWindow="-108" windowWidth="23256" windowHeight="12456" tabRatio="812" xr2:uid="{8A0088D3-18B8-48BD-8DD2-160264F84469}"/>
  </bookViews>
  <sheets>
    <sheet name="IS" sheetId="2" r:id="rId1"/>
    <sheet name="BS" sheetId="1" r:id="rId2"/>
    <sheet name="CFS" sheetId="3" r:id="rId3"/>
    <sheet name="NOTES " sheetId="4" r:id="rId4"/>
    <sheet name="DCF" sheetId="5" r:id="rId5"/>
    <sheet name="DDM" sheetId="8" r:id="rId6"/>
    <sheet name="RELATIVE VALUATION " sheetId="9" r:id="rId7"/>
    <sheet name="WACC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0" l="1"/>
  <c r="I17" i="4"/>
  <c r="C26" i="9" l="1"/>
  <c r="H35" i="1"/>
  <c r="H33" i="1"/>
  <c r="G16" i="5"/>
  <c r="D8" i="10" l="1"/>
  <c r="J14" i="10"/>
  <c r="J9" i="10"/>
  <c r="J10" i="10"/>
  <c r="J11" i="10"/>
  <c r="J12" i="10"/>
  <c r="J13" i="10"/>
  <c r="J7" i="10"/>
  <c r="J8" i="10"/>
  <c r="L8" i="10"/>
  <c r="L7" i="10"/>
  <c r="L9" i="10"/>
  <c r="L10" i="10"/>
  <c r="L11" i="10"/>
  <c r="L12" i="10"/>
  <c r="G15" i="10"/>
  <c r="F14" i="10"/>
  <c r="F7" i="10"/>
  <c r="F8" i="10"/>
  <c r="F9" i="10"/>
  <c r="F10" i="10"/>
  <c r="F11" i="10"/>
  <c r="F12" i="10"/>
  <c r="F13" i="10"/>
  <c r="F6" i="10"/>
  <c r="D19" i="10"/>
  <c r="K40" i="8" l="1"/>
  <c r="L40" i="8"/>
  <c r="D45" i="8"/>
  <c r="D26" i="8" l="1"/>
  <c r="H10" i="1" l="1"/>
  <c r="H64" i="4"/>
  <c r="N25" i="9"/>
  <c r="M25" i="9"/>
  <c r="L25" i="9"/>
  <c r="P25" i="9"/>
  <c r="O25" i="9"/>
  <c r="C27" i="9"/>
  <c r="N4" i="9"/>
  <c r="P22" i="9"/>
  <c r="O22" i="9"/>
  <c r="M16" i="9"/>
  <c r="N16" i="9"/>
  <c r="O16" i="9"/>
  <c r="P16" i="9"/>
  <c r="L16" i="9"/>
  <c r="O5" i="9" l="1"/>
  <c r="O6" i="9"/>
  <c r="O7" i="9"/>
  <c r="O8" i="9"/>
  <c r="O9" i="9"/>
  <c r="O10" i="9"/>
  <c r="O11" i="9"/>
  <c r="O4" i="9"/>
  <c r="P5" i="9"/>
  <c r="P6" i="9"/>
  <c r="P7" i="9"/>
  <c r="P8" i="9"/>
  <c r="P9" i="9"/>
  <c r="P10" i="9"/>
  <c r="P11" i="9"/>
  <c r="P4" i="9"/>
  <c r="N5" i="9"/>
  <c r="N6" i="9"/>
  <c r="N7" i="9"/>
  <c r="N8" i="9"/>
  <c r="N9" i="9"/>
  <c r="N10" i="9"/>
  <c r="N11" i="9"/>
  <c r="M5" i="9"/>
  <c r="M6" i="9"/>
  <c r="M7" i="9"/>
  <c r="M8" i="9"/>
  <c r="M9" i="9"/>
  <c r="M10" i="9"/>
  <c r="M11" i="9"/>
  <c r="M4" i="9"/>
  <c r="L5" i="9"/>
  <c r="L6" i="9"/>
  <c r="L7" i="9"/>
  <c r="L8" i="9"/>
  <c r="L9" i="9"/>
  <c r="L10" i="9"/>
  <c r="L11" i="9"/>
  <c r="L4" i="9"/>
  <c r="L13" i="9" s="1"/>
  <c r="I41" i="8"/>
  <c r="J41" i="8"/>
  <c r="K41" i="8"/>
  <c r="L41" i="8"/>
  <c r="C40" i="8"/>
  <c r="D40" i="8" s="1"/>
  <c r="E40" i="8" s="1"/>
  <c r="F40" i="8" s="1"/>
  <c r="G40" i="8" s="1"/>
  <c r="H40" i="8" s="1"/>
  <c r="I40" i="8" s="1"/>
  <c r="J40" i="8" s="1"/>
  <c r="M14" i="9" l="1"/>
  <c r="M23" i="9" s="1"/>
  <c r="M13" i="9"/>
  <c r="O13" i="9"/>
  <c r="O14" i="9"/>
  <c r="L14" i="9"/>
  <c r="L23" i="9" s="1"/>
  <c r="N13" i="9"/>
  <c r="N14" i="9"/>
  <c r="N23" i="9" s="1"/>
  <c r="P13" i="9"/>
  <c r="P14" i="9"/>
  <c r="K42" i="8"/>
  <c r="L42" i="8"/>
  <c r="J42" i="8"/>
  <c r="I42" i="8"/>
  <c r="D38" i="8"/>
  <c r="E38" i="8"/>
  <c r="F38" i="8"/>
  <c r="G38" i="8"/>
  <c r="H38" i="8"/>
  <c r="I38" i="8" s="1"/>
  <c r="J38" i="8" s="1"/>
  <c r="K38" i="8" s="1"/>
  <c r="L38" i="8" s="1"/>
  <c r="C38" i="8"/>
  <c r="O18" i="9" l="1"/>
  <c r="P18" i="9"/>
  <c r="H41" i="8"/>
  <c r="H42" i="8" s="1"/>
  <c r="G41" i="8"/>
  <c r="F41" i="8"/>
  <c r="E41" i="8"/>
  <c r="D41" i="8"/>
  <c r="C41" i="8"/>
  <c r="C8" i="8"/>
  <c r="C9" i="8" s="1"/>
  <c r="C11" i="8" s="1"/>
  <c r="C12" i="8" s="1"/>
  <c r="F22" i="8"/>
  <c r="G22" i="8"/>
  <c r="H22" i="8"/>
  <c r="I22" i="8"/>
  <c r="J22" i="8"/>
  <c r="E22" i="8"/>
  <c r="E21" i="8"/>
  <c r="F21" i="8" s="1"/>
  <c r="G21" i="8" s="1"/>
  <c r="H21" i="8" s="1"/>
  <c r="I21" i="8" s="1"/>
  <c r="F19" i="8"/>
  <c r="G19" i="8"/>
  <c r="H19" i="8"/>
  <c r="I19" i="8"/>
  <c r="J19" i="8"/>
  <c r="E19" i="8"/>
  <c r="J21" i="8" l="1"/>
  <c r="D27" i="8" s="1"/>
  <c r="D28" i="8" s="1"/>
  <c r="D29" i="8" s="1"/>
  <c r="C42" i="8"/>
  <c r="D42" i="8"/>
  <c r="E42" i="8"/>
  <c r="F42" i="8"/>
  <c r="E23" i="8"/>
  <c r="G23" i="8"/>
  <c r="F23" i="8"/>
  <c r="H23" i="8"/>
  <c r="J23" i="8"/>
  <c r="I23" i="8"/>
  <c r="D30" i="8" l="1"/>
  <c r="G42" i="8"/>
  <c r="C16" i="5" l="1"/>
  <c r="H6" i="10" s="1"/>
  <c r="J6" i="10" s="1"/>
  <c r="G1" i="3"/>
  <c r="G16" i="3"/>
  <c r="G8" i="3"/>
  <c r="C17" i="5"/>
  <c r="O20" i="9" s="1"/>
  <c r="P20" i="9" s="1"/>
  <c r="E8" i="5"/>
  <c r="F8" i="5"/>
  <c r="G8" i="5"/>
  <c r="C8" i="5"/>
  <c r="D7" i="5"/>
  <c r="E7" i="5"/>
  <c r="F7" i="5"/>
  <c r="G7" i="5"/>
  <c r="C7" i="5"/>
  <c r="G5" i="3"/>
  <c r="E5" i="3"/>
  <c r="F5" i="3"/>
  <c r="F8" i="3" s="1"/>
  <c r="D81" i="4"/>
  <c r="E81" i="4"/>
  <c r="F81" i="4"/>
  <c r="G81" i="4"/>
  <c r="H81" i="4"/>
  <c r="J81" i="4"/>
  <c r="K81" i="4"/>
  <c r="L81" i="4"/>
  <c r="C81" i="4"/>
  <c r="H70" i="1"/>
  <c r="I70" i="1" s="1"/>
  <c r="J70" i="1" s="1"/>
  <c r="K70" i="1" s="1"/>
  <c r="L70" i="1" s="1"/>
  <c r="H69" i="1"/>
  <c r="I69" i="1" s="1"/>
  <c r="J69" i="1" s="1"/>
  <c r="K69" i="1" s="1"/>
  <c r="L69" i="1" s="1"/>
  <c r="H68" i="1"/>
  <c r="I68" i="1" s="1"/>
  <c r="J68" i="1" s="1"/>
  <c r="K68" i="1" s="1"/>
  <c r="L68" i="1" s="1"/>
  <c r="H66" i="1"/>
  <c r="I66" i="1" s="1"/>
  <c r="J66" i="1" s="1"/>
  <c r="K66" i="1" s="1"/>
  <c r="L66" i="1" s="1"/>
  <c r="H65" i="1"/>
  <c r="I65" i="1" s="1"/>
  <c r="J65" i="1" s="1"/>
  <c r="K65" i="1" s="1"/>
  <c r="L65" i="1" s="1"/>
  <c r="H64" i="1"/>
  <c r="I64" i="1" s="1"/>
  <c r="J64" i="1" s="1"/>
  <c r="K64" i="1" s="1"/>
  <c r="L64" i="1" s="1"/>
  <c r="I62" i="1"/>
  <c r="J62" i="1" s="1"/>
  <c r="K62" i="1" s="1"/>
  <c r="L62" i="1" s="1"/>
  <c r="H62" i="1"/>
  <c r="H61" i="1"/>
  <c r="I61" i="1" s="1"/>
  <c r="J61" i="1" s="1"/>
  <c r="K61" i="1" s="1"/>
  <c r="L61" i="1" s="1"/>
  <c r="H60" i="1"/>
  <c r="I60" i="1" s="1"/>
  <c r="J60" i="1" s="1"/>
  <c r="K60" i="1" s="1"/>
  <c r="L60" i="1" s="1"/>
  <c r="H55" i="1"/>
  <c r="I55" i="1" s="1"/>
  <c r="J55" i="1" s="1"/>
  <c r="K55" i="1" s="1"/>
  <c r="L55" i="1" s="1"/>
  <c r="H54" i="1"/>
  <c r="I54" i="1" s="1"/>
  <c r="J54" i="1" s="1"/>
  <c r="K54" i="1" s="1"/>
  <c r="L54" i="1" s="1"/>
  <c r="H53" i="1"/>
  <c r="I53" i="1" s="1"/>
  <c r="J53" i="1" s="1"/>
  <c r="K53" i="1" s="1"/>
  <c r="L53" i="1" s="1"/>
  <c r="H51" i="1"/>
  <c r="I51" i="1" s="1"/>
  <c r="J51" i="1" s="1"/>
  <c r="K51" i="1" s="1"/>
  <c r="L51" i="1" s="1"/>
  <c r="H50" i="1"/>
  <c r="I50" i="1" s="1"/>
  <c r="J50" i="1" s="1"/>
  <c r="K50" i="1" s="1"/>
  <c r="L50" i="1" s="1"/>
  <c r="H49" i="1"/>
  <c r="I49" i="1" s="1"/>
  <c r="J49" i="1" s="1"/>
  <c r="K49" i="1" s="1"/>
  <c r="L49" i="1" s="1"/>
  <c r="H43" i="1"/>
  <c r="I43" i="1" s="1"/>
  <c r="J43" i="1" s="1"/>
  <c r="K43" i="1" s="1"/>
  <c r="L43" i="1" s="1"/>
  <c r="I40" i="1"/>
  <c r="J40" i="1" s="1"/>
  <c r="K40" i="1" s="1"/>
  <c r="L40" i="1" s="1"/>
  <c r="H40" i="1"/>
  <c r="H36" i="1"/>
  <c r="I36" i="1" s="1"/>
  <c r="J36" i="1" s="1"/>
  <c r="K36" i="1" s="1"/>
  <c r="L36" i="1" s="1"/>
  <c r="I34" i="1"/>
  <c r="J34" i="1"/>
  <c r="K34" i="1"/>
  <c r="L34" i="1"/>
  <c r="H34" i="1"/>
  <c r="I26" i="1"/>
  <c r="J26" i="1"/>
  <c r="K26" i="1"/>
  <c r="L26" i="1"/>
  <c r="I27" i="1"/>
  <c r="J27" i="1"/>
  <c r="K27" i="1"/>
  <c r="L27" i="1"/>
  <c r="I29" i="1"/>
  <c r="J29" i="1"/>
  <c r="K29" i="1"/>
  <c r="L29" i="1"/>
  <c r="I30" i="1"/>
  <c r="J30" i="1"/>
  <c r="K30" i="1"/>
  <c r="L30" i="1"/>
  <c r="I31" i="1"/>
  <c r="J31" i="1"/>
  <c r="K31" i="1"/>
  <c r="L31" i="1"/>
  <c r="I32" i="1"/>
  <c r="J32" i="1"/>
  <c r="K32" i="1"/>
  <c r="L32" i="1"/>
  <c r="H27" i="1"/>
  <c r="H29" i="1"/>
  <c r="H30" i="1"/>
  <c r="H31" i="1"/>
  <c r="H32" i="1"/>
  <c r="H26" i="1"/>
  <c r="G21" i="1"/>
  <c r="H17" i="1"/>
  <c r="I17" i="1"/>
  <c r="J17" i="1"/>
  <c r="K17" i="1"/>
  <c r="L17" i="1"/>
  <c r="I12" i="1"/>
  <c r="J12" i="1" s="1"/>
  <c r="K12" i="1" s="1"/>
  <c r="L12" i="1" s="1"/>
  <c r="I13" i="1"/>
  <c r="J13" i="1"/>
  <c r="K13" i="1"/>
  <c r="L13" i="1"/>
  <c r="I14" i="1"/>
  <c r="J14" i="1"/>
  <c r="K14" i="1"/>
  <c r="L14" i="1" s="1"/>
  <c r="I15" i="1"/>
  <c r="J15" i="1"/>
  <c r="K15" i="1"/>
  <c r="L15" i="1"/>
  <c r="I16" i="1"/>
  <c r="J16" i="1"/>
  <c r="K16" i="1"/>
  <c r="L16" i="1" s="1"/>
  <c r="H13" i="1"/>
  <c r="H14" i="1"/>
  <c r="H15" i="1"/>
  <c r="H16" i="1"/>
  <c r="H12" i="1"/>
  <c r="H9" i="1"/>
  <c r="I9" i="1" s="1"/>
  <c r="J9" i="1" s="1"/>
  <c r="K9" i="1" s="1"/>
  <c r="L9" i="1" s="1"/>
  <c r="H7" i="1"/>
  <c r="I7" i="1" s="1"/>
  <c r="J7" i="1" s="1"/>
  <c r="K7" i="1" s="1"/>
  <c r="L7" i="1" s="1"/>
  <c r="I6" i="1"/>
  <c r="J6" i="1" s="1"/>
  <c r="K6" i="1" s="1"/>
  <c r="L6" i="1" s="1"/>
  <c r="H6" i="1"/>
  <c r="H4" i="4"/>
  <c r="I4" i="4" s="1"/>
  <c r="H28" i="2"/>
  <c r="I28" i="2" s="1"/>
  <c r="J28" i="2" s="1"/>
  <c r="K28" i="2" s="1"/>
  <c r="L28" i="2" s="1"/>
  <c r="D83" i="4"/>
  <c r="E83" i="4"/>
  <c r="F83" i="4"/>
  <c r="G83" i="4"/>
  <c r="C83" i="4"/>
  <c r="B83" i="4"/>
  <c r="H40" i="4"/>
  <c r="H72" i="4"/>
  <c r="H65" i="4"/>
  <c r="I65" i="4" s="1"/>
  <c r="J65" i="4" s="1"/>
  <c r="K65" i="4" s="1"/>
  <c r="L65" i="4" s="1"/>
  <c r="H4" i="1"/>
  <c r="I4" i="1" s="1"/>
  <c r="J4" i="1" s="1"/>
  <c r="K4" i="1" s="1"/>
  <c r="L4" i="1" s="1"/>
  <c r="H51" i="4"/>
  <c r="G42" i="4"/>
  <c r="C79" i="4"/>
  <c r="C74" i="4"/>
  <c r="C57" i="4"/>
  <c r="D55" i="4" s="1"/>
  <c r="D57" i="4" s="1"/>
  <c r="E55" i="4" s="1"/>
  <c r="E57" i="4" s="1"/>
  <c r="D53" i="4"/>
  <c r="C50" i="4"/>
  <c r="D74" i="4"/>
  <c r="C71" i="4"/>
  <c r="B61" i="4"/>
  <c r="B57" i="4"/>
  <c r="E74" i="4"/>
  <c r="F74" i="4"/>
  <c r="G74" i="4"/>
  <c r="C53" i="4"/>
  <c r="B58" i="4"/>
  <c r="D79" i="4"/>
  <c r="E79" i="4"/>
  <c r="F79" i="4"/>
  <c r="G79" i="4"/>
  <c r="D61" i="4"/>
  <c r="E61" i="4"/>
  <c r="F61" i="4"/>
  <c r="G61" i="4"/>
  <c r="C61" i="4"/>
  <c r="E53" i="4"/>
  <c r="F53" i="4"/>
  <c r="G53" i="4"/>
  <c r="B68" i="4"/>
  <c r="B63" i="4"/>
  <c r="F42" i="4"/>
  <c r="E42" i="4"/>
  <c r="D42" i="4"/>
  <c r="C42" i="4"/>
  <c r="G5" i="2"/>
  <c r="H32" i="4"/>
  <c r="I32" i="4" s="1"/>
  <c r="J32" i="4" s="1"/>
  <c r="K32" i="4" s="1"/>
  <c r="L32" i="4" s="1"/>
  <c r="L4" i="2" s="1"/>
  <c r="H15" i="4"/>
  <c r="I15" i="4" s="1"/>
  <c r="J15" i="4" s="1"/>
  <c r="K15" i="4" s="1"/>
  <c r="L15" i="4" s="1"/>
  <c r="C27" i="4"/>
  <c r="C17" i="4"/>
  <c r="D17" i="4"/>
  <c r="H24" i="4"/>
  <c r="I24" i="4" s="1"/>
  <c r="J24" i="4" s="1"/>
  <c r="K24" i="4" s="1"/>
  <c r="L24" i="4" s="1"/>
  <c r="D27" i="4"/>
  <c r="E27" i="4"/>
  <c r="F27" i="4"/>
  <c r="G27" i="4"/>
  <c r="H21" i="4"/>
  <c r="I21" i="4" s="1"/>
  <c r="J21" i="4" s="1"/>
  <c r="K21" i="4" s="1"/>
  <c r="L21" i="4" s="1"/>
  <c r="H22" i="4"/>
  <c r="I22" i="4" s="1"/>
  <c r="J22" i="4" s="1"/>
  <c r="K22" i="4" s="1"/>
  <c r="L22" i="4" s="1"/>
  <c r="H23" i="4"/>
  <c r="I23" i="4" s="1"/>
  <c r="J23" i="4" s="1"/>
  <c r="K23" i="4" s="1"/>
  <c r="L23" i="4" s="1"/>
  <c r="H26" i="4"/>
  <c r="I26" i="4" s="1"/>
  <c r="J26" i="4" s="1"/>
  <c r="K26" i="4" s="1"/>
  <c r="L26" i="4" s="1"/>
  <c r="H20" i="4"/>
  <c r="I20" i="4" s="1"/>
  <c r="J20" i="4" s="1"/>
  <c r="K20" i="4" s="1"/>
  <c r="L20" i="4" s="1"/>
  <c r="G17" i="4"/>
  <c r="F17" i="4"/>
  <c r="E17" i="4"/>
  <c r="H5" i="4"/>
  <c r="I5" i="4" s="1"/>
  <c r="J5" i="4" s="1"/>
  <c r="K5" i="4" s="1"/>
  <c r="L5" i="4" s="1"/>
  <c r="H6" i="4"/>
  <c r="I6" i="4" s="1"/>
  <c r="J6" i="4" s="1"/>
  <c r="K6" i="4" s="1"/>
  <c r="L6" i="4" s="1"/>
  <c r="H7" i="4"/>
  <c r="I7" i="4" s="1"/>
  <c r="J7" i="4" s="1"/>
  <c r="K7" i="4" s="1"/>
  <c r="L7" i="4" s="1"/>
  <c r="H8" i="4"/>
  <c r="I8" i="4" s="1"/>
  <c r="J8" i="4" s="1"/>
  <c r="K8" i="4" s="1"/>
  <c r="L8" i="4" s="1"/>
  <c r="H9" i="4"/>
  <c r="I9" i="4" s="1"/>
  <c r="J9" i="4" s="1"/>
  <c r="K9" i="4" s="1"/>
  <c r="L9" i="4" s="1"/>
  <c r="H10" i="4"/>
  <c r="I10" i="4" s="1"/>
  <c r="J10" i="4" s="1"/>
  <c r="K10" i="4" s="1"/>
  <c r="L10" i="4" s="1"/>
  <c r="H11" i="4"/>
  <c r="I11" i="4" s="1"/>
  <c r="J11" i="4" s="1"/>
  <c r="K11" i="4" s="1"/>
  <c r="L11" i="4" s="1"/>
  <c r="H12" i="4"/>
  <c r="I12" i="4" s="1"/>
  <c r="J12" i="4" s="1"/>
  <c r="K12" i="4" s="1"/>
  <c r="L12" i="4" s="1"/>
  <c r="D2" i="5"/>
  <c r="E2" i="5"/>
  <c r="F2" i="5"/>
  <c r="G2" i="5"/>
  <c r="C2" i="5"/>
  <c r="J15" i="10" l="1"/>
  <c r="L6" i="10"/>
  <c r="L15" i="10" s="1"/>
  <c r="E3" i="9"/>
  <c r="O19" i="9"/>
  <c r="F16" i="3"/>
  <c r="C5" i="3"/>
  <c r="C8" i="3" s="1"/>
  <c r="C16" i="3" s="1"/>
  <c r="C19" i="3" s="1"/>
  <c r="D5" i="3"/>
  <c r="D8" i="3" s="1"/>
  <c r="D16" i="3" s="1"/>
  <c r="E8" i="3"/>
  <c r="E16" i="3" s="1"/>
  <c r="H83" i="4"/>
  <c r="C58" i="4"/>
  <c r="F55" i="4"/>
  <c r="F57" i="4" s="1"/>
  <c r="G55" i="4" s="1"/>
  <c r="G57" i="4" s="1"/>
  <c r="H55" i="4" s="1"/>
  <c r="E58" i="4"/>
  <c r="D58" i="4"/>
  <c r="D48" i="4"/>
  <c r="D50" i="4" s="1"/>
  <c r="I4" i="2"/>
  <c r="H4" i="2"/>
  <c r="K4" i="2"/>
  <c r="J4" i="2"/>
  <c r="C29" i="4"/>
  <c r="L27" i="4"/>
  <c r="J4" i="4"/>
  <c r="K27" i="4"/>
  <c r="J27" i="4"/>
  <c r="H27" i="4"/>
  <c r="H17" i="4"/>
  <c r="I27" i="4"/>
  <c r="G29" i="4"/>
  <c r="F29" i="4"/>
  <c r="E29" i="4"/>
  <c r="D29" i="4"/>
  <c r="L1" i="4"/>
  <c r="K1" i="4"/>
  <c r="J1" i="4"/>
  <c r="I1" i="4"/>
  <c r="H1" i="4"/>
  <c r="G1" i="4"/>
  <c r="F1" i="4"/>
  <c r="E1" i="4"/>
  <c r="D1" i="4"/>
  <c r="C1" i="4"/>
  <c r="B1" i="4"/>
  <c r="C1" i="3"/>
  <c r="D1" i="3"/>
  <c r="E1" i="3"/>
  <c r="F1" i="3"/>
  <c r="B1" i="3"/>
  <c r="C17" i="2"/>
  <c r="C18" i="2" s="1"/>
  <c r="C23" i="2" s="1"/>
  <c r="C26" i="2" s="1"/>
  <c r="F5" i="2"/>
  <c r="E5" i="2"/>
  <c r="D5" i="2"/>
  <c r="C5" i="2"/>
  <c r="C22" i="2"/>
  <c r="D22" i="2"/>
  <c r="E22" i="2"/>
  <c r="F22" i="2"/>
  <c r="G22" i="2"/>
  <c r="D13" i="10" l="1"/>
  <c r="D14" i="10" s="1"/>
  <c r="P19" i="9"/>
  <c r="P21" i="9" s="1"/>
  <c r="P23" i="9" s="1"/>
  <c r="O21" i="9"/>
  <c r="O23" i="9" s="1"/>
  <c r="C28" i="9" s="1"/>
  <c r="D17" i="3"/>
  <c r="D19" i="3" s="1"/>
  <c r="H28" i="1"/>
  <c r="I83" i="4"/>
  <c r="H29" i="2"/>
  <c r="F58" i="4"/>
  <c r="G58" i="4"/>
  <c r="H58" i="4" s="1"/>
  <c r="E48" i="4"/>
  <c r="E50" i="4" s="1"/>
  <c r="H34" i="4"/>
  <c r="I29" i="4"/>
  <c r="I85" i="4" s="1"/>
  <c r="I24" i="1" s="1"/>
  <c r="H29" i="4"/>
  <c r="H85" i="4" s="1"/>
  <c r="H24" i="1" s="1"/>
  <c r="K4" i="4"/>
  <c r="J17" i="4"/>
  <c r="J29" i="4" s="1"/>
  <c r="J85" i="4" s="1"/>
  <c r="J24" i="1" s="1"/>
  <c r="C31" i="2"/>
  <c r="E17" i="3" l="1"/>
  <c r="E19" i="3" s="1"/>
  <c r="I28" i="1"/>
  <c r="I33" i="1" s="1"/>
  <c r="I35" i="1" s="1"/>
  <c r="J83" i="4"/>
  <c r="I29" i="2"/>
  <c r="I64" i="4"/>
  <c r="I70" i="4"/>
  <c r="J64" i="4"/>
  <c r="J70" i="4"/>
  <c r="H70" i="4"/>
  <c r="J49" i="4"/>
  <c r="J56" i="4"/>
  <c r="I49" i="4"/>
  <c r="I81" i="4" s="1"/>
  <c r="D8" i="5" s="1"/>
  <c r="I56" i="4"/>
  <c r="H49" i="4"/>
  <c r="H56" i="4"/>
  <c r="H57" i="4" s="1"/>
  <c r="F48" i="4"/>
  <c r="F50" i="4" s="1"/>
  <c r="J3" i="2"/>
  <c r="J5" i="2" s="1"/>
  <c r="J45" i="4"/>
  <c r="J21" i="2" s="1"/>
  <c r="J44" i="4"/>
  <c r="J20" i="2" s="1"/>
  <c r="H3" i="2"/>
  <c r="H5" i="2" s="1"/>
  <c r="H45" i="4"/>
  <c r="H21" i="2" s="1"/>
  <c r="H44" i="4"/>
  <c r="H20" i="2" s="1"/>
  <c r="I3" i="2"/>
  <c r="I5" i="2" s="1"/>
  <c r="I45" i="4"/>
  <c r="I21" i="2" s="1"/>
  <c r="I44" i="4"/>
  <c r="I20" i="2" s="1"/>
  <c r="I34" i="4"/>
  <c r="H9" i="2"/>
  <c r="H35" i="4"/>
  <c r="H39" i="4"/>
  <c r="H36" i="4"/>
  <c r="H41" i="4"/>
  <c r="H38" i="4"/>
  <c r="H37" i="4"/>
  <c r="L4" i="4"/>
  <c r="L17" i="4" s="1"/>
  <c r="L29" i="4" s="1"/>
  <c r="L85" i="4" s="1"/>
  <c r="L24" i="1" s="1"/>
  <c r="K17" i="4"/>
  <c r="K29" i="4" s="1"/>
  <c r="K85" i="4" s="1"/>
  <c r="K24" i="1" s="1"/>
  <c r="C35" i="2"/>
  <c r="C37" i="2" s="1"/>
  <c r="F17" i="3" l="1"/>
  <c r="F19" i="3" s="1"/>
  <c r="J28" i="1"/>
  <c r="J33" i="1" s="1"/>
  <c r="J35" i="1" s="1"/>
  <c r="I10" i="1"/>
  <c r="J10" i="1" s="1"/>
  <c r="K83" i="4"/>
  <c r="J29" i="2"/>
  <c r="K70" i="4"/>
  <c r="K64" i="4"/>
  <c r="L64" i="4"/>
  <c r="L70" i="4"/>
  <c r="L49" i="4"/>
  <c r="L56" i="4"/>
  <c r="I55" i="4"/>
  <c r="I57" i="4" s="1"/>
  <c r="I59" i="4" s="1"/>
  <c r="H59" i="4"/>
  <c r="K49" i="4"/>
  <c r="K56" i="4"/>
  <c r="H42" i="4"/>
  <c r="G48" i="4"/>
  <c r="G50" i="4" s="1"/>
  <c r="H48" i="4" s="1"/>
  <c r="H50" i="4" s="1"/>
  <c r="I48" i="4" s="1"/>
  <c r="I50" i="4" s="1"/>
  <c r="J22" i="2"/>
  <c r="H22" i="2"/>
  <c r="I41" i="4"/>
  <c r="H16" i="2"/>
  <c r="I39" i="4"/>
  <c r="H14" i="2"/>
  <c r="K3" i="2"/>
  <c r="K5" i="2" s="1"/>
  <c r="K44" i="4"/>
  <c r="K20" i="2" s="1"/>
  <c r="K45" i="4"/>
  <c r="K21" i="2" s="1"/>
  <c r="I40" i="4"/>
  <c r="H15" i="2"/>
  <c r="I36" i="4"/>
  <c r="H11" i="2"/>
  <c r="L3" i="2"/>
  <c r="L5" i="2" s="1"/>
  <c r="L45" i="4"/>
  <c r="L21" i="2" s="1"/>
  <c r="L44" i="4"/>
  <c r="L20" i="2" s="1"/>
  <c r="I37" i="4"/>
  <c r="H12" i="2"/>
  <c r="J34" i="4"/>
  <c r="I9" i="2"/>
  <c r="I38" i="4"/>
  <c r="H13" i="2"/>
  <c r="I22" i="2"/>
  <c r="I35" i="4"/>
  <c r="H10" i="2"/>
  <c r="D17" i="2"/>
  <c r="E17" i="2"/>
  <c r="F17" i="2"/>
  <c r="G17" i="2"/>
  <c r="C1" i="2"/>
  <c r="D1" i="2"/>
  <c r="E1" i="2"/>
  <c r="F1" i="2"/>
  <c r="G1" i="2"/>
  <c r="H1" i="2"/>
  <c r="I1" i="2"/>
  <c r="J1" i="2"/>
  <c r="K1" i="2"/>
  <c r="L1" i="2"/>
  <c r="B1" i="2"/>
  <c r="G74" i="1"/>
  <c r="G76" i="1" s="1"/>
  <c r="F74" i="1"/>
  <c r="F76" i="1" s="1"/>
  <c r="G71" i="1"/>
  <c r="F71" i="1"/>
  <c r="E71" i="1"/>
  <c r="L67" i="1"/>
  <c r="L71" i="1" s="1"/>
  <c r="K67" i="1"/>
  <c r="K71" i="1" s="1"/>
  <c r="J67" i="1"/>
  <c r="J71" i="1" s="1"/>
  <c r="I67" i="1"/>
  <c r="I71" i="1" s="1"/>
  <c r="H67" i="1"/>
  <c r="H71" i="1" s="1"/>
  <c r="G67" i="1"/>
  <c r="F67" i="1"/>
  <c r="E67" i="1"/>
  <c r="G56" i="1"/>
  <c r="F56" i="1"/>
  <c r="E56" i="1"/>
  <c r="E74" i="1" s="1"/>
  <c r="L52" i="1"/>
  <c r="L56" i="1" s="1"/>
  <c r="K52" i="1"/>
  <c r="K56" i="1" s="1"/>
  <c r="J52" i="1"/>
  <c r="J56" i="1" s="1"/>
  <c r="I52" i="1"/>
  <c r="I56" i="1" s="1"/>
  <c r="H52" i="1"/>
  <c r="H56" i="1" s="1"/>
  <c r="G52" i="1"/>
  <c r="F52" i="1"/>
  <c r="E52" i="1"/>
  <c r="G44" i="1"/>
  <c r="F44" i="1"/>
  <c r="E44" i="1"/>
  <c r="E42" i="1"/>
  <c r="F42" i="1"/>
  <c r="G42" i="1"/>
  <c r="F33" i="1"/>
  <c r="F17" i="1"/>
  <c r="C67" i="1"/>
  <c r="C71" i="1" s="1"/>
  <c r="D52" i="1"/>
  <c r="C52" i="1"/>
  <c r="C56" i="1" s="1"/>
  <c r="C42" i="1"/>
  <c r="C44" i="1" s="1"/>
  <c r="C33" i="1"/>
  <c r="C35" i="1" s="1"/>
  <c r="C17" i="1"/>
  <c r="C21" i="1" s="1"/>
  <c r="K10" i="1" l="1"/>
  <c r="G17" i="3"/>
  <c r="G19" i="3" s="1"/>
  <c r="L28" i="1" s="1"/>
  <c r="L33" i="1" s="1"/>
  <c r="L35" i="1" s="1"/>
  <c r="K28" i="1"/>
  <c r="K33" i="1" s="1"/>
  <c r="K35" i="1" s="1"/>
  <c r="L10" i="1"/>
  <c r="H17" i="2"/>
  <c r="H18" i="2" s="1"/>
  <c r="H23" i="2" s="1"/>
  <c r="J74" i="1"/>
  <c r="L74" i="1"/>
  <c r="I74" i="1"/>
  <c r="K74" i="1"/>
  <c r="H74" i="1"/>
  <c r="L83" i="4"/>
  <c r="L29" i="2" s="1"/>
  <c r="K29" i="2"/>
  <c r="H52" i="4"/>
  <c r="I51" i="4" s="1"/>
  <c r="I58" i="4"/>
  <c r="J58" i="4" s="1"/>
  <c r="J55" i="4"/>
  <c r="J57" i="4" s="1"/>
  <c r="H61" i="4"/>
  <c r="H5" i="1" s="1"/>
  <c r="I42" i="4"/>
  <c r="J48" i="4"/>
  <c r="J50" i="4" s="1"/>
  <c r="J52" i="4" s="1"/>
  <c r="I52" i="4"/>
  <c r="L22" i="2"/>
  <c r="J37" i="4"/>
  <c r="I12" i="2"/>
  <c r="J38" i="4"/>
  <c r="I13" i="2"/>
  <c r="J39" i="4"/>
  <c r="I14" i="2"/>
  <c r="J40" i="4"/>
  <c r="I15" i="2"/>
  <c r="K22" i="2"/>
  <c r="J36" i="4"/>
  <c r="I11" i="2"/>
  <c r="K34" i="4"/>
  <c r="J9" i="2"/>
  <c r="J41" i="4"/>
  <c r="I16" i="2"/>
  <c r="J35" i="4"/>
  <c r="I10" i="2"/>
  <c r="F18" i="2"/>
  <c r="F23" i="2" s="1"/>
  <c r="F26" i="2" s="1"/>
  <c r="F31" i="2" s="1"/>
  <c r="F35" i="2" s="1"/>
  <c r="E18" i="2"/>
  <c r="E23" i="2" s="1"/>
  <c r="E26" i="2" s="1"/>
  <c r="E31" i="2" s="1"/>
  <c r="D18" i="2"/>
  <c r="D23" i="2" s="1"/>
  <c r="D26" i="2" s="1"/>
  <c r="D31" i="2" s="1"/>
  <c r="G18" i="2"/>
  <c r="G23" i="2" s="1"/>
  <c r="G26" i="2" s="1"/>
  <c r="G31" i="2" s="1"/>
  <c r="G35" i="2" s="1"/>
  <c r="G37" i="2" s="1"/>
  <c r="E76" i="1"/>
  <c r="F35" i="1"/>
  <c r="G33" i="1"/>
  <c r="G35" i="1" s="1"/>
  <c r="E33" i="1"/>
  <c r="E35" i="1" s="1"/>
  <c r="E17" i="1"/>
  <c r="G17" i="1"/>
  <c r="F21" i="1"/>
  <c r="E21" i="1"/>
  <c r="C37" i="1"/>
  <c r="C74" i="1"/>
  <c r="C76" i="1" s="1"/>
  <c r="D1" i="1"/>
  <c r="E1" i="1" s="1"/>
  <c r="F1" i="1" s="1"/>
  <c r="G1" i="1" s="1"/>
  <c r="H1" i="1" s="1"/>
  <c r="I1" i="1" s="1"/>
  <c r="J1" i="1" s="1"/>
  <c r="K1" i="1" s="1"/>
  <c r="L1" i="1" s="1"/>
  <c r="D67" i="1"/>
  <c r="D71" i="1" s="1"/>
  <c r="D42" i="1"/>
  <c r="D44" i="1" s="1"/>
  <c r="D33" i="1"/>
  <c r="D35" i="1" s="1"/>
  <c r="D17" i="1"/>
  <c r="D21" i="1" s="1"/>
  <c r="C78" i="1" l="1"/>
  <c r="H53" i="4"/>
  <c r="H3" i="1" s="1"/>
  <c r="I61" i="4"/>
  <c r="I5" i="1" s="1"/>
  <c r="J42" i="4"/>
  <c r="J59" i="4"/>
  <c r="K58" i="4" s="1"/>
  <c r="K55" i="4"/>
  <c r="K57" i="4" s="1"/>
  <c r="I53" i="4"/>
  <c r="I3" i="1" s="1"/>
  <c r="J51" i="4"/>
  <c r="K51" i="4" s="1"/>
  <c r="K48" i="4"/>
  <c r="K50" i="4" s="1"/>
  <c r="K52" i="4" s="1"/>
  <c r="K41" i="4"/>
  <c r="J16" i="2"/>
  <c r="K39" i="4"/>
  <c r="J14" i="2"/>
  <c r="K36" i="4"/>
  <c r="J11" i="2"/>
  <c r="K40" i="4"/>
  <c r="J15" i="2"/>
  <c r="I17" i="2"/>
  <c r="I18" i="2" s="1"/>
  <c r="I23" i="2" s="1"/>
  <c r="K37" i="4"/>
  <c r="J12" i="2"/>
  <c r="L34" i="4"/>
  <c r="K9" i="2"/>
  <c r="K38" i="4"/>
  <c r="J13" i="2"/>
  <c r="K35" i="4"/>
  <c r="J10" i="2"/>
  <c r="D35" i="2"/>
  <c r="D37" i="2" s="1"/>
  <c r="E35" i="2"/>
  <c r="E37" i="2" s="1"/>
  <c r="F37" i="2"/>
  <c r="F37" i="1"/>
  <c r="F78" i="1" s="1"/>
  <c r="G37" i="1"/>
  <c r="G78" i="1" s="1"/>
  <c r="E37" i="1"/>
  <c r="E78" i="1" s="1"/>
  <c r="D37" i="1"/>
  <c r="J61" i="4" l="1"/>
  <c r="J5" i="1" s="1"/>
  <c r="K59" i="4"/>
  <c r="L55" i="4"/>
  <c r="L57" i="4" s="1"/>
  <c r="J53" i="4"/>
  <c r="J3" i="1" s="1"/>
  <c r="K42" i="4"/>
  <c r="L48" i="4"/>
  <c r="L50" i="4" s="1"/>
  <c r="L52" i="4" s="1"/>
  <c r="K53" i="4"/>
  <c r="K3" i="1" s="1"/>
  <c r="L9" i="2"/>
  <c r="L51" i="4"/>
  <c r="L38" i="4"/>
  <c r="L13" i="2" s="1"/>
  <c r="K13" i="2"/>
  <c r="L39" i="4"/>
  <c r="L14" i="2" s="1"/>
  <c r="K14" i="2"/>
  <c r="L40" i="4"/>
  <c r="L15" i="2" s="1"/>
  <c r="K15" i="2"/>
  <c r="L36" i="4"/>
  <c r="L11" i="2" s="1"/>
  <c r="K11" i="2"/>
  <c r="L37" i="4"/>
  <c r="L12" i="2" s="1"/>
  <c r="K12" i="2"/>
  <c r="J17" i="2"/>
  <c r="J18" i="2" s="1"/>
  <c r="J23" i="2" s="1"/>
  <c r="L41" i="4"/>
  <c r="L16" i="2" s="1"/>
  <c r="K16" i="2"/>
  <c r="L35" i="4"/>
  <c r="L10" i="2" s="1"/>
  <c r="K10" i="2"/>
  <c r="D56" i="1"/>
  <c r="D74" i="1" s="1"/>
  <c r="D76" i="1" s="1"/>
  <c r="D78" i="1" s="1"/>
  <c r="K61" i="4" l="1"/>
  <c r="K5" i="1" s="1"/>
  <c r="L58" i="4"/>
  <c r="L59" i="4"/>
  <c r="L53" i="4"/>
  <c r="L3" i="1" s="1"/>
  <c r="L42" i="4"/>
  <c r="L17" i="2"/>
  <c r="L18" i="2" s="1"/>
  <c r="L23" i="2" s="1"/>
  <c r="K17" i="2"/>
  <c r="K18" i="2" s="1"/>
  <c r="K23" i="2" s="1"/>
  <c r="L61" i="4" l="1"/>
  <c r="L5" i="1" s="1"/>
  <c r="D69" i="4" l="1"/>
  <c r="D71" i="4" s="1"/>
  <c r="E69" i="4" s="1"/>
  <c r="E71" i="4" s="1"/>
  <c r="F69" i="4" s="1"/>
  <c r="F71" i="4" s="1"/>
  <c r="G69" i="4" s="1"/>
  <c r="G71" i="4" s="1"/>
  <c r="H69" i="4" l="1"/>
  <c r="H71" i="4" s="1"/>
  <c r="H73" i="4" s="1"/>
  <c r="H79" i="4" s="1"/>
  <c r="H25" i="2" s="1"/>
  <c r="H26" i="2" l="1"/>
  <c r="C6" i="5"/>
  <c r="I69" i="4"/>
  <c r="I71" i="4" s="1"/>
  <c r="H74" i="4"/>
  <c r="H8" i="1" s="1"/>
  <c r="H21" i="1" s="1"/>
  <c r="H37" i="1" s="1"/>
  <c r="I72" i="4"/>
  <c r="H31" i="2" l="1"/>
  <c r="H33" i="2" s="1"/>
  <c r="H35" i="2" s="1"/>
  <c r="C4" i="5"/>
  <c r="C5" i="5" s="1"/>
  <c r="C10" i="5" s="1"/>
  <c r="C12" i="5" s="1"/>
  <c r="J69" i="4"/>
  <c r="J71" i="4" s="1"/>
  <c r="J73" i="4" s="1"/>
  <c r="J79" i="4" s="1"/>
  <c r="J25" i="2" s="1"/>
  <c r="I73" i="4"/>
  <c r="I79" i="4" s="1"/>
  <c r="I25" i="2" s="1"/>
  <c r="I26" i="2" l="1"/>
  <c r="D6" i="5"/>
  <c r="J26" i="2"/>
  <c r="E6" i="5"/>
  <c r="H37" i="2"/>
  <c r="H41" i="1"/>
  <c r="H42" i="1" s="1"/>
  <c r="H44" i="1" s="1"/>
  <c r="H76" i="1" s="1"/>
  <c r="H78" i="1" s="1"/>
  <c r="K69" i="4"/>
  <c r="K71" i="4" s="1"/>
  <c r="I74" i="4"/>
  <c r="I8" i="1" s="1"/>
  <c r="I21" i="1" s="1"/>
  <c r="I37" i="1" s="1"/>
  <c r="J72" i="4"/>
  <c r="K72" i="4" s="1"/>
  <c r="J31" i="2" l="1"/>
  <c r="J33" i="2" s="1"/>
  <c r="J35" i="2" s="1"/>
  <c r="J37" i="2" s="1"/>
  <c r="E4" i="5"/>
  <c r="E5" i="5" s="1"/>
  <c r="E10" i="5" s="1"/>
  <c r="E12" i="5" s="1"/>
  <c r="I31" i="2"/>
  <c r="I33" i="2" s="1"/>
  <c r="I35" i="2" s="1"/>
  <c r="I37" i="2" s="1"/>
  <c r="D4" i="5"/>
  <c r="D5" i="5" s="1"/>
  <c r="D10" i="5" s="1"/>
  <c r="D12" i="5" s="1"/>
  <c r="K73" i="4"/>
  <c r="K79" i="4" s="1"/>
  <c r="K25" i="2" s="1"/>
  <c r="L69" i="4"/>
  <c r="L71" i="4" s="1"/>
  <c r="J74" i="4"/>
  <c r="J8" i="1" s="1"/>
  <c r="J21" i="1" s="1"/>
  <c r="J37" i="1" s="1"/>
  <c r="I41" i="1" l="1"/>
  <c r="K26" i="2"/>
  <c r="F6" i="5"/>
  <c r="K74" i="4"/>
  <c r="K8" i="1" s="1"/>
  <c r="K21" i="1" s="1"/>
  <c r="K37" i="1" s="1"/>
  <c r="L72" i="4"/>
  <c r="L73" i="4"/>
  <c r="L79" i="4" s="1"/>
  <c r="L25" i="2" s="1"/>
  <c r="L26" i="2" l="1"/>
  <c r="G6" i="5"/>
  <c r="K31" i="2"/>
  <c r="K33" i="2" s="1"/>
  <c r="K35" i="2" s="1"/>
  <c r="K37" i="2" s="1"/>
  <c r="F4" i="5"/>
  <c r="F5" i="5" s="1"/>
  <c r="F10" i="5" s="1"/>
  <c r="F12" i="5" s="1"/>
  <c r="I42" i="1"/>
  <c r="I44" i="1" s="1"/>
  <c r="I76" i="1" s="1"/>
  <c r="I78" i="1" s="1"/>
  <c r="J41" i="1"/>
  <c r="J42" i="1" s="1"/>
  <c r="J44" i="1" s="1"/>
  <c r="J76" i="1" s="1"/>
  <c r="J78" i="1" s="1"/>
  <c r="L74" i="4"/>
  <c r="L8" i="1" s="1"/>
  <c r="L21" i="1" s="1"/>
  <c r="L37" i="1" s="1"/>
  <c r="K41" i="1" l="1"/>
  <c r="K42" i="1" s="1"/>
  <c r="K44" i="1" s="1"/>
  <c r="K76" i="1" s="1"/>
  <c r="L31" i="2"/>
  <c r="L33" i="2" s="1"/>
  <c r="L35" i="2" s="1"/>
  <c r="L37" i="2" s="1"/>
  <c r="G4" i="5"/>
  <c r="G5" i="5" s="1"/>
  <c r="G10" i="5" s="1"/>
  <c r="H10" i="5" s="1"/>
  <c r="H12" i="5" s="1"/>
  <c r="L41" i="1" l="1"/>
  <c r="L42" i="1" s="1"/>
  <c r="L44" i="1" s="1"/>
  <c r="L76" i="1" s="1"/>
  <c r="L78" i="1" s="1"/>
  <c r="G12" i="5"/>
  <c r="C15" i="5" s="1"/>
  <c r="K78" i="1"/>
  <c r="C18" i="5" l="1"/>
  <c r="C19" i="5" s="1"/>
  <c r="F21" i="5" l="1"/>
  <c r="J2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kamal lakha</author>
  </authors>
  <commentList>
    <comment ref="G15" authorId="0" shapeId="0" xr:uid="{663198CD-B1F4-4522-AACC-572B2B02003E}">
      <text>
        <r>
          <rPr>
            <b/>
            <sz val="9"/>
            <color indexed="81"/>
            <rFont val="Tahoma"/>
            <family val="2"/>
          </rPr>
          <t>FROM GURUFOCUS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kamal lakha</author>
  </authors>
  <commentList>
    <comment ref="C5" authorId="0" shapeId="0" xr:uid="{B8E87DF6-E488-42F5-96C3-C78C11E729CA}">
      <text>
        <r>
          <rPr>
            <b/>
            <sz val="9"/>
            <color indexed="81"/>
            <rFont val="Tahoma"/>
            <family val="2"/>
          </rPr>
          <t>GURU FOCUS</t>
        </r>
      </text>
    </comment>
    <comment ref="C6" authorId="0" shapeId="0" xr:uid="{22C02FC3-6B8F-4794-8A9D-E9C78BD82C33}">
      <text>
        <r>
          <rPr>
            <sz val="9"/>
            <color indexed="81"/>
            <rFont val="Tahoma"/>
            <family val="2"/>
          </rPr>
          <t>Screener</t>
        </r>
      </text>
    </comment>
    <comment ref="C7" authorId="0" shapeId="0" xr:uid="{86F58402-BA05-416D-962C-A48E165C78A5}">
      <text>
        <r>
          <rPr>
            <b/>
            <sz val="9"/>
            <color indexed="81"/>
            <rFont val="Tahoma"/>
            <family val="2"/>
          </rPr>
          <t>Screener</t>
        </r>
      </text>
    </comment>
  </commentList>
</comments>
</file>

<file path=xl/sharedStrings.xml><?xml version="1.0" encoding="utf-8"?>
<sst xmlns="http://schemas.openxmlformats.org/spreadsheetml/2006/main" count="340" uniqueCount="262">
  <si>
    <t>Non-current assets</t>
  </si>
  <si>
    <t>Current assets</t>
  </si>
  <si>
    <t>TOTAL ASSETS</t>
  </si>
  <si>
    <t>Equity</t>
  </si>
  <si>
    <t>TOTAL EQUITY</t>
  </si>
  <si>
    <t>Non-current liabilities</t>
  </si>
  <si>
    <t>Current liabilities</t>
  </si>
  <si>
    <t>TOTAL LIABILITIES</t>
  </si>
  <si>
    <t>TOTAL EQUITY AND LIABILITIES</t>
  </si>
  <si>
    <t>Liabilities</t>
  </si>
  <si>
    <t xml:space="preserve">               Investments in joint ventures and associates</t>
  </si>
  <si>
    <t xml:space="preserve">               Other investments</t>
  </si>
  <si>
    <t xml:space="preserve">               Loans towards financing activities</t>
  </si>
  <si>
    <t xml:space="preserve">               Other loans</t>
  </si>
  <si>
    <t xml:space="preserve">               Other financial assets</t>
  </si>
  <si>
    <t xml:space="preserve">     Property, plant and equipment</t>
  </si>
  <si>
    <t xml:space="preserve">     Capital work-in-progress</t>
  </si>
  <si>
    <t xml:space="preserve">     Investment property</t>
  </si>
  <si>
    <t xml:space="preserve">     Goodwill</t>
  </si>
  <si>
    <t xml:space="preserve">     Other intangible assets</t>
  </si>
  <si>
    <t xml:space="preserve">     Intangible assets under development</t>
  </si>
  <si>
    <t xml:space="preserve">     Right-of-use assets</t>
  </si>
  <si>
    <t xml:space="preserve">     Financial assets</t>
  </si>
  <si>
    <t xml:space="preserve">     Deferred tax assets (net)</t>
  </si>
  <si>
    <t xml:space="preserve">     Other non-current assets</t>
  </si>
  <si>
    <t xml:space="preserve">     Inventories</t>
  </si>
  <si>
    <t xml:space="preserve">               Investments</t>
  </si>
  <si>
    <t xml:space="preserve">               Trade receivables</t>
  </si>
  <si>
    <t xml:space="preserve">               Cash and cash equivalents</t>
  </si>
  <si>
    <t xml:space="preserve">               Other bank balances</t>
  </si>
  <si>
    <t xml:space="preserve">     Other current assets</t>
  </si>
  <si>
    <t xml:space="preserve">     Group(s) of assets classified as held for sale</t>
  </si>
  <si>
    <t xml:space="preserve">     Equity attributable to owners of the Company</t>
  </si>
  <si>
    <t xml:space="preserve">     Non-controlling interests</t>
  </si>
  <si>
    <t xml:space="preserve">               Borrowings</t>
  </si>
  <si>
    <t xml:space="preserve">               Lease liability</t>
  </si>
  <si>
    <t xml:space="preserve">               Other financial liabilities</t>
  </si>
  <si>
    <t xml:space="preserve">     Financial liabilities</t>
  </si>
  <si>
    <t xml:space="preserve">                    Equity share capital</t>
  </si>
  <si>
    <t xml:space="preserve">                    Other equity</t>
  </si>
  <si>
    <t xml:space="preserve">               Current maturities of long-term borrowings</t>
  </si>
  <si>
    <t xml:space="preserve">     Provisions</t>
  </si>
  <si>
    <t xml:space="preserve">     Deferred tax liabilities (net)</t>
  </si>
  <si>
    <t xml:space="preserve">     Other non-current liabilities</t>
  </si>
  <si>
    <t xml:space="preserve">                    Due to micro and small enterprises</t>
  </si>
  <si>
    <t xml:space="preserve">                    Due to others</t>
  </si>
  <si>
    <t xml:space="preserve">     Other current liabilities</t>
  </si>
  <si>
    <t xml:space="preserve">     Current tax liabilities (net)</t>
  </si>
  <si>
    <t xml:space="preserve">     Liabilities associated with held for sale</t>
  </si>
  <si>
    <t xml:space="preserve">Particular </t>
  </si>
  <si>
    <t>Total non-current assets</t>
  </si>
  <si>
    <t>Total current assets</t>
  </si>
  <si>
    <t>-</t>
  </si>
  <si>
    <t>Total non-current liabilities</t>
  </si>
  <si>
    <t>Total current liabilities</t>
  </si>
  <si>
    <t xml:space="preserve">     Financial liabilities </t>
  </si>
  <si>
    <t xml:space="preserve">               Trade payables</t>
  </si>
  <si>
    <t>Check</t>
  </si>
  <si>
    <t xml:space="preserve">     Investment property under construction</t>
  </si>
  <si>
    <t xml:space="preserve">     Current Tax Assets (net)</t>
  </si>
  <si>
    <t>Revenue from operations</t>
  </si>
  <si>
    <t>Other income (net)</t>
  </si>
  <si>
    <t>Total Income</t>
  </si>
  <si>
    <t>Finance costs (Corporate)</t>
  </si>
  <si>
    <t>Depreciation and amortisation</t>
  </si>
  <si>
    <t>Total Expenses</t>
  </si>
  <si>
    <t>Exceptional items (net of tax)</t>
  </si>
  <si>
    <t>Profit after tax</t>
  </si>
  <si>
    <t>EXPENSES</t>
  </si>
  <si>
    <t>INCOME</t>
  </si>
  <si>
    <t xml:space="preserve">     Revenue from operations</t>
  </si>
  <si>
    <t xml:space="preserve">     Other income (net)</t>
  </si>
  <si>
    <t xml:space="preserve">               Cost of raw materials &amp; components</t>
  </si>
  <si>
    <t xml:space="preserve">               Construction materials consumed</t>
  </si>
  <si>
    <t xml:space="preserve">               Purchase of stock-in-trade</t>
  </si>
  <si>
    <t xml:space="preserve">               Stores, spares and tools consumed</t>
  </si>
  <si>
    <t xml:space="preserve">               Sub-contracting charges</t>
  </si>
  <si>
    <t xml:space="preserve">               Changes in inventories (Finished/WIP)</t>
  </si>
  <si>
    <t xml:space="preserve">               Other mfg., const. &amp; operating expenses</t>
  </si>
  <si>
    <t xml:space="preserve">               Finance cost (Financial Services)</t>
  </si>
  <si>
    <t xml:space="preserve">     Manufacturing, construction and Operating Exp.</t>
  </si>
  <si>
    <t xml:space="preserve">     Employee benefits expense</t>
  </si>
  <si>
    <t xml:space="preserve">     Sales, administration and other expenses</t>
  </si>
  <si>
    <t xml:space="preserve">COGS </t>
  </si>
  <si>
    <t xml:space="preserve">GROSS PROFIT </t>
  </si>
  <si>
    <t xml:space="preserve">EBITDA </t>
  </si>
  <si>
    <t>EBIT</t>
  </si>
  <si>
    <t>Profit before tax</t>
  </si>
  <si>
    <t xml:space="preserve">TAX </t>
  </si>
  <si>
    <t xml:space="preserve">Outstanding share </t>
  </si>
  <si>
    <t xml:space="preserve">EPS </t>
  </si>
  <si>
    <t>A. Cash flow from operating activities</t>
  </si>
  <si>
    <t>Net cash from operating activities (A)</t>
  </si>
  <si>
    <t>Cash and cash equivalents at end</t>
  </si>
  <si>
    <t xml:space="preserve">     Cash at beginning of the year</t>
  </si>
  <si>
    <t xml:space="preserve">Other income </t>
  </si>
  <si>
    <t xml:space="preserve">     Construction &amp; project related activity</t>
  </si>
  <si>
    <t xml:space="preserve">     Manufacturing &amp; trading activity</t>
  </si>
  <si>
    <t xml:space="preserve">     Engineering service fees</t>
  </si>
  <si>
    <t xml:space="preserve">     Software development products &amp; services</t>
  </si>
  <si>
    <t xml:space="preserve">     Financing / annuity based projects</t>
  </si>
  <si>
    <t xml:space="preserve">     Property development activity</t>
  </si>
  <si>
    <t xml:space="preserve">     Servicing fees</t>
  </si>
  <si>
    <t xml:space="preserve">     Fare collection &amp; related activity</t>
  </si>
  <si>
    <t xml:space="preserve">     Charter hire income</t>
  </si>
  <si>
    <t xml:space="preserve">     Commission</t>
  </si>
  <si>
    <t xml:space="preserve">     Investment / portfolio management &amp; trusteeship fees</t>
  </si>
  <si>
    <t xml:space="preserve">     Fees for operation &amp; maintenance of power plant</t>
  </si>
  <si>
    <t xml:space="preserve">     Revenue from sale of power</t>
  </si>
  <si>
    <t xml:space="preserve">     Lease rentals</t>
  </si>
  <si>
    <t xml:space="preserve">     Property maintenance recoveries</t>
  </si>
  <si>
    <t xml:space="preserve">     Gain on sale of subsidiary / business</t>
  </si>
  <si>
    <t xml:space="preserve">     Premium on forward exchange contracts (net)</t>
  </si>
  <si>
    <t xml:space="preserve">     Gain on sale of investment property</t>
  </si>
  <si>
    <t xml:space="preserve">     Technical fees</t>
  </si>
  <si>
    <t xml:space="preserve">     Miscellaneous income</t>
  </si>
  <si>
    <t>Other Operational Income</t>
  </si>
  <si>
    <t xml:space="preserve">Total Revnue form operation </t>
  </si>
  <si>
    <t>Terminal Growth</t>
  </si>
  <si>
    <t>NOPAT</t>
  </si>
  <si>
    <t>WACC</t>
  </si>
  <si>
    <t>D&amp;A</t>
  </si>
  <si>
    <t xml:space="preserve">CHANGE IN WC </t>
  </si>
  <si>
    <t xml:space="preserve">CAPEX </t>
  </si>
  <si>
    <t>FCFF</t>
  </si>
  <si>
    <t>EV</t>
  </si>
  <si>
    <t>DEBT</t>
  </si>
  <si>
    <t>CASH</t>
  </si>
  <si>
    <t xml:space="preserve">Equity value </t>
  </si>
  <si>
    <t>intrinsic value</t>
  </si>
  <si>
    <t xml:space="preserve">Growth rate </t>
  </si>
  <si>
    <t>Employee benefits expense</t>
  </si>
  <si>
    <t>Sales, administration and other expenses</t>
  </si>
  <si>
    <t>TANGIBLES</t>
  </si>
  <si>
    <t>INTANGIBLES</t>
  </si>
  <si>
    <t xml:space="preserve">     Capex on PP&amp;E</t>
  </si>
  <si>
    <t xml:space="preserve">     Capex on Investment property</t>
  </si>
  <si>
    <t xml:space="preserve">     Closing Gross</t>
  </si>
  <si>
    <t xml:space="preserve">     Accum Dep</t>
  </si>
  <si>
    <t xml:space="preserve">     Net </t>
  </si>
  <si>
    <t xml:space="preserve">     Dep </t>
  </si>
  <si>
    <t xml:space="preserve">     Opening Gross Intangibles</t>
  </si>
  <si>
    <t xml:space="preserve">     Additions to Intangibles</t>
  </si>
  <si>
    <t xml:space="preserve">     Closing Gross Intangibles</t>
  </si>
  <si>
    <t xml:space="preserve">     Accum Amort</t>
  </si>
  <si>
    <t xml:space="preserve">     Net Intangibles</t>
  </si>
  <si>
    <t xml:space="preserve">     Amort</t>
  </si>
  <si>
    <t>Obsolescence on property, plant and equipment</t>
  </si>
  <si>
    <t xml:space="preserve">     Capital Wip</t>
  </si>
  <si>
    <t xml:space="preserve">     Capex </t>
  </si>
  <si>
    <t>Impairment on</t>
  </si>
  <si>
    <t>Inventories</t>
  </si>
  <si>
    <t>CAPEX</t>
  </si>
  <si>
    <t xml:space="preserve">     Profit after tax (PAT)</t>
  </si>
  <si>
    <t xml:space="preserve">     Depreciation &amp; amortisation</t>
  </si>
  <si>
    <t xml:space="preserve">     Operating cash before WC</t>
  </si>
  <si>
    <t xml:space="preserve">     Change in working capital</t>
  </si>
  <si>
    <t xml:space="preserve">     Net</t>
  </si>
  <si>
    <t>Net cash (A+B+C)</t>
  </si>
  <si>
    <t>C. Cash flow from financing activities(INT)</t>
  </si>
  <si>
    <t>B. Cash flow from investing activities(CAPEX)</t>
  </si>
  <si>
    <t>PV</t>
  </si>
  <si>
    <t>Dividend Discount Model (DDM)</t>
  </si>
  <si>
    <t>Two-Stage Model Assumptions</t>
  </si>
  <si>
    <t>Dividends Per Share (DPS) – Current Period</t>
  </si>
  <si>
    <t>Cost of Equity (Ke)</t>
  </si>
  <si>
    <t>Stage 1</t>
  </si>
  <si>
    <t>Stage 2</t>
  </si>
  <si>
    <t>Dividend Growth Rate (g):</t>
  </si>
  <si>
    <t>Stage 1 Dividends</t>
  </si>
  <si>
    <t>0</t>
  </si>
  <si>
    <t>1</t>
  </si>
  <si>
    <t>2</t>
  </si>
  <si>
    <t>3</t>
  </si>
  <si>
    <t>4</t>
  </si>
  <si>
    <t>5</t>
  </si>
  <si>
    <t>Dividends Per Share (DPS)</t>
  </si>
  <si>
    <t>Present Value (PV) of Dividend</t>
  </si>
  <si>
    <t>Share Price Calculation</t>
  </si>
  <si>
    <t>PV of Sum of Stage 1 Dividends</t>
  </si>
  <si>
    <t>Year 5 Dividend × (1 + Stage 2 Growth Rate)</t>
  </si>
  <si>
    <t>Stage 2 Terminal Value</t>
  </si>
  <si>
    <t>PV of Stage 2 Terminal Value</t>
  </si>
  <si>
    <t>Dividend Payout %</t>
  </si>
  <si>
    <t>ROE</t>
  </si>
  <si>
    <t xml:space="preserve">Rentention ratio </t>
  </si>
  <si>
    <t xml:space="preserve">Growth Rate </t>
  </si>
  <si>
    <t>Single-Stage Model Assumptions</t>
  </si>
  <si>
    <r>
      <t>Calculation of D</t>
    </r>
    <r>
      <rPr>
        <b/>
        <vertAlign val="subscript"/>
        <sz val="10"/>
        <rFont val="Calibri"/>
        <family val="2"/>
        <scheme val="minor"/>
      </rPr>
      <t>1</t>
    </r>
  </si>
  <si>
    <t xml:space="preserve">Value Per Share </t>
  </si>
  <si>
    <t>Three-Stage Model Assumptions</t>
  </si>
  <si>
    <t xml:space="preserve"> </t>
  </si>
  <si>
    <t>Stage 3</t>
  </si>
  <si>
    <t>6</t>
  </si>
  <si>
    <t>7</t>
  </si>
  <si>
    <t>8</t>
  </si>
  <si>
    <t>9</t>
  </si>
  <si>
    <t>Company</t>
  </si>
  <si>
    <t xml:space="preserve">CMP </t>
  </si>
  <si>
    <t>Equity Value</t>
  </si>
  <si>
    <t>Debt</t>
  </si>
  <si>
    <t>Enterprise Value</t>
  </si>
  <si>
    <t>Book Value</t>
  </si>
  <si>
    <t>P/E</t>
  </si>
  <si>
    <t>P/B</t>
  </si>
  <si>
    <t>P/S</t>
  </si>
  <si>
    <t>EV/EBITDA</t>
  </si>
  <si>
    <t>EV/Sales</t>
  </si>
  <si>
    <t>Average</t>
  </si>
  <si>
    <t>Median</t>
  </si>
  <si>
    <t>(-) Debt</t>
  </si>
  <si>
    <t>(+) Cash</t>
  </si>
  <si>
    <t>No of Shares</t>
  </si>
  <si>
    <t>Fair Value - Different Multiples</t>
  </si>
  <si>
    <t>Weightage %</t>
  </si>
  <si>
    <t>Combined Valuation</t>
  </si>
  <si>
    <t>CMP</t>
  </si>
  <si>
    <t>No of shares</t>
  </si>
  <si>
    <t>Larsen &amp; Toubro</t>
  </si>
  <si>
    <t>Hind.Aeronautics</t>
  </si>
  <si>
    <t>Bharat Electron</t>
  </si>
  <si>
    <t>Cummins India</t>
  </si>
  <si>
    <t>Polycab India</t>
  </si>
  <si>
    <t>Siemens</t>
  </si>
  <si>
    <t>A B B</t>
  </si>
  <si>
    <t>CG Power &amp; Ind</t>
  </si>
  <si>
    <t>Ashok Leyland</t>
  </si>
  <si>
    <t xml:space="preserve">Revenue </t>
  </si>
  <si>
    <t xml:space="preserve">Net Income </t>
  </si>
  <si>
    <t>Multiple</t>
  </si>
  <si>
    <t>Weight (%)</t>
  </si>
  <si>
    <t>EV / EBITDA</t>
  </si>
  <si>
    <t>Best operating metric, capital-structure neutral</t>
  </si>
  <si>
    <t>EV / Sales</t>
  </si>
  <si>
    <t>Strong order book, revenue visibility</t>
  </si>
  <si>
    <t>Mature profitability but earnings volatility</t>
  </si>
  <si>
    <t>Asset-heavy but weak economic signal</t>
  </si>
  <si>
    <t>Least reliable for EPC</t>
  </si>
  <si>
    <t>#</t>
  </si>
  <si>
    <t xml:space="preserve">TV </t>
  </si>
  <si>
    <t>Current Share Price</t>
  </si>
  <si>
    <t>Discount/Premium</t>
  </si>
  <si>
    <t>Sensitivity Analysis- Value per Share</t>
  </si>
  <si>
    <t>Value Per Share</t>
  </si>
  <si>
    <t>WACC Calculator</t>
  </si>
  <si>
    <t>WACC Calculation</t>
  </si>
  <si>
    <t>Comparable Companies Unlevered Beta</t>
  </si>
  <si>
    <t xml:space="preserve">Capital Structure </t>
  </si>
  <si>
    <t>Levered Beta</t>
  </si>
  <si>
    <t>Debt/Equity</t>
  </si>
  <si>
    <t>Tax Rate</t>
  </si>
  <si>
    <t>Unlevered Beta</t>
  </si>
  <si>
    <t>Debt to Total Capitalization</t>
  </si>
  <si>
    <t>Equity to Total Capitalization</t>
  </si>
  <si>
    <t>Debt / Equity</t>
  </si>
  <si>
    <t>Cost of Equity Calculation</t>
  </si>
  <si>
    <t>Risk Free Rate</t>
  </si>
  <si>
    <t>Equity Risk Premium</t>
  </si>
  <si>
    <t>Cost of Equity</t>
  </si>
  <si>
    <t>Cost of Debt Calculation</t>
  </si>
  <si>
    <t>Cost of Debt</t>
  </si>
  <si>
    <t>After-Tax Cost of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</si>
</sst>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 * #,##0.00_ ;_ * \-#,##0.00_ ;_ * &quot;-&quot;??_ ;_ @_ "/>
    <numFmt numFmtId="164" formatCode="#,##0.00;\(#,##0.00\)"/>
    <numFmt numFmtId="165" formatCode="yyyy\ &quot;A&quot;"/>
    <numFmt numFmtId="166" formatCode="yyyy\ &quot;F&quot;"/>
    <numFmt numFmtId="167" formatCode="#,##0.0"/>
    <numFmt numFmtId="168" formatCode="0.0%"/>
    <numFmt numFmtId="169" formatCode="0.0"/>
    <numFmt numFmtId="170" formatCode="#,##0.0000000000"/>
    <numFmt numFmtId="171" formatCode="#,##0.0000000"/>
    <numFmt numFmtId="172" formatCode="#,##0_);\(#,##0\);\-\-_);@_)"/>
    <numFmt numFmtId="173" formatCode="@_)"/>
    <numFmt numFmtId="174" formatCode="&quot;$&quot;#,##0.00_);\(&quot;$&quot;#,##0.00\);\-\-_);@_)"/>
    <numFmt numFmtId="175" formatCode="&quot;$&quot;#,##0_);\(&quot;$&quot;#,##0\);\-\-_);@_)"/>
    <numFmt numFmtId="176" formatCode="0.0%_);\(0.0%\)_);&quot;--&quot;_);@_)"/>
    <numFmt numFmtId="177" formatCode="&quot;Year&quot;\ @_)"/>
    <numFmt numFmtId="178" formatCode="#,##0.00_);\(#,##0.00\);\-\-_);@_)"/>
    <numFmt numFmtId="179" formatCode="0.0\x"/>
    <numFmt numFmtId="180" formatCode="#,##0.0;\(#,##0.0\);\-"/>
    <numFmt numFmtId="181" formatCode="0.00\x"/>
    <numFmt numFmtId="182" formatCode="_(#,##0.00%_);\(#,##0.00%\);_(&quot;–&quot;_);_(@_)"/>
    <numFmt numFmtId="183" formatCode="_(#,##0.00_);\(#,##0.00\);_(&quot;–&quot;_);_(@_)"/>
    <numFmt numFmtId="184" formatCode="_(#,##0_);\(#,##0\);_(&quot;–&quot;_);_(@_)"/>
  </numFmts>
  <fonts count="64" x14ac:knownFonts="1"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70C0"/>
      <name val="Calibri"/>
      <family val="2"/>
      <scheme val="minor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  <scheme val="minor"/>
    </font>
    <font>
      <b/>
      <sz val="10"/>
      <color theme="0"/>
      <name val="Arial"/>
      <family val="2"/>
    </font>
    <font>
      <sz val="11"/>
      <color rgb="FF0432FF"/>
      <name val="Calibri"/>
      <family val="2"/>
    </font>
    <font>
      <sz val="11"/>
      <color rgb="FF0070C0"/>
      <name val="Calibri"/>
      <family val="2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sz val="10"/>
      <color rgb="FF0070C0"/>
      <name val="Arial"/>
      <family val="2"/>
    </font>
    <font>
      <b/>
      <sz val="9"/>
      <color theme="0" tint="-0.249977111117893"/>
      <name val="Calibri"/>
      <family val="2"/>
    </font>
    <font>
      <b/>
      <sz val="11"/>
      <color rgb="FF0070C0"/>
      <name val="Calibri"/>
      <family val="2"/>
    </font>
    <font>
      <sz val="10"/>
      <color theme="1"/>
      <name val="Calibri"/>
      <family val="2"/>
    </font>
    <font>
      <b/>
      <sz val="9"/>
      <color rgb="FF0070C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u val="singleAccounting"/>
      <sz val="10"/>
      <name val="Calibri"/>
      <family val="2"/>
      <scheme val="minor"/>
    </font>
    <font>
      <b/>
      <i/>
      <u/>
      <sz val="10"/>
      <name val="Calibri"/>
      <family val="2"/>
      <scheme val="minor"/>
    </font>
    <font>
      <b/>
      <u val="singleAccounting"/>
      <sz val="10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vertAlign val="subscript"/>
      <sz val="10"/>
      <name val="Calibri"/>
      <family val="2"/>
      <scheme val="minor"/>
    </font>
    <font>
      <sz val="8"/>
      <name val="Calibri"/>
      <family val="2"/>
    </font>
    <font>
      <b/>
      <sz val="10"/>
      <color theme="0"/>
      <name val="Calibri"/>
      <family val="2"/>
    </font>
    <font>
      <sz val="10"/>
      <color rgb="FF0070C0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14"/>
      <name val="Calibri"/>
      <family val="2"/>
      <scheme val="minor"/>
    </font>
    <font>
      <sz val="11"/>
      <color theme="1"/>
      <name val="Arial Narrow"/>
      <family val="2"/>
    </font>
    <font>
      <b/>
      <sz val="14"/>
      <color rgb="FF3271D2"/>
      <name val="Open Sans"/>
      <family val="2"/>
    </font>
    <font>
      <sz val="10"/>
      <color theme="3"/>
      <name val="Open Sans"/>
      <family val="2"/>
    </font>
    <font>
      <b/>
      <sz val="10"/>
      <color rgb="FF000000"/>
      <name val="Open Sans"/>
      <family val="2"/>
    </font>
    <font>
      <sz val="10"/>
      <color rgb="FF000000"/>
      <name val="Open Sans"/>
      <family val="2"/>
    </font>
    <font>
      <b/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rgb="FF3271D2"/>
      <name val="Open Sans"/>
      <family val="2"/>
    </font>
    <font>
      <sz val="10"/>
      <name val="Open Sans"/>
      <family val="2"/>
    </font>
    <font>
      <b/>
      <sz val="10"/>
      <name val="Open Sans"/>
      <family val="2"/>
    </font>
    <font>
      <b/>
      <sz val="14"/>
      <color theme="0"/>
      <name val="Open Sans"/>
      <family val="2"/>
    </font>
    <font>
      <u/>
      <sz val="11"/>
      <color theme="10"/>
      <name val="Calibri"/>
      <family val="2"/>
    </font>
    <font>
      <sz val="10"/>
      <color rgb="FF606F7B"/>
      <name val="Arial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E5F7"/>
        <bgColor rgb="FF000000"/>
      </patternFill>
    </fill>
    <fill>
      <patternFill patternType="solid">
        <fgColor rgb="FF002060"/>
        <bgColor rgb="FF000000"/>
      </patternFill>
    </fill>
  </fills>
  <borders count="4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rgb="FF333B6C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333B6C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rgb="FF333B6C"/>
      </bottom>
      <diagonal/>
    </border>
    <border>
      <left/>
      <right style="thin">
        <color indexed="64"/>
      </right>
      <top style="thin">
        <color indexed="64"/>
      </top>
      <bottom style="thin">
        <color rgb="FF333B6C"/>
      </bottom>
      <diagonal/>
    </border>
    <border>
      <left style="thin">
        <color indexed="64"/>
      </left>
      <right/>
      <top style="thin">
        <color indexed="64"/>
      </top>
      <bottom style="thin">
        <color rgb="FF333B6C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0" fillId="0" borderId="0"/>
    <xf numFmtId="0" fontId="61" fillId="0" borderId="0" applyNumberFormat="0" applyFill="0" applyBorder="0" applyAlignment="0" applyProtection="0"/>
  </cellStyleXfs>
  <cellXfs count="323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7" fillId="2" borderId="0" xfId="0" applyFont="1" applyFill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/>
    </xf>
    <xf numFmtId="164" fontId="3" fillId="0" borderId="0" xfId="0" applyNumberFormat="1" applyFont="1" applyAlignment="1">
      <alignment wrapText="1"/>
    </xf>
    <xf numFmtId="164" fontId="6" fillId="0" borderId="0" xfId="0" applyNumberFormat="1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164" fontId="3" fillId="0" borderId="0" xfId="0" applyNumberFormat="1" applyFont="1" applyAlignment="1">
      <alignment horizontal="right" wrapText="1"/>
    </xf>
    <xf numFmtId="164" fontId="6" fillId="0" borderId="0" xfId="0" applyNumberFormat="1" applyFont="1" applyAlignment="1">
      <alignment wrapText="1"/>
    </xf>
    <xf numFmtId="164" fontId="4" fillId="0" borderId="0" xfId="0" applyNumberFormat="1" applyFo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horizontal="right" wrapText="1"/>
    </xf>
    <xf numFmtId="0" fontId="8" fillId="0" borderId="2" xfId="0" applyFont="1" applyBorder="1" applyAlignment="1">
      <alignment wrapText="1"/>
    </xf>
    <xf numFmtId="164" fontId="2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3" xfId="0" applyNumberFormat="1" applyFont="1" applyBorder="1" applyAlignment="1">
      <alignment horizontal="right" wrapText="1"/>
    </xf>
    <xf numFmtId="164" fontId="9" fillId="0" borderId="0" xfId="0" applyNumberFormat="1" applyFont="1" applyAlignment="1">
      <alignment horizontal="left" wrapText="1"/>
    </xf>
    <xf numFmtId="0" fontId="10" fillId="0" borderId="0" xfId="0" applyFont="1"/>
    <xf numFmtId="0" fontId="11" fillId="0" borderId="0" xfId="0" applyFont="1" applyAlignment="1">
      <alignment wrapText="1"/>
    </xf>
    <xf numFmtId="0" fontId="11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top" wrapText="1"/>
    </xf>
    <xf numFmtId="0" fontId="14" fillId="0" borderId="0" xfId="0" applyFont="1" applyAlignment="1">
      <alignment wrapText="1"/>
    </xf>
    <xf numFmtId="0" fontId="15" fillId="3" borderId="4" xfId="0" applyFont="1" applyFill="1" applyBorder="1" applyAlignment="1">
      <alignment horizontal="left" wrapText="1"/>
    </xf>
    <xf numFmtId="0" fontId="15" fillId="3" borderId="4" xfId="0" applyFont="1" applyFill="1" applyBorder="1" applyAlignment="1">
      <alignment horizontal="center" wrapText="1"/>
    </xf>
    <xf numFmtId="2" fontId="6" fillId="0" borderId="0" xfId="0" applyNumberFormat="1" applyFont="1" applyAlignment="1">
      <alignment horizontal="right" wrapText="1"/>
    </xf>
    <xf numFmtId="165" fontId="7" fillId="2" borderId="0" xfId="0" applyNumberFormat="1" applyFont="1" applyFill="1" applyAlignment="1">
      <alignment wrapText="1"/>
    </xf>
    <xf numFmtId="166" fontId="7" fillId="2" borderId="0" xfId="0" applyNumberFormat="1" applyFont="1" applyFill="1" applyAlignment="1">
      <alignment wrapText="1"/>
    </xf>
    <xf numFmtId="164" fontId="0" fillId="0" borderId="0" xfId="0" applyNumberFormat="1"/>
    <xf numFmtId="164" fontId="6" fillId="0" borderId="1" xfId="0" applyNumberFormat="1" applyFont="1" applyBorder="1" applyAlignment="1">
      <alignment horizontal="right"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164" fontId="3" fillId="0" borderId="6" xfId="0" applyNumberFormat="1" applyFont="1" applyBorder="1" applyAlignment="1">
      <alignment horizontal="right" wrapText="1"/>
    </xf>
    <xf numFmtId="0" fontId="3" fillId="0" borderId="6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5" fillId="0" borderId="2" xfId="0" applyFont="1" applyBorder="1" applyAlignment="1">
      <alignment wrapText="1"/>
    </xf>
    <xf numFmtId="2" fontId="0" fillId="0" borderId="0" xfId="0" applyNumberFormat="1"/>
    <xf numFmtId="164" fontId="2" fillId="0" borderId="6" xfId="0" applyNumberFormat="1" applyFont="1" applyBorder="1" applyAlignment="1">
      <alignment horizontal="right" wrapText="1"/>
    </xf>
    <xf numFmtId="164" fontId="2" fillId="0" borderId="5" xfId="0" applyNumberFormat="1" applyFont="1" applyBorder="1" applyAlignment="1">
      <alignment horizontal="right" wrapText="1"/>
    </xf>
    <xf numFmtId="164" fontId="20" fillId="0" borderId="0" xfId="0" applyNumberFormat="1" applyFont="1" applyAlignment="1">
      <alignment horizontal="right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/>
    <xf numFmtId="9" fontId="0" fillId="0" borderId="0" xfId="0" applyNumberFormat="1"/>
    <xf numFmtId="0" fontId="0" fillId="4" borderId="0" xfId="0" applyFill="1"/>
    <xf numFmtId="164" fontId="0" fillId="0" borderId="8" xfId="0" applyNumberFormat="1" applyBorder="1"/>
    <xf numFmtId="0" fontId="0" fillId="0" borderId="9" xfId="0" applyBorder="1"/>
    <xf numFmtId="164" fontId="0" fillId="0" borderId="9" xfId="0" applyNumberFormat="1" applyBorder="1"/>
    <xf numFmtId="164" fontId="17" fillId="2" borderId="0" xfId="0" applyNumberFormat="1" applyFont="1" applyFill="1"/>
    <xf numFmtId="166" fontId="21" fillId="2" borderId="0" xfId="0" applyNumberFormat="1" applyFont="1" applyFill="1" applyAlignment="1">
      <alignment wrapText="1"/>
    </xf>
    <xf numFmtId="0" fontId="24" fillId="2" borderId="0" xfId="0" applyFont="1" applyFill="1" applyAlignment="1">
      <alignment horizontal="center"/>
    </xf>
    <xf numFmtId="4" fontId="25" fillId="0" borderId="1" xfId="0" applyNumberFormat="1" applyFont="1" applyBorder="1" applyAlignment="1">
      <alignment horizontal="right"/>
    </xf>
    <xf numFmtId="9" fontId="0" fillId="0" borderId="0" xfId="0" applyNumberFormat="1" applyAlignment="1">
      <alignment horizontal="center"/>
    </xf>
    <xf numFmtId="9" fontId="23" fillId="5" borderId="0" xfId="0" applyNumberFormat="1" applyFont="1" applyFill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0" fontId="0" fillId="0" borderId="0" xfId="1" applyNumberFormat="1" applyFont="1" applyAlignment="1">
      <alignment vertical="center" wrapText="1"/>
    </xf>
    <xf numFmtId="9" fontId="0" fillId="0" borderId="0" xfId="1" applyFont="1"/>
    <xf numFmtId="167" fontId="18" fillId="0" borderId="0" xfId="0" applyNumberFormat="1" applyFont="1"/>
    <xf numFmtId="0" fontId="0" fillId="0" borderId="0" xfId="0" applyAlignment="1">
      <alignment horizontal="right" vertical="center" wrapText="1"/>
    </xf>
    <xf numFmtId="0" fontId="18" fillId="0" borderId="0" xfId="0" applyFont="1" applyAlignment="1">
      <alignment horizontal="right" vertical="center" wrapText="1"/>
    </xf>
    <xf numFmtId="4" fontId="18" fillId="0" borderId="0" xfId="0" applyNumberFormat="1" applyFont="1" applyAlignment="1">
      <alignment horizontal="right" vertical="center" wrapText="1"/>
    </xf>
    <xf numFmtId="164" fontId="26" fillId="0" borderId="0" xfId="0" applyNumberFormat="1" applyFont="1" applyAlignment="1">
      <alignment horizontal="right" wrapText="1"/>
    </xf>
    <xf numFmtId="164" fontId="18" fillId="0" borderId="0" xfId="0" applyNumberFormat="1" applyFont="1"/>
    <xf numFmtId="4" fontId="0" fillId="0" borderId="0" xfId="0" applyNumberFormat="1" applyAlignment="1">
      <alignment horizontal="right" vertical="center" wrapText="1"/>
    </xf>
    <xf numFmtId="164" fontId="18" fillId="0" borderId="5" xfId="0" applyNumberFormat="1" applyFont="1" applyBorder="1" applyAlignment="1">
      <alignment horizontal="right" vertical="center"/>
    </xf>
    <xf numFmtId="169" fontId="0" fillId="0" borderId="0" xfId="0" applyNumberFormat="1"/>
    <xf numFmtId="164" fontId="18" fillId="0" borderId="5" xfId="0" applyNumberFormat="1" applyFont="1" applyBorder="1" applyAlignment="1">
      <alignment horizontal="right"/>
    </xf>
    <xf numFmtId="164" fontId="18" fillId="0" borderId="6" xfId="0" applyNumberFormat="1" applyFont="1" applyBorder="1" applyAlignment="1">
      <alignment horizontal="right" vertical="center"/>
    </xf>
    <xf numFmtId="164" fontId="18" fillId="0" borderId="5" xfId="0" applyNumberFormat="1" applyFont="1" applyBorder="1"/>
    <xf numFmtId="164" fontId="18" fillId="0" borderId="6" xfId="0" applyNumberFormat="1" applyFont="1" applyBorder="1" applyAlignment="1">
      <alignment vertical="center"/>
    </xf>
    <xf numFmtId="164" fontId="18" fillId="0" borderId="6" xfId="0" applyNumberFormat="1" applyFont="1" applyBorder="1"/>
    <xf numFmtId="164" fontId="0" fillId="0" borderId="1" xfId="0" applyNumberFormat="1" applyBorder="1"/>
    <xf numFmtId="164" fontId="29" fillId="0" borderId="0" xfId="0" applyNumberFormat="1" applyFont="1"/>
    <xf numFmtId="164" fontId="11" fillId="0" borderId="0" xfId="0" applyNumberFormat="1" applyFont="1" applyAlignment="1">
      <alignment wrapText="1"/>
    </xf>
    <xf numFmtId="164" fontId="3" fillId="0" borderId="1" xfId="0" applyNumberFormat="1" applyFont="1" applyBorder="1" applyAlignment="1">
      <alignment wrapText="1"/>
    </xf>
    <xf numFmtId="164" fontId="23" fillId="0" borderId="0" xfId="0" applyNumberFormat="1" applyFont="1"/>
    <xf numFmtId="164" fontId="30" fillId="0" borderId="0" xfId="0" applyNumberFormat="1" applyFont="1"/>
    <xf numFmtId="10" fontId="23" fillId="0" borderId="0" xfId="1" applyNumberFormat="1" applyFont="1" applyFill="1" applyBorder="1"/>
    <xf numFmtId="164" fontId="15" fillId="3" borderId="4" xfId="0" applyNumberFormat="1" applyFont="1" applyFill="1" applyBorder="1" applyAlignment="1">
      <alignment horizontal="center" wrapText="1"/>
    </xf>
    <xf numFmtId="0" fontId="18" fillId="0" borderId="0" xfId="0" applyFont="1" applyAlignment="1">
      <alignment horizontal="left"/>
    </xf>
    <xf numFmtId="164" fontId="28" fillId="0" borderId="0" xfId="0" applyNumberFormat="1" applyFont="1"/>
    <xf numFmtId="10" fontId="23" fillId="4" borderId="0" xfId="0" applyNumberFormat="1" applyFont="1" applyFill="1"/>
    <xf numFmtId="170" fontId="0" fillId="0" borderId="0" xfId="0" applyNumberFormat="1"/>
    <xf numFmtId="171" fontId="0" fillId="0" borderId="0" xfId="0" applyNumberFormat="1"/>
    <xf numFmtId="172" fontId="3" fillId="0" borderId="0" xfId="0" applyNumberFormat="1" applyFont="1"/>
    <xf numFmtId="172" fontId="33" fillId="0" borderId="0" xfId="0" applyNumberFormat="1" applyFont="1"/>
    <xf numFmtId="172" fontId="35" fillId="0" borderId="0" xfId="0" quotePrefix="1" applyNumberFormat="1" applyFont="1"/>
    <xf numFmtId="172" fontId="34" fillId="0" borderId="0" xfId="0" quotePrefix="1" applyNumberFormat="1" applyFont="1"/>
    <xf numFmtId="173" fontId="34" fillId="0" borderId="0" xfId="0" quotePrefix="1" applyNumberFormat="1" applyFont="1"/>
    <xf numFmtId="173" fontId="3" fillId="0" borderId="0" xfId="0" quotePrefix="1" applyNumberFormat="1" applyFont="1" applyAlignment="1">
      <alignment horizontal="left"/>
    </xf>
    <xf numFmtId="172" fontId="3" fillId="0" borderId="0" xfId="0" quotePrefix="1" applyNumberFormat="1" applyFont="1"/>
    <xf numFmtId="172" fontId="2" fillId="0" borderId="0" xfId="0" applyNumberFormat="1" applyFont="1"/>
    <xf numFmtId="172" fontId="36" fillId="6" borderId="0" xfId="0" quotePrefix="1" applyNumberFormat="1" applyFont="1" applyFill="1"/>
    <xf numFmtId="173" fontId="36" fillId="6" borderId="0" xfId="0" quotePrefix="1" applyNumberFormat="1" applyFont="1" applyFill="1"/>
    <xf numFmtId="173" fontId="33" fillId="0" borderId="0" xfId="0" quotePrefix="1" applyNumberFormat="1" applyFont="1" applyAlignment="1">
      <alignment horizontal="left"/>
    </xf>
    <xf numFmtId="172" fontId="33" fillId="0" borderId="0" xfId="0" quotePrefix="1" applyNumberFormat="1" applyFont="1"/>
    <xf numFmtId="172" fontId="33" fillId="0" borderId="0" xfId="0" quotePrefix="1" applyNumberFormat="1" applyFont="1" applyAlignment="1">
      <alignment horizontal="right"/>
    </xf>
    <xf numFmtId="172" fontId="3" fillId="0" borderId="0" xfId="0" applyNumberFormat="1" applyFont="1" applyAlignment="1">
      <alignment horizontal="right"/>
    </xf>
    <xf numFmtId="175" fontId="37" fillId="0" borderId="0" xfId="0" applyNumberFormat="1" applyFont="1" applyAlignment="1">
      <alignment horizontal="right"/>
    </xf>
    <xf numFmtId="172" fontId="33" fillId="0" borderId="0" xfId="0" applyNumberFormat="1" applyFont="1" applyAlignment="1">
      <alignment horizontal="right"/>
    </xf>
    <xf numFmtId="176" fontId="37" fillId="0" borderId="0" xfId="0" applyNumberFormat="1" applyFont="1" applyAlignment="1">
      <alignment horizontal="right"/>
    </xf>
    <xf numFmtId="172" fontId="20" fillId="0" borderId="0" xfId="0" applyNumberFormat="1" applyFont="1"/>
    <xf numFmtId="172" fontId="20" fillId="0" borderId="0" xfId="0" quotePrefix="1" applyNumberFormat="1" applyFont="1" applyAlignment="1">
      <alignment horizontal="left"/>
    </xf>
    <xf numFmtId="172" fontId="20" fillId="0" borderId="0" xfId="0" applyNumberFormat="1" applyFont="1" applyAlignment="1">
      <alignment horizontal="right"/>
    </xf>
    <xf numFmtId="172" fontId="38" fillId="0" borderId="0" xfId="0" applyNumberFormat="1" applyFont="1" applyAlignment="1">
      <alignment horizontal="center"/>
    </xf>
    <xf numFmtId="175" fontId="20" fillId="0" borderId="0" xfId="0" applyNumberFormat="1" applyFont="1" applyAlignment="1">
      <alignment horizontal="right"/>
    </xf>
    <xf numFmtId="172" fontId="3" fillId="0" borderId="0" xfId="0" applyNumberFormat="1" applyFont="1" applyAlignment="1">
      <alignment horizontal="left"/>
    </xf>
    <xf numFmtId="172" fontId="2" fillId="4" borderId="0" xfId="0" quotePrefix="1" applyNumberFormat="1" applyFont="1" applyFill="1" applyAlignment="1">
      <alignment horizontal="centerContinuous"/>
    </xf>
    <xf numFmtId="172" fontId="3" fillId="4" borderId="0" xfId="0" applyNumberFormat="1" applyFont="1" applyFill="1" applyAlignment="1">
      <alignment horizontal="centerContinuous"/>
    </xf>
    <xf numFmtId="173" fontId="39" fillId="0" borderId="0" xfId="0" quotePrefix="1" applyNumberFormat="1" applyFont="1" applyAlignment="1">
      <alignment horizontal="left"/>
    </xf>
    <xf numFmtId="177" fontId="40" fillId="0" borderId="0" xfId="0" quotePrefix="1" applyNumberFormat="1" applyFont="1" applyAlignment="1">
      <alignment horizontal="center"/>
    </xf>
    <xf numFmtId="177" fontId="40" fillId="0" borderId="5" xfId="0" quotePrefix="1" applyNumberFormat="1" applyFont="1" applyBorder="1" applyAlignment="1">
      <alignment horizontal="center"/>
    </xf>
    <xf numFmtId="176" fontId="33" fillId="0" borderId="0" xfId="0" quotePrefix="1" applyNumberFormat="1" applyFont="1"/>
    <xf numFmtId="173" fontId="20" fillId="0" borderId="5" xfId="0" quotePrefix="1" applyNumberFormat="1" applyFont="1" applyBorder="1" applyAlignment="1">
      <alignment horizontal="left"/>
    </xf>
    <xf numFmtId="172" fontId="20" fillId="0" borderId="5" xfId="0" quotePrefix="1" applyNumberFormat="1" applyFont="1" applyBorder="1"/>
    <xf numFmtId="172" fontId="20" fillId="0" borderId="5" xfId="0" quotePrefix="1" applyNumberFormat="1" applyFont="1" applyBorder="1" applyAlignment="1">
      <alignment horizontal="right"/>
    </xf>
    <xf numFmtId="173" fontId="20" fillId="0" borderId="0" xfId="0" quotePrefix="1" applyNumberFormat="1" applyFont="1" applyAlignment="1">
      <alignment horizontal="left"/>
    </xf>
    <xf numFmtId="172" fontId="20" fillId="0" borderId="0" xfId="0" quotePrefix="1" applyNumberFormat="1" applyFont="1"/>
    <xf numFmtId="172" fontId="20" fillId="0" borderId="0" xfId="0" quotePrefix="1" applyNumberFormat="1" applyFont="1" applyAlignment="1">
      <alignment horizontal="right"/>
    </xf>
    <xf numFmtId="174" fontId="20" fillId="0" borderId="0" xfId="0" quotePrefix="1" applyNumberFormat="1" applyFont="1"/>
    <xf numFmtId="172" fontId="41" fillId="0" borderId="0" xfId="0" quotePrefix="1" applyNumberFormat="1" applyFont="1" applyAlignment="1">
      <alignment horizontal="left"/>
    </xf>
    <xf numFmtId="172" fontId="3" fillId="0" borderId="0" xfId="0" quotePrefix="1" applyNumberFormat="1" applyFont="1" applyAlignment="1">
      <alignment horizontal="left"/>
    </xf>
    <xf numFmtId="2" fontId="37" fillId="0" borderId="0" xfId="0" quotePrefix="1" applyNumberFormat="1" applyFont="1" applyAlignment="1">
      <alignment horizontal="right"/>
    </xf>
    <xf numFmtId="2" fontId="33" fillId="0" borderId="0" xfId="0" quotePrefix="1" applyNumberFormat="1" applyFont="1"/>
    <xf numFmtId="2" fontId="3" fillId="0" borderId="0" xfId="0" applyNumberFormat="1" applyFont="1" applyAlignment="1">
      <alignment horizontal="right"/>
    </xf>
    <xf numFmtId="2" fontId="20" fillId="0" borderId="5" xfId="0" quotePrefix="1" applyNumberFormat="1" applyFont="1" applyBorder="1"/>
    <xf numFmtId="0" fontId="37" fillId="0" borderId="0" xfId="0" applyFont="1" applyAlignment="1">
      <alignment horizontal="right"/>
    </xf>
    <xf numFmtId="10" fontId="3" fillId="0" borderId="0" xfId="1" applyNumberFormat="1" applyFont="1" applyAlignment="1">
      <alignment horizontal="right"/>
    </xf>
    <xf numFmtId="9" fontId="33" fillId="0" borderId="0" xfId="1" applyFont="1" applyAlignment="1">
      <alignment horizontal="right"/>
    </xf>
    <xf numFmtId="10" fontId="37" fillId="0" borderId="0" xfId="1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172" fontId="20" fillId="0" borderId="0" xfId="0" applyNumberFormat="1" applyFont="1" applyAlignment="1">
      <alignment horizontal="left"/>
    </xf>
    <xf numFmtId="178" fontId="20" fillId="0" borderId="0" xfId="0" applyNumberFormat="1" applyFont="1" applyAlignment="1">
      <alignment horizontal="right"/>
    </xf>
    <xf numFmtId="2" fontId="20" fillId="0" borderId="0" xfId="0" quotePrefix="1" applyNumberFormat="1" applyFont="1"/>
    <xf numFmtId="172" fontId="2" fillId="4" borderId="0" xfId="0" applyNumberFormat="1" applyFont="1" applyFill="1" applyAlignment="1">
      <alignment horizontal="center"/>
    </xf>
    <xf numFmtId="173" fontId="36" fillId="0" borderId="0" xfId="0" quotePrefix="1" applyNumberFormat="1" applyFont="1" applyAlignment="1">
      <alignment horizontal="left"/>
    </xf>
    <xf numFmtId="172" fontId="36" fillId="0" borderId="0" xfId="0" quotePrefix="1" applyNumberFormat="1" applyFont="1"/>
    <xf numFmtId="173" fontId="36" fillId="0" borderId="0" xfId="0" quotePrefix="1" applyNumberFormat="1" applyFont="1"/>
    <xf numFmtId="0" fontId="29" fillId="0" borderId="0" xfId="0" applyFont="1"/>
    <xf numFmtId="179" fontId="0" fillId="0" borderId="0" xfId="0" applyNumberFormat="1"/>
    <xf numFmtId="0" fontId="0" fillId="0" borderId="13" xfId="0" applyBorder="1"/>
    <xf numFmtId="169" fontId="0" fillId="0" borderId="13" xfId="0" applyNumberFormat="1" applyBorder="1"/>
    <xf numFmtId="168" fontId="22" fillId="0" borderId="0" xfId="0" applyNumberFormat="1" applyFont="1"/>
    <xf numFmtId="0" fontId="0" fillId="0" borderId="14" xfId="0" applyBorder="1"/>
    <xf numFmtId="169" fontId="0" fillId="0" borderId="15" xfId="0" applyNumberFormat="1" applyBorder="1"/>
    <xf numFmtId="0" fontId="0" fillId="0" borderId="16" xfId="0" applyBorder="1"/>
    <xf numFmtId="169" fontId="0" fillId="0" borderId="17" xfId="0" applyNumberFormat="1" applyBorder="1"/>
    <xf numFmtId="0" fontId="44" fillId="2" borderId="0" xfId="0" applyFont="1" applyFill="1"/>
    <xf numFmtId="0" fontId="17" fillId="0" borderId="0" xfId="0" applyFont="1"/>
    <xf numFmtId="164" fontId="45" fillId="0" borderId="0" xfId="0" applyNumberFormat="1" applyFont="1"/>
    <xf numFmtId="0" fontId="18" fillId="7" borderId="4" xfId="0" applyFont="1" applyFill="1" applyBorder="1"/>
    <xf numFmtId="179" fontId="18" fillId="7" borderId="4" xfId="0" applyNumberFormat="1" applyFont="1" applyFill="1" applyBorder="1"/>
    <xf numFmtId="9" fontId="18" fillId="0" borderId="0" xfId="0" applyNumberFormat="1" applyFont="1" applyAlignment="1">
      <alignment vertical="center" wrapText="1"/>
    </xf>
    <xf numFmtId="0" fontId="18" fillId="0" borderId="14" xfId="0" applyFont="1" applyBorder="1" applyAlignment="1">
      <alignment vertical="center"/>
    </xf>
    <xf numFmtId="164" fontId="18" fillId="0" borderId="18" xfId="0" applyNumberFormat="1" applyFont="1" applyBorder="1" applyAlignment="1">
      <alignment vertical="center"/>
    </xf>
    <xf numFmtId="164" fontId="0" fillId="0" borderId="18" xfId="0" applyNumberFormat="1" applyBorder="1"/>
    <xf numFmtId="164" fontId="0" fillId="0" borderId="15" xfId="0" applyNumberFormat="1" applyBorder="1"/>
    <xf numFmtId="0" fontId="18" fillId="0" borderId="19" xfId="0" applyFont="1" applyBorder="1" applyAlignment="1">
      <alignment horizontal="left" vertical="center"/>
    </xf>
    <xf numFmtId="164" fontId="0" fillId="0" borderId="0" xfId="0" applyNumberFormat="1" applyAlignment="1">
      <alignment horizontal="right"/>
    </xf>
    <xf numFmtId="164" fontId="0" fillId="0" borderId="20" xfId="0" applyNumberFormat="1" applyBorder="1"/>
    <xf numFmtId="0" fontId="0" fillId="0" borderId="19" xfId="0" applyBorder="1"/>
    <xf numFmtId="0" fontId="5" fillId="0" borderId="19" xfId="0" applyFont="1" applyBorder="1"/>
    <xf numFmtId="164" fontId="18" fillId="0" borderId="21" xfId="0" applyNumberFormat="1" applyFont="1" applyBorder="1" applyAlignment="1">
      <alignment horizontal="right"/>
    </xf>
    <xf numFmtId="0" fontId="5" fillId="0" borderId="22" xfId="0" applyFont="1" applyBorder="1"/>
    <xf numFmtId="164" fontId="18" fillId="0" borderId="23" xfId="0" applyNumberFormat="1" applyFont="1" applyBorder="1" applyAlignment="1">
      <alignment horizontal="right" vertical="center"/>
    </xf>
    <xf numFmtId="164" fontId="18" fillId="0" borderId="0" xfId="0" applyNumberFormat="1" applyFont="1" applyAlignment="1">
      <alignment horizontal="right" vertical="center"/>
    </xf>
    <xf numFmtId="164" fontId="18" fillId="0" borderId="21" xfId="0" applyNumberFormat="1" applyFont="1" applyBorder="1"/>
    <xf numFmtId="0" fontId="4" fillId="0" borderId="19" xfId="0" applyFont="1" applyBorder="1"/>
    <xf numFmtId="164" fontId="18" fillId="0" borderId="0" xfId="0" applyNumberFormat="1" applyFont="1" applyAlignment="1">
      <alignment vertical="center"/>
    </xf>
    <xf numFmtId="164" fontId="18" fillId="0" borderId="0" xfId="0" applyNumberFormat="1" applyFont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164" fontId="5" fillId="0" borderId="0" xfId="0" applyNumberFormat="1" applyFont="1"/>
    <xf numFmtId="164" fontId="18" fillId="0" borderId="21" xfId="0" applyNumberFormat="1" applyFont="1" applyBorder="1" applyAlignment="1">
      <alignment horizontal="right" vertical="center"/>
    </xf>
    <xf numFmtId="164" fontId="18" fillId="0" borderId="23" xfId="0" applyNumberFormat="1" applyFont="1" applyBorder="1"/>
    <xf numFmtId="164" fontId="27" fillId="0" borderId="0" xfId="0" applyNumberFormat="1" applyFont="1"/>
    <xf numFmtId="0" fontId="18" fillId="0" borderId="24" xfId="0" applyFont="1" applyBorder="1" applyAlignment="1">
      <alignment horizontal="left" vertical="center"/>
    </xf>
    <xf numFmtId="164" fontId="0" fillId="0" borderId="25" xfId="0" applyNumberFormat="1" applyBorder="1"/>
    <xf numFmtId="10" fontId="27" fillId="0" borderId="19" xfId="0" applyNumberFormat="1" applyFont="1" applyBorder="1"/>
    <xf numFmtId="0" fontId="18" fillId="0" borderId="26" xfId="0" applyFont="1" applyBorder="1" applyAlignment="1">
      <alignment horizontal="left"/>
    </xf>
    <xf numFmtId="164" fontId="28" fillId="0" borderId="27" xfId="0" applyNumberFormat="1" applyFont="1" applyBorder="1"/>
    <xf numFmtId="164" fontId="18" fillId="0" borderId="27" xfId="0" applyNumberFormat="1" applyFont="1" applyBorder="1"/>
    <xf numFmtId="164" fontId="18" fillId="0" borderId="28" xfId="0" applyNumberFormat="1" applyFont="1" applyBorder="1"/>
    <xf numFmtId="0" fontId="18" fillId="0" borderId="14" xfId="0" applyFont="1" applyBorder="1"/>
    <xf numFmtId="0" fontId="18" fillId="0" borderId="18" xfId="0" applyFont="1" applyBorder="1" applyAlignment="1">
      <alignment horizontal="center" vertical="center" wrapText="1"/>
    </xf>
    <xf numFmtId="0" fontId="0" fillId="0" borderId="18" xfId="0" applyBorder="1"/>
    <xf numFmtId="0" fontId="0" fillId="0" borderId="15" xfId="0" applyBorder="1"/>
    <xf numFmtId="0" fontId="0" fillId="0" borderId="19" xfId="0" applyBorder="1" applyAlignment="1">
      <alignment vertical="center" wrapText="1"/>
    </xf>
    <xf numFmtId="4" fontId="23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4" fontId="0" fillId="0" borderId="20" xfId="0" applyNumberForma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0" fillId="0" borderId="20" xfId="0" applyBorder="1"/>
    <xf numFmtId="0" fontId="18" fillId="0" borderId="19" xfId="0" applyFont="1" applyBorder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18" fillId="0" borderId="20" xfId="0" applyNumberFormat="1" applyFont="1" applyBorder="1" applyAlignment="1">
      <alignment vertical="center" wrapText="1"/>
    </xf>
    <xf numFmtId="0" fontId="18" fillId="0" borderId="19" xfId="0" applyFont="1" applyBorder="1" applyAlignment="1">
      <alignment horizontal="left" vertical="center" wrapText="1"/>
    </xf>
    <xf numFmtId="0" fontId="25" fillId="0" borderId="29" xfId="0" applyFont="1" applyBorder="1" applyAlignment="1">
      <alignment horizontal="left" vertical="center" wrapText="1"/>
    </xf>
    <xf numFmtId="4" fontId="25" fillId="0" borderId="13" xfId="0" applyNumberFormat="1" applyFont="1" applyBorder="1" applyAlignment="1">
      <alignment horizontal="right"/>
    </xf>
    <xf numFmtId="4" fontId="25" fillId="0" borderId="30" xfId="0" applyNumberFormat="1" applyFont="1" applyBorder="1" applyAlignment="1">
      <alignment horizontal="right"/>
    </xf>
    <xf numFmtId="0" fontId="25" fillId="0" borderId="31" xfId="0" applyFont="1" applyBorder="1" applyAlignment="1">
      <alignment horizontal="left" vertical="center" wrapText="1"/>
    </xf>
    <xf numFmtId="4" fontId="25" fillId="0" borderId="32" xfId="0" applyNumberFormat="1" applyFont="1" applyBorder="1" applyAlignment="1">
      <alignment horizontal="right"/>
    </xf>
    <xf numFmtId="4" fontId="25" fillId="0" borderId="33" xfId="0" applyNumberFormat="1" applyFont="1" applyBorder="1" applyAlignment="1">
      <alignment horizontal="right"/>
    </xf>
    <xf numFmtId="0" fontId="3" fillId="0" borderId="19" xfId="0" applyFont="1" applyBorder="1" applyAlignment="1">
      <alignment vertical="center"/>
    </xf>
    <xf numFmtId="0" fontId="3" fillId="0" borderId="19" xfId="0" applyFont="1" applyBorder="1" applyAlignment="1">
      <alignment wrapText="1"/>
    </xf>
    <xf numFmtId="2" fontId="0" fillId="0" borderId="20" xfId="0" applyNumberFormat="1" applyBorder="1"/>
    <xf numFmtId="0" fontId="25" fillId="0" borderId="24" xfId="0" applyFont="1" applyBorder="1" applyAlignment="1">
      <alignment horizontal="left" vertical="center" wrapText="1"/>
    </xf>
    <xf numFmtId="4" fontId="25" fillId="0" borderId="25" xfId="0" applyNumberFormat="1" applyFont="1" applyBorder="1" applyAlignment="1">
      <alignment horizontal="right"/>
    </xf>
    <xf numFmtId="164" fontId="6" fillId="0" borderId="8" xfId="0" applyNumberFormat="1" applyFont="1" applyBorder="1" applyAlignment="1">
      <alignment horizontal="right" wrapText="1"/>
    </xf>
    <xf numFmtId="0" fontId="46" fillId="0" borderId="0" xfId="0" applyFont="1"/>
    <xf numFmtId="0" fontId="18" fillId="0" borderId="24" xfId="0" applyFont="1" applyBorder="1" applyAlignment="1">
      <alignment vertical="center" wrapText="1"/>
    </xf>
    <xf numFmtId="4" fontId="18" fillId="0" borderId="1" xfId="0" applyNumberFormat="1" applyFont="1" applyBorder="1" applyAlignment="1">
      <alignment vertical="center" wrapText="1"/>
    </xf>
    <xf numFmtId="4" fontId="18" fillId="0" borderId="25" xfId="0" applyNumberFormat="1" applyFont="1" applyBorder="1" applyAlignment="1">
      <alignment vertical="center" wrapText="1"/>
    </xf>
    <xf numFmtId="0" fontId="18" fillId="0" borderId="22" xfId="0" applyFont="1" applyBorder="1" applyAlignment="1">
      <alignment horizontal="left"/>
    </xf>
    <xf numFmtId="0" fontId="17" fillId="2" borderId="0" xfId="0" applyFont="1" applyFill="1" applyAlignment="1">
      <alignment horizontal="center"/>
    </xf>
    <xf numFmtId="164" fontId="28" fillId="0" borderId="6" xfId="0" applyNumberFormat="1" applyFont="1" applyBorder="1"/>
    <xf numFmtId="10" fontId="18" fillId="0" borderId="34" xfId="0" applyNumberFormat="1" applyFont="1" applyBorder="1"/>
    <xf numFmtId="0" fontId="0" fillId="0" borderId="10" xfId="0" applyBorder="1"/>
    <xf numFmtId="180" fontId="0" fillId="0" borderId="10" xfId="0" applyNumberFormat="1" applyBorder="1"/>
    <xf numFmtId="0" fontId="0" fillId="0" borderId="1" xfId="0" applyBorder="1"/>
    <xf numFmtId="0" fontId="18" fillId="0" borderId="13" xfId="0" applyFont="1" applyBorder="1"/>
    <xf numFmtId="0" fontId="18" fillId="0" borderId="8" xfId="0" applyFont="1" applyBorder="1"/>
    <xf numFmtId="181" fontId="18" fillId="0" borderId="13" xfId="1" applyNumberFormat="1" applyFont="1" applyBorder="1"/>
    <xf numFmtId="172" fontId="2" fillId="7" borderId="11" xfId="0" quotePrefix="1" applyNumberFormat="1" applyFont="1" applyFill="1" applyBorder="1" applyAlignment="1">
      <alignment horizontal="left"/>
    </xf>
    <xf numFmtId="172" fontId="2" fillId="7" borderId="1" xfId="0" applyNumberFormat="1" applyFont="1" applyFill="1" applyBorder="1"/>
    <xf numFmtId="2" fontId="2" fillId="7" borderId="12" xfId="0" applyNumberFormat="1" applyFont="1" applyFill="1" applyBorder="1" applyAlignment="1">
      <alignment horizontal="right"/>
    </xf>
    <xf numFmtId="172" fontId="2" fillId="7" borderId="12" xfId="0" quotePrefix="1" applyNumberFormat="1" applyFont="1" applyFill="1" applyBorder="1" applyAlignment="1">
      <alignment horizontal="right"/>
    </xf>
    <xf numFmtId="180" fontId="0" fillId="0" borderId="0" xfId="0" applyNumberFormat="1"/>
    <xf numFmtId="180" fontId="17" fillId="2" borderId="0" xfId="0" applyNumberFormat="1" applyFont="1" applyFill="1"/>
    <xf numFmtId="10" fontId="18" fillId="0" borderId="36" xfId="0" applyNumberFormat="1" applyFont="1" applyBorder="1"/>
    <xf numFmtId="180" fontId="0" fillId="0" borderId="38" xfId="0" applyNumberFormat="1" applyBorder="1"/>
    <xf numFmtId="180" fontId="0" fillId="0" borderId="37" xfId="0" applyNumberFormat="1" applyBorder="1"/>
    <xf numFmtId="10" fontId="18" fillId="0" borderId="39" xfId="0" applyNumberFormat="1" applyFont="1" applyBorder="1"/>
    <xf numFmtId="10" fontId="18" fillId="0" borderId="40" xfId="0" applyNumberFormat="1" applyFont="1" applyBorder="1"/>
    <xf numFmtId="9" fontId="18" fillId="0" borderId="41" xfId="1" applyFont="1" applyBorder="1"/>
    <xf numFmtId="173" fontId="49" fillId="0" borderId="0" xfId="0" quotePrefix="1" applyNumberFormat="1" applyFont="1" applyAlignment="1">
      <alignment horizontal="left"/>
    </xf>
    <xf numFmtId="173" fontId="47" fillId="6" borderId="0" xfId="0" quotePrefix="1" applyNumberFormat="1" applyFont="1" applyFill="1" applyAlignment="1">
      <alignment horizontal="left"/>
    </xf>
    <xf numFmtId="0" fontId="44" fillId="2" borderId="0" xfId="0" applyFont="1" applyFill="1" applyAlignment="1">
      <alignment horizontal="center"/>
    </xf>
    <xf numFmtId="0" fontId="52" fillId="0" borderId="0" xfId="0" applyFont="1" applyAlignment="1">
      <alignment vertical="top"/>
    </xf>
    <xf numFmtId="0" fontId="53" fillId="0" borderId="0" xfId="0" applyFont="1" applyAlignment="1">
      <alignment horizontal="centerContinuous"/>
    </xf>
    <xf numFmtId="0" fontId="54" fillId="0" borderId="0" xfId="0" applyFont="1" applyAlignment="1">
      <alignment horizontal="centerContinuous"/>
    </xf>
    <xf numFmtId="0" fontId="53" fillId="0" borderId="43" xfId="0" applyFont="1" applyBorder="1"/>
    <xf numFmtId="0" fontId="53" fillId="0" borderId="43" xfId="0" applyFont="1" applyBorder="1" applyAlignment="1">
      <alignment horizontal="right"/>
    </xf>
    <xf numFmtId="0" fontId="56" fillId="0" borderId="0" xfId="0" applyFont="1" applyAlignment="1">
      <alignment horizontal="left" vertical="top"/>
    </xf>
    <xf numFmtId="182" fontId="57" fillId="0" borderId="0" xfId="1" applyNumberFormat="1" applyFont="1" applyFill="1" applyAlignment="1">
      <alignment vertical="top"/>
    </xf>
    <xf numFmtId="0" fontId="56" fillId="0" borderId="0" xfId="0" applyFont="1" applyAlignment="1">
      <alignment vertical="top"/>
    </xf>
    <xf numFmtId="183" fontId="57" fillId="0" borderId="0" xfId="0" applyNumberFormat="1" applyFont="1" applyAlignment="1">
      <alignment horizontal="right" vertical="top"/>
    </xf>
    <xf numFmtId="184" fontId="57" fillId="0" borderId="0" xfId="2" applyNumberFormat="1" applyFont="1" applyFill="1" applyBorder="1" applyAlignment="1">
      <alignment horizontal="right" vertical="top"/>
    </xf>
    <xf numFmtId="182" fontId="58" fillId="0" borderId="0" xfId="1" applyNumberFormat="1" applyFont="1" applyFill="1" applyBorder="1" applyAlignment="1">
      <alignment horizontal="right" vertical="top"/>
    </xf>
    <xf numFmtId="182" fontId="57" fillId="0" borderId="0" xfId="0" applyNumberFormat="1" applyFont="1" applyAlignment="1">
      <alignment horizontal="right" vertical="top"/>
    </xf>
    <xf numFmtId="183" fontId="58" fillId="0" borderId="0" xfId="0" applyNumberFormat="1" applyFont="1" applyAlignment="1">
      <alignment horizontal="right" vertical="top"/>
    </xf>
    <xf numFmtId="0" fontId="56" fillId="0" borderId="10" xfId="0" applyFont="1" applyBorder="1" applyAlignment="1">
      <alignment horizontal="left" vertical="top"/>
    </xf>
    <xf numFmtId="0" fontId="55" fillId="0" borderId="5" xfId="0" applyFont="1" applyBorder="1" applyAlignment="1">
      <alignment horizontal="left" vertical="top"/>
    </xf>
    <xf numFmtId="182" fontId="59" fillId="0" borderId="5" xfId="1" applyNumberFormat="1" applyFont="1" applyFill="1" applyBorder="1" applyAlignment="1">
      <alignment vertical="top"/>
    </xf>
    <xf numFmtId="10" fontId="52" fillId="0" borderId="0" xfId="1" applyNumberFormat="1" applyFont="1" applyFill="1" applyAlignment="1">
      <alignment vertical="top"/>
    </xf>
    <xf numFmtId="0" fontId="55" fillId="0" borderId="42" xfId="0" applyFont="1" applyBorder="1" applyAlignment="1">
      <alignment horizontal="left" vertical="top"/>
    </xf>
    <xf numFmtId="10" fontId="52" fillId="0" borderId="42" xfId="1" applyNumberFormat="1" applyFont="1" applyFill="1" applyBorder="1" applyAlignment="1">
      <alignment vertical="top"/>
    </xf>
    <xf numFmtId="182" fontId="57" fillId="0" borderId="0" xfId="1" applyNumberFormat="1" applyFont="1" applyFill="1" applyBorder="1" applyAlignment="1">
      <alignment vertical="top"/>
    </xf>
    <xf numFmtId="183" fontId="58" fillId="0" borderId="0" xfId="0" applyNumberFormat="1" applyFont="1" applyAlignment="1">
      <alignment vertical="top"/>
    </xf>
    <xf numFmtId="0" fontId="59" fillId="8" borderId="44" xfId="0" applyFont="1" applyFill="1" applyBorder="1" applyAlignment="1">
      <alignment horizontal="left" vertical="top"/>
    </xf>
    <xf numFmtId="0" fontId="59" fillId="8" borderId="45" xfId="0" applyFont="1" applyFill="1" applyBorder="1" applyAlignment="1">
      <alignment horizontal="left" vertical="top"/>
    </xf>
    <xf numFmtId="182" fontId="59" fillId="8" borderId="46" xfId="1" applyNumberFormat="1" applyFont="1" applyFill="1" applyBorder="1" applyAlignment="1">
      <alignment vertical="top"/>
    </xf>
    <xf numFmtId="0" fontId="51" fillId="9" borderId="0" xfId="3" applyFont="1" applyFill="1" applyAlignment="1">
      <alignment vertical="center"/>
    </xf>
    <xf numFmtId="0" fontId="55" fillId="0" borderId="5" xfId="0" applyFont="1" applyBorder="1" applyAlignment="1">
      <alignment vertical="top"/>
    </xf>
    <xf numFmtId="183" fontId="59" fillId="0" borderId="5" xfId="0" applyNumberFormat="1" applyFont="1" applyBorder="1" applyAlignment="1">
      <alignment vertical="top"/>
    </xf>
    <xf numFmtId="0" fontId="62" fillId="0" borderId="0" xfId="0" applyFont="1" applyAlignment="1">
      <alignment vertical="center" wrapText="1"/>
    </xf>
    <xf numFmtId="0" fontId="61" fillId="0" borderId="0" xfId="4" applyFill="1" applyBorder="1" applyAlignment="1">
      <alignment vertical="center" wrapText="1"/>
    </xf>
    <xf numFmtId="0" fontId="61" fillId="0" borderId="0" xfId="4" applyFill="1" applyBorder="1" applyAlignment="1">
      <alignment horizontal="left" vertical="center" indent="2"/>
    </xf>
    <xf numFmtId="0" fontId="61" fillId="0" borderId="0" xfId="4" applyFill="1" applyBorder="1" applyAlignment="1">
      <alignment horizontal="left" vertical="center"/>
    </xf>
    <xf numFmtId="0" fontId="61" fillId="0" borderId="0" xfId="4" applyFill="1" applyBorder="1" applyAlignment="1">
      <alignment horizontal="right" vertical="center" wrapText="1"/>
    </xf>
    <xf numFmtId="0" fontId="63" fillId="0" borderId="0" xfId="0" applyFont="1" applyAlignment="1">
      <alignment horizontal="left" vertical="center" indent="2"/>
    </xf>
    <xf numFmtId="0" fontId="63" fillId="0" borderId="0" xfId="0" applyFont="1" applyAlignment="1">
      <alignment horizontal="right" vertical="center" wrapText="1"/>
    </xf>
    <xf numFmtId="10" fontId="0" fillId="0" borderId="0" xfId="1" applyNumberFormat="1" applyFont="1" applyFill="1" applyBorder="1"/>
    <xf numFmtId="0" fontId="52" fillId="0" borderId="5" xfId="0" applyFont="1" applyBorder="1" applyAlignment="1">
      <alignment vertical="top"/>
    </xf>
    <xf numFmtId="10" fontId="19" fillId="4" borderId="0" xfId="0" applyNumberFormat="1" applyFont="1" applyFill="1"/>
    <xf numFmtId="0" fontId="0" fillId="0" borderId="0" xfId="0" applyAlignment="1">
      <alignment horizontal="left"/>
    </xf>
    <xf numFmtId="180" fontId="46" fillId="0" borderId="5" xfId="0" applyNumberFormat="1" applyFont="1" applyBorder="1"/>
    <xf numFmtId="164" fontId="11" fillId="0" borderId="0" xfId="0" applyNumberFormat="1" applyFont="1" applyAlignment="1">
      <alignment horizontal="left" wrapText="1"/>
    </xf>
    <xf numFmtId="164" fontId="4" fillId="0" borderId="1" xfId="0" applyNumberFormat="1" applyFont="1" applyBorder="1"/>
    <xf numFmtId="167" fontId="5" fillId="0" borderId="2" xfId="0" applyNumberFormat="1" applyFont="1" applyBorder="1"/>
    <xf numFmtId="164" fontId="5" fillId="0" borderId="2" xfId="0" applyNumberFormat="1" applyFont="1" applyBorder="1"/>
    <xf numFmtId="167" fontId="4" fillId="0" borderId="0" xfId="0" applyNumberFormat="1" applyFont="1"/>
    <xf numFmtId="4" fontId="5" fillId="0" borderId="2" xfId="0" applyNumberFormat="1" applyFont="1" applyBorder="1"/>
    <xf numFmtId="4" fontId="4" fillId="0" borderId="0" xfId="0" applyNumberFormat="1" applyFont="1"/>
    <xf numFmtId="0" fontId="8" fillId="0" borderId="0" xfId="0" applyFont="1" applyAlignment="1">
      <alignment wrapText="1"/>
    </xf>
    <xf numFmtId="164" fontId="3" fillId="0" borderId="0" xfId="0" applyNumberFormat="1" applyFont="1"/>
    <xf numFmtId="2" fontId="4" fillId="0" borderId="0" xfId="0" applyNumberFormat="1" applyFont="1"/>
    <xf numFmtId="0" fontId="5" fillId="0" borderId="7" xfId="0" applyFont="1" applyBorder="1"/>
    <xf numFmtId="0" fontId="4" fillId="0" borderId="7" xfId="0" applyFont="1" applyBorder="1"/>
    <xf numFmtId="164" fontId="4" fillId="0" borderId="7" xfId="0" applyNumberFormat="1" applyFont="1" applyBorder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0" fontId="47" fillId="2" borderId="35" xfId="0" applyFont="1" applyFill="1" applyBorder="1" applyAlignment="1">
      <alignment horizontal="center"/>
    </xf>
    <xf numFmtId="0" fontId="47" fillId="2" borderId="0" xfId="0" applyFont="1" applyFill="1" applyAlignment="1">
      <alignment horizontal="center"/>
    </xf>
    <xf numFmtId="0" fontId="48" fillId="2" borderId="35" xfId="0" applyFont="1" applyFill="1" applyBorder="1" applyAlignment="1">
      <alignment horizontal="center"/>
    </xf>
    <xf numFmtId="0" fontId="48" fillId="2" borderId="0" xfId="0" applyFont="1" applyFill="1" applyAlignment="1">
      <alignment horizontal="center"/>
    </xf>
    <xf numFmtId="0" fontId="48" fillId="2" borderId="38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172" fontId="2" fillId="4" borderId="0" xfId="0" quotePrefix="1" applyNumberFormat="1" applyFont="1" applyFill="1" applyAlignment="1">
      <alignment horizontal="center"/>
    </xf>
    <xf numFmtId="172" fontId="2" fillId="4" borderId="0" xfId="0" applyNumberFormat="1" applyFont="1" applyFill="1" applyAlignment="1">
      <alignment horizontal="center"/>
    </xf>
    <xf numFmtId="0" fontId="53" fillId="0" borderId="42" xfId="0" applyFont="1" applyBorder="1" applyAlignment="1">
      <alignment horizontal="left"/>
    </xf>
    <xf numFmtId="0" fontId="55" fillId="0" borderId="0" xfId="0" applyFont="1" applyAlignment="1">
      <alignment horizontal="left" vertical="top"/>
    </xf>
    <xf numFmtId="0" fontId="60" fillId="9" borderId="0" xfId="3" applyFont="1" applyFill="1" applyAlignment="1">
      <alignment horizontal="center" vertical="center"/>
    </xf>
    <xf numFmtId="0" fontId="0" fillId="0" borderId="0" xfId="0" applyBorder="1"/>
    <xf numFmtId="0" fontId="3" fillId="0" borderId="0" xfId="0" applyFont="1" applyBorder="1" applyAlignment="1">
      <alignment wrapText="1"/>
    </xf>
    <xf numFmtId="0" fontId="11" fillId="0" borderId="0" xfId="0" applyFont="1" applyBorder="1" applyAlignment="1">
      <alignment wrapText="1"/>
    </xf>
    <xf numFmtId="164" fontId="2" fillId="0" borderId="0" xfId="0" applyNumberFormat="1" applyFont="1" applyBorder="1" applyAlignment="1">
      <alignment horizontal="right" wrapText="1"/>
    </xf>
    <xf numFmtId="0" fontId="14" fillId="0" borderId="0" xfId="0" applyFont="1" applyBorder="1" applyAlignment="1">
      <alignment horizontal="center" wrapText="1"/>
    </xf>
    <xf numFmtId="0" fontId="4" fillId="0" borderId="0" xfId="0" applyFont="1" applyBorder="1"/>
  </cellXfs>
  <cellStyles count="5">
    <cellStyle name="Comma" xfId="2" builtinId="3"/>
    <cellStyle name="Hyperlink" xfId="4" builtinId="8"/>
    <cellStyle name="Normal" xfId="0" builtinId="0"/>
    <cellStyle name="Normal 2" xfId="3" xr:uid="{E34E799E-DA69-4EE4-B697-BDCBB059E54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D1E7-5964-46B2-B0E1-7E8B109705C0}">
  <sheetPr codeName="Sheet1"/>
  <dimension ref="B1:V61"/>
  <sheetViews>
    <sheetView showGridLines="0" tabSelected="1" topLeftCell="B1" zoomScale="83" zoomScaleNormal="62" workbookViewId="0">
      <selection activeCell="B12" sqref="B12"/>
    </sheetView>
  </sheetViews>
  <sheetFormatPr defaultRowHeight="14.4" x14ac:dyDescent="0.3"/>
  <cols>
    <col min="1" max="1" width="2" customWidth="1"/>
    <col min="2" max="2" width="47.5546875" bestFit="1" customWidth="1"/>
    <col min="3" max="12" width="16.77734375" customWidth="1"/>
    <col min="15" max="15" width="47.44140625" customWidth="1"/>
    <col min="16" max="16" width="16.21875" customWidth="1"/>
    <col min="17" max="17" width="13.6640625" style="285" bestFit="1" customWidth="1"/>
    <col min="18" max="18" width="7.77734375" style="285" bestFit="1" customWidth="1"/>
    <col min="19" max="19" width="10.44140625" style="285" bestFit="1" customWidth="1"/>
    <col min="20" max="20" width="7" style="285" bestFit="1" customWidth="1"/>
    <col min="21" max="22" width="8.5546875" style="285" bestFit="1" customWidth="1"/>
  </cols>
  <sheetData>
    <row r="1" spans="2:12" ht="18" x14ac:dyDescent="0.35">
      <c r="B1" s="6" t="str">
        <f>BS!B1</f>
        <v xml:space="preserve">Particular </v>
      </c>
      <c r="C1" s="35">
        <f>BS!C1</f>
        <v>44286</v>
      </c>
      <c r="D1" s="35">
        <f>BS!D1</f>
        <v>44651</v>
      </c>
      <c r="E1" s="35">
        <f>BS!E1</f>
        <v>45016</v>
      </c>
      <c r="F1" s="35">
        <f>BS!F1</f>
        <v>45382</v>
      </c>
      <c r="G1" s="35">
        <f>BS!G1</f>
        <v>45747</v>
      </c>
      <c r="H1" s="36">
        <f>BS!H1</f>
        <v>46112</v>
      </c>
      <c r="I1" s="36">
        <f>BS!I1</f>
        <v>46477</v>
      </c>
      <c r="J1" s="36">
        <f>BS!J1</f>
        <v>46843</v>
      </c>
      <c r="K1" s="36">
        <f>BS!K1</f>
        <v>47208</v>
      </c>
      <c r="L1" s="36">
        <f>BS!L1</f>
        <v>47573</v>
      </c>
    </row>
    <row r="2" spans="2:12" x14ac:dyDescent="0.3">
      <c r="B2" s="7" t="s">
        <v>69</v>
      </c>
      <c r="C2" s="3"/>
      <c r="D2" s="3"/>
      <c r="E2" s="3"/>
      <c r="F2" s="3"/>
      <c r="G2" s="3"/>
      <c r="H2" s="5"/>
      <c r="I2" s="5"/>
      <c r="J2" s="5"/>
      <c r="K2" s="5"/>
      <c r="L2" s="3"/>
    </row>
    <row r="3" spans="2:12" x14ac:dyDescent="0.3">
      <c r="B3" s="17" t="s">
        <v>70</v>
      </c>
      <c r="C3" s="38">
        <v>135979.03</v>
      </c>
      <c r="D3" s="38">
        <v>156521.23000000001</v>
      </c>
      <c r="E3" s="38">
        <v>183340.7</v>
      </c>
      <c r="F3" s="38">
        <v>221112.91</v>
      </c>
      <c r="G3" s="38">
        <v>255734.45</v>
      </c>
      <c r="H3" s="288">
        <f>'NOTES '!H29</f>
        <v>292483.15845542215</v>
      </c>
      <c r="I3" s="288">
        <f>'NOTES '!I29</f>
        <v>334843.03225515445</v>
      </c>
      <c r="J3" s="288">
        <f>'NOTES '!J29</f>
        <v>383692.99607288494</v>
      </c>
      <c r="K3" s="288">
        <f>'NOTES '!K29</f>
        <v>440052.94909613364</v>
      </c>
      <c r="L3" s="288">
        <f>'NOTES '!L29</f>
        <v>505106.95533713326</v>
      </c>
    </row>
    <row r="4" spans="2:12" ht="15" thickBot="1" x14ac:dyDescent="0.35">
      <c r="B4" s="3" t="s">
        <v>71</v>
      </c>
      <c r="C4" s="10">
        <v>3429.35</v>
      </c>
      <c r="D4" s="10">
        <v>2267.08</v>
      </c>
      <c r="E4" s="10">
        <v>2929.17</v>
      </c>
      <c r="F4" s="10">
        <v>4158.03</v>
      </c>
      <c r="G4" s="10">
        <v>4124.82</v>
      </c>
      <c r="H4" s="14">
        <f>'NOTES '!H32</f>
        <v>4454.8055999999997</v>
      </c>
      <c r="I4" s="14">
        <f>'NOTES '!I32</f>
        <v>4811.1900479999995</v>
      </c>
      <c r="J4" s="14">
        <f>'NOTES '!J32</f>
        <v>5196.0852518399997</v>
      </c>
      <c r="K4" s="14">
        <f>'NOTES '!K32</f>
        <v>5611.7720719871995</v>
      </c>
      <c r="L4" s="14">
        <f>'NOTES '!L32</f>
        <v>6060.7138377461752</v>
      </c>
    </row>
    <row r="5" spans="2:12" ht="15" thickBot="1" x14ac:dyDescent="0.35">
      <c r="B5" s="43" t="s">
        <v>62</v>
      </c>
      <c r="C5" s="46">
        <f>SUM(C3:C4)</f>
        <v>139408.38</v>
      </c>
      <c r="D5" s="46">
        <f t="shared" ref="D5:E5" si="0">SUM(D3:D4)</f>
        <v>158788.31</v>
      </c>
      <c r="E5" s="46">
        <f t="shared" si="0"/>
        <v>186269.87000000002</v>
      </c>
      <c r="F5" s="46">
        <f>SUM(F3:F4)</f>
        <v>225270.94</v>
      </c>
      <c r="G5" s="46">
        <f>SUM(G3:G4)</f>
        <v>259859.27000000002</v>
      </c>
      <c r="H5" s="46">
        <f t="shared" ref="H5:K5" si="1">SUM(H3:H4)</f>
        <v>296937.96405542217</v>
      </c>
      <c r="I5" s="46">
        <f t="shared" si="1"/>
        <v>339654.22230315447</v>
      </c>
      <c r="J5" s="46">
        <f t="shared" si="1"/>
        <v>388889.08132472495</v>
      </c>
      <c r="K5" s="46">
        <f t="shared" si="1"/>
        <v>445664.72116812086</v>
      </c>
      <c r="L5" s="46">
        <f>SUM(L3:L4)</f>
        <v>511167.66917487944</v>
      </c>
    </row>
    <row r="6" spans="2:12" ht="4.95" customHeight="1" x14ac:dyDescent="0.3">
      <c r="B6" s="3"/>
      <c r="C6" s="9"/>
      <c r="D6" s="9"/>
      <c r="E6" s="9"/>
      <c r="F6" s="9"/>
      <c r="G6" s="9"/>
      <c r="H6" s="14"/>
      <c r="I6" s="14"/>
      <c r="J6" s="14"/>
      <c r="K6" s="14"/>
      <c r="L6" s="9" t="s">
        <v>52</v>
      </c>
    </row>
    <row r="7" spans="2:12" x14ac:dyDescent="0.3">
      <c r="B7" s="7" t="s">
        <v>68</v>
      </c>
      <c r="C7" s="9"/>
      <c r="D7" s="9"/>
      <c r="E7" s="9"/>
      <c r="F7" s="9"/>
      <c r="G7" s="9"/>
      <c r="H7" s="14"/>
      <c r="I7" s="14"/>
      <c r="J7" s="14"/>
      <c r="K7" s="14"/>
      <c r="L7" s="9"/>
    </row>
    <row r="8" spans="2:12" x14ac:dyDescent="0.3">
      <c r="B8" s="4" t="s">
        <v>80</v>
      </c>
      <c r="C8" s="9"/>
      <c r="D8" s="9"/>
      <c r="E8" s="9"/>
      <c r="F8" s="9"/>
      <c r="G8" s="9"/>
      <c r="H8" s="14"/>
      <c r="I8" s="14"/>
      <c r="J8" s="14"/>
      <c r="K8" s="14"/>
      <c r="L8" s="9"/>
    </row>
    <row r="9" spans="2:12" x14ac:dyDescent="0.3">
      <c r="B9" s="3" t="s">
        <v>72</v>
      </c>
      <c r="C9" s="10">
        <v>15562.05</v>
      </c>
      <c r="D9" s="10">
        <v>17100.84</v>
      </c>
      <c r="E9" s="10">
        <v>18995.11</v>
      </c>
      <c r="F9" s="10">
        <v>19442.25</v>
      </c>
      <c r="G9" s="10">
        <v>27655.02</v>
      </c>
      <c r="H9" s="14">
        <f>'NOTES '!H34</f>
        <v>30973.622400000004</v>
      </c>
      <c r="I9" s="14">
        <f>'NOTES '!I34</f>
        <v>34690.45708800001</v>
      </c>
      <c r="J9" s="14">
        <f>'NOTES '!J34</f>
        <v>38853.311938560015</v>
      </c>
      <c r="K9" s="14">
        <f>'NOTES '!K34</f>
        <v>43515.709371187222</v>
      </c>
      <c r="L9" s="14">
        <f>'NOTES '!L34</f>
        <v>48737.594495729696</v>
      </c>
    </row>
    <row r="10" spans="2:12" x14ac:dyDescent="0.3">
      <c r="B10" s="3" t="s">
        <v>73</v>
      </c>
      <c r="C10" s="10">
        <v>24558.23</v>
      </c>
      <c r="D10" s="10">
        <v>33506.21</v>
      </c>
      <c r="E10" s="10">
        <v>43237.35</v>
      </c>
      <c r="F10" s="10">
        <v>54813.97</v>
      </c>
      <c r="G10" s="10">
        <v>63526.44</v>
      </c>
      <c r="H10" s="14">
        <f>'NOTES '!H35</f>
        <v>77502.256800000003</v>
      </c>
      <c r="I10" s="14">
        <f>'NOTES '!I35</f>
        <v>94552.753295999995</v>
      </c>
      <c r="J10" s="14">
        <f>'NOTES '!J35</f>
        <v>115354.35902111999</v>
      </c>
      <c r="K10" s="14">
        <f>'NOTES '!K35</f>
        <v>140732.3180057664</v>
      </c>
      <c r="L10" s="14">
        <f>'NOTES '!L35</f>
        <v>171693.42796703501</v>
      </c>
    </row>
    <row r="11" spans="2:12" x14ac:dyDescent="0.3">
      <c r="B11" s="3" t="s">
        <v>74</v>
      </c>
      <c r="C11" s="10">
        <v>1213.58</v>
      </c>
      <c r="D11" s="10">
        <v>1069.5</v>
      </c>
      <c r="E11" s="10">
        <v>1052.8599999999999</v>
      </c>
      <c r="F11" s="10">
        <v>1063.77</v>
      </c>
      <c r="G11" s="10">
        <v>1402.14</v>
      </c>
      <c r="H11" s="14">
        <f>'NOTES '!H36</f>
        <v>1410.8929560893373</v>
      </c>
      <c r="I11" s="14">
        <f>'NOTES '!I36</f>
        <v>1419.7005531134612</v>
      </c>
      <c r="J11" s="14">
        <f>'NOTES '!J36</f>
        <v>1428.5631321721928</v>
      </c>
      <c r="K11" s="14">
        <f>'NOTES '!K36</f>
        <v>1437.481036494692</v>
      </c>
      <c r="L11" s="14">
        <f>'NOTES '!L36</f>
        <v>1446.4546114527511</v>
      </c>
    </row>
    <row r="12" spans="2:12" x14ac:dyDescent="0.3">
      <c r="B12" s="3" t="s">
        <v>75</v>
      </c>
      <c r="C12" s="10">
        <v>2032.89</v>
      </c>
      <c r="D12" s="10">
        <v>3091.07</v>
      </c>
      <c r="E12" s="10">
        <v>4814.8900000000003</v>
      </c>
      <c r="F12" s="10">
        <v>4432.0200000000004</v>
      </c>
      <c r="G12" s="10">
        <v>4393.3900000000003</v>
      </c>
      <c r="H12" s="14">
        <f>'NOTES '!H37</f>
        <v>4478.8067500530542</v>
      </c>
      <c r="I12" s="14">
        <f>'NOTES '!I37</f>
        <v>4565.8841815365358</v>
      </c>
      <c r="J12" s="14">
        <f>'NOTES '!J37</f>
        <v>4654.6545815933259</v>
      </c>
      <c r="K12" s="14">
        <f>'NOTES '!K37</f>
        <v>4745.1508650963297</v>
      </c>
      <c r="L12" s="14">
        <f>'NOTES '!L37</f>
        <v>4837.4065868528696</v>
      </c>
    </row>
    <row r="13" spans="2:12" x14ac:dyDescent="0.3">
      <c r="B13" s="3" t="s">
        <v>76</v>
      </c>
      <c r="C13" s="10">
        <v>22316.18</v>
      </c>
      <c r="D13" s="10">
        <v>24772.33</v>
      </c>
      <c r="E13" s="10">
        <v>25624.45</v>
      </c>
      <c r="F13" s="10">
        <v>35054.35</v>
      </c>
      <c r="G13" s="10">
        <v>40570.92</v>
      </c>
      <c r="H13" s="14">
        <f>'NOTES '!H38</f>
        <v>46807.798465388689</v>
      </c>
      <c r="I13" s="14">
        <f>'NOTES '!I38</f>
        <v>54003.458565308443</v>
      </c>
      <c r="J13" s="14">
        <f>'NOTES '!J38</f>
        <v>62305.291695601831</v>
      </c>
      <c r="K13" s="14">
        <f>'NOTES '!K38</f>
        <v>71883.347407822788</v>
      </c>
      <c r="L13" s="14">
        <f>'NOTES '!L38</f>
        <v>82933.816597772238</v>
      </c>
    </row>
    <row r="14" spans="2:12" x14ac:dyDescent="0.3">
      <c r="B14" s="3" t="s">
        <v>77</v>
      </c>
      <c r="C14" s="10">
        <v>343.37</v>
      </c>
      <c r="D14" s="10">
        <v>-2076.6</v>
      </c>
      <c r="E14" s="10">
        <v>-3156.64</v>
      </c>
      <c r="F14" s="10">
        <v>1021.07</v>
      </c>
      <c r="G14" s="10">
        <v>-410.79</v>
      </c>
      <c r="H14" s="14">
        <f>'NOTES '!H39</f>
        <v>-408.72682383209701</v>
      </c>
      <c r="I14" s="14">
        <f>'NOTES '!I39</f>
        <v>-406.67400988308879</v>
      </c>
      <c r="J14" s="14">
        <f>'NOTES '!J39</f>
        <v>-404.63150610914988</v>
      </c>
      <c r="K14" s="14">
        <f>'NOTES '!K39</f>
        <v>-402.59926072784287</v>
      </c>
      <c r="L14" s="14">
        <f>'NOTES '!L39</f>
        <v>-400.57722221680547</v>
      </c>
    </row>
    <row r="15" spans="2:12" x14ac:dyDescent="0.3">
      <c r="B15" s="3" t="s">
        <v>78</v>
      </c>
      <c r="C15" s="10">
        <v>12983.56</v>
      </c>
      <c r="D15" s="10">
        <v>16322.62</v>
      </c>
      <c r="E15" s="10">
        <v>20020.810000000001</v>
      </c>
      <c r="F15" s="10">
        <v>24486.49</v>
      </c>
      <c r="G15" s="10">
        <v>27533.55</v>
      </c>
      <c r="H15" s="14">
        <f>'NOTES '!H40</f>
        <v>30562.240500000004</v>
      </c>
      <c r="I15" s="14">
        <f>'NOTES '!I40</f>
        <v>33924.086955000006</v>
      </c>
      <c r="J15" s="14">
        <f>'NOTES '!J40</f>
        <v>37655.736520050013</v>
      </c>
      <c r="K15" s="14">
        <f>'NOTES '!K40</f>
        <v>41797.867537255515</v>
      </c>
      <c r="L15" s="14">
        <f>'NOTES '!L40</f>
        <v>46395.632966353623</v>
      </c>
    </row>
    <row r="16" spans="2:12" x14ac:dyDescent="0.3">
      <c r="B16" s="3" t="s">
        <v>79</v>
      </c>
      <c r="C16" s="10">
        <v>7691.04</v>
      </c>
      <c r="D16" s="10">
        <v>5952.54</v>
      </c>
      <c r="E16" s="10">
        <v>6026.44</v>
      </c>
      <c r="F16" s="10">
        <v>5714.9</v>
      </c>
      <c r="G16" s="10">
        <v>6302.23</v>
      </c>
      <c r="H16" s="14">
        <f>'NOTES '!H41</f>
        <v>6521.883922517256</v>
      </c>
      <c r="I16" s="14">
        <f>'NOTES '!I41</f>
        <v>6749.1935233701524</v>
      </c>
      <c r="J16" s="14">
        <f>'NOTES '!J41</f>
        <v>6984.4256287100588</v>
      </c>
      <c r="K16" s="14">
        <f>'NOTES '!K41</f>
        <v>7227.8563644775923</v>
      </c>
      <c r="L16" s="14">
        <f>'NOTES '!L41</f>
        <v>7479.7714805315636</v>
      </c>
    </row>
    <row r="17" spans="2:13" ht="15" thickBot="1" x14ac:dyDescent="0.35">
      <c r="B17" s="39" t="s">
        <v>83</v>
      </c>
      <c r="C17" s="47">
        <f>SUM(C9:C16)</f>
        <v>86700.89999999998</v>
      </c>
      <c r="D17" s="47">
        <f t="shared" ref="D17:L17" si="2">SUM(D9:D16)</f>
        <v>99738.51</v>
      </c>
      <c r="E17" s="47">
        <f t="shared" si="2"/>
        <v>116615.27</v>
      </c>
      <c r="F17" s="47">
        <f t="shared" si="2"/>
        <v>146028.82</v>
      </c>
      <c r="G17" s="47">
        <f t="shared" si="2"/>
        <v>170972.9</v>
      </c>
      <c r="H17" s="47">
        <f>SUM(H9:H16)</f>
        <v>197848.77497021627</v>
      </c>
      <c r="I17" s="47">
        <f t="shared" si="2"/>
        <v>229498.86015244556</v>
      </c>
      <c r="J17" s="47">
        <f t="shared" si="2"/>
        <v>266831.71101169824</v>
      </c>
      <c r="K17" s="47">
        <f t="shared" si="2"/>
        <v>310937.13132737268</v>
      </c>
      <c r="L17" s="47">
        <f t="shared" si="2"/>
        <v>363123.5274835109</v>
      </c>
    </row>
    <row r="18" spans="2:13" ht="15" thickBot="1" x14ac:dyDescent="0.35">
      <c r="B18" s="40" t="s">
        <v>84</v>
      </c>
      <c r="C18" s="46">
        <f>C3-C17+C4</f>
        <v>52707.480000000018</v>
      </c>
      <c r="D18" s="46">
        <f t="shared" ref="D18:F18" si="3">D3-D17+D4</f>
        <v>59049.800000000017</v>
      </c>
      <c r="E18" s="46">
        <f t="shared" si="3"/>
        <v>69654.600000000006</v>
      </c>
      <c r="F18" s="46">
        <f t="shared" si="3"/>
        <v>79242.12</v>
      </c>
      <c r="G18" s="46">
        <f>G3-G17+G4</f>
        <v>88886.370000000024</v>
      </c>
      <c r="H18" s="46">
        <f t="shared" ref="H18:L18" si="4">H3-H17+H4</f>
        <v>99089.189085205871</v>
      </c>
      <c r="I18" s="46">
        <f t="shared" si="4"/>
        <v>110155.3621507089</v>
      </c>
      <c r="J18" s="46">
        <f t="shared" si="4"/>
        <v>122057.37031302671</v>
      </c>
      <c r="K18" s="46">
        <f t="shared" si="4"/>
        <v>134727.58984074814</v>
      </c>
      <c r="L18" s="46">
        <f t="shared" si="4"/>
        <v>148044.14169136854</v>
      </c>
    </row>
    <row r="19" spans="2:13" ht="4.95" customHeight="1" x14ac:dyDescent="0.3">
      <c r="B19" s="3"/>
      <c r="C19" s="9"/>
      <c r="D19" s="9"/>
      <c r="E19" s="9"/>
      <c r="F19" s="9"/>
      <c r="G19" s="9"/>
      <c r="H19" s="14"/>
      <c r="I19" s="14"/>
      <c r="J19" s="14"/>
      <c r="K19" s="14"/>
      <c r="L19" s="9" t="s">
        <v>52</v>
      </c>
    </row>
    <row r="20" spans="2:13" x14ac:dyDescent="0.3">
      <c r="B20" s="3" t="s">
        <v>81</v>
      </c>
      <c r="C20" s="10">
        <v>24750.54</v>
      </c>
      <c r="D20" s="10">
        <v>29733.53</v>
      </c>
      <c r="E20" s="10">
        <v>37214.11</v>
      </c>
      <c r="F20" s="10">
        <v>41171.019999999997</v>
      </c>
      <c r="G20" s="10">
        <v>46768.68</v>
      </c>
      <c r="H20" s="14">
        <f>'NOTES '!H44</f>
        <v>46797.305352867545</v>
      </c>
      <c r="I20" s="14">
        <f>'NOTES '!I44</f>
        <v>53574.885160824713</v>
      </c>
      <c r="J20" s="14">
        <f>'NOTES '!J44</f>
        <v>61390.879371661591</v>
      </c>
      <c r="K20" s="14">
        <f>'NOTES '!K44</f>
        <v>70408.471855381387</v>
      </c>
      <c r="L20" s="14">
        <f>'NOTES '!L44</f>
        <v>80817.112853941318</v>
      </c>
    </row>
    <row r="21" spans="2:13" x14ac:dyDescent="0.3">
      <c r="B21" s="3" t="s">
        <v>82</v>
      </c>
      <c r="C21" s="10">
        <v>8903.49</v>
      </c>
      <c r="D21" s="10">
        <v>8831.89</v>
      </c>
      <c r="E21" s="10">
        <v>8758.0400000000009</v>
      </c>
      <c r="F21" s="10">
        <v>10419.42</v>
      </c>
      <c r="G21" s="10">
        <v>11558.13</v>
      </c>
      <c r="H21" s="14">
        <f>'NOTES '!H45</f>
        <v>8774.4947536626642</v>
      </c>
      <c r="I21" s="14">
        <f>'NOTES '!I45</f>
        <v>10045.290967654633</v>
      </c>
      <c r="J21" s="14">
        <f>'NOTES '!J45</f>
        <v>11510.789882186547</v>
      </c>
      <c r="K21" s="14">
        <f>'NOTES '!K45</f>
        <v>13201.588472884008</v>
      </c>
      <c r="L21" s="14">
        <f>'NOTES '!L45</f>
        <v>15153.208660113996</v>
      </c>
    </row>
    <row r="22" spans="2:13" ht="15" thickBot="1" x14ac:dyDescent="0.35">
      <c r="B22" s="1" t="s">
        <v>65</v>
      </c>
      <c r="C22" s="48">
        <f>SUM(C20:C21)</f>
        <v>33654.03</v>
      </c>
      <c r="D22" s="48">
        <f t="shared" ref="D22:L22" si="5">SUM(D20:D21)</f>
        <v>38565.42</v>
      </c>
      <c r="E22" s="48">
        <f t="shared" si="5"/>
        <v>45972.15</v>
      </c>
      <c r="F22" s="48">
        <f t="shared" si="5"/>
        <v>51590.439999999995</v>
      </c>
      <c r="G22" s="48">
        <f t="shared" si="5"/>
        <v>58326.81</v>
      </c>
      <c r="H22" s="48">
        <f t="shared" si="5"/>
        <v>55571.800106530209</v>
      </c>
      <c r="I22" s="48">
        <f t="shared" si="5"/>
        <v>63620.176128479347</v>
      </c>
      <c r="J22" s="48">
        <f t="shared" si="5"/>
        <v>72901.669253848144</v>
      </c>
      <c r="K22" s="48">
        <f t="shared" si="5"/>
        <v>83610.06032826539</v>
      </c>
      <c r="L22" s="48">
        <f t="shared" si="5"/>
        <v>95970.321514055307</v>
      </c>
    </row>
    <row r="23" spans="2:13" ht="15.6" thickTop="1" thickBot="1" x14ac:dyDescent="0.35">
      <c r="B23" s="44" t="s">
        <v>85</v>
      </c>
      <c r="C23" s="289">
        <f>C18-C22</f>
        <v>19053.450000000019</v>
      </c>
      <c r="D23" s="289">
        <f t="shared" ref="D23:L23" si="6">D18-D22</f>
        <v>20484.380000000019</v>
      </c>
      <c r="E23" s="289">
        <f t="shared" si="6"/>
        <v>23682.450000000004</v>
      </c>
      <c r="F23" s="289">
        <f t="shared" si="6"/>
        <v>27651.68</v>
      </c>
      <c r="G23" s="289">
        <f t="shared" si="6"/>
        <v>30559.560000000027</v>
      </c>
      <c r="H23" s="290">
        <f>H18-H22</f>
        <v>43517.388978675663</v>
      </c>
      <c r="I23" s="290">
        <f t="shared" si="6"/>
        <v>46535.186022229551</v>
      </c>
      <c r="J23" s="290">
        <f t="shared" si="6"/>
        <v>49155.701059178566</v>
      </c>
      <c r="K23" s="290">
        <f t="shared" si="6"/>
        <v>51117.529512482753</v>
      </c>
      <c r="L23" s="290">
        <f t="shared" si="6"/>
        <v>52073.820177313231</v>
      </c>
      <c r="M23" s="68"/>
    </row>
    <row r="24" spans="2:13" ht="4.95" customHeight="1" thickTop="1" x14ac:dyDescent="0.3">
      <c r="B24" s="3"/>
      <c r="C24" s="291"/>
      <c r="D24" s="291"/>
      <c r="E24" s="291"/>
      <c r="F24" s="291"/>
      <c r="G24" s="291"/>
      <c r="H24" s="14"/>
      <c r="I24" s="14"/>
      <c r="J24" s="14"/>
      <c r="K24" s="14"/>
      <c r="L24" s="9" t="s">
        <v>52</v>
      </c>
    </row>
    <row r="25" spans="2:13" ht="15" thickBot="1" x14ac:dyDescent="0.35">
      <c r="B25" s="3" t="s">
        <v>64</v>
      </c>
      <c r="C25" s="10">
        <v>2904.21</v>
      </c>
      <c r="D25" s="10">
        <v>2947.95</v>
      </c>
      <c r="E25" s="10">
        <v>3502.25</v>
      </c>
      <c r="F25" s="10">
        <v>3682.33</v>
      </c>
      <c r="G25" s="10">
        <v>4121.18</v>
      </c>
      <c r="H25" s="14">
        <f>'NOTES '!H79</f>
        <v>4389.1667427457805</v>
      </c>
      <c r="I25" s="14">
        <f>'NOTES '!I79</f>
        <v>4790.8513208410814</v>
      </c>
      <c r="J25" s="14">
        <f>'NOTES '!J79</f>
        <v>5247.6594486170079</v>
      </c>
      <c r="K25" s="14">
        <f>'NOTES '!K79</f>
        <v>5767.8142244638993</v>
      </c>
      <c r="L25" s="14">
        <f>'NOTES '!L79</f>
        <v>6360.8168898336853</v>
      </c>
    </row>
    <row r="26" spans="2:13" ht="15.6" thickTop="1" thickBot="1" x14ac:dyDescent="0.35">
      <c r="B26" s="44" t="s">
        <v>86</v>
      </c>
      <c r="C26" s="292">
        <f>C23-C25</f>
        <v>16149.24000000002</v>
      </c>
      <c r="D26" s="292">
        <f t="shared" ref="D26:F26" si="7">D23-D25</f>
        <v>17536.430000000018</v>
      </c>
      <c r="E26" s="292">
        <f t="shared" si="7"/>
        <v>20180.200000000004</v>
      </c>
      <c r="F26" s="292">
        <f t="shared" si="7"/>
        <v>23969.35</v>
      </c>
      <c r="G26" s="292">
        <f>G23-G25</f>
        <v>26438.380000000026</v>
      </c>
      <c r="H26" s="290">
        <f t="shared" ref="H26:L26" si="8">H23-H25</f>
        <v>39128.222235929883</v>
      </c>
      <c r="I26" s="290">
        <f t="shared" si="8"/>
        <v>41744.33470138847</v>
      </c>
      <c r="J26" s="290">
        <f t="shared" si="8"/>
        <v>43908.041610561559</v>
      </c>
      <c r="K26" s="290">
        <f t="shared" si="8"/>
        <v>45349.715288018851</v>
      </c>
      <c r="L26" s="290">
        <f t="shared" si="8"/>
        <v>45713.003287479543</v>
      </c>
    </row>
    <row r="27" spans="2:13" ht="4.95" customHeight="1" thickTop="1" x14ac:dyDescent="0.3">
      <c r="B27" s="3"/>
      <c r="C27" s="293"/>
      <c r="D27" s="293"/>
      <c r="E27" s="293"/>
      <c r="F27" s="293"/>
      <c r="G27" s="293"/>
      <c r="H27" s="14"/>
      <c r="I27" s="14"/>
      <c r="J27" s="14"/>
      <c r="K27" s="14"/>
      <c r="L27" s="9" t="s">
        <v>52</v>
      </c>
    </row>
    <row r="28" spans="2:13" x14ac:dyDescent="0.3">
      <c r="B28" s="3" t="s">
        <v>66</v>
      </c>
      <c r="C28" s="10">
        <v>-3693.78</v>
      </c>
      <c r="D28" s="10">
        <v>119.7</v>
      </c>
      <c r="E28" s="10">
        <v>-91.97</v>
      </c>
      <c r="F28" s="10">
        <v>114.44</v>
      </c>
      <c r="G28" s="10">
        <v>474.78</v>
      </c>
      <c r="H28" s="14">
        <f>G28</f>
        <v>474.78</v>
      </c>
      <c r="I28" s="14">
        <f t="shared" ref="I28:L28" si="9">H28</f>
        <v>474.78</v>
      </c>
      <c r="J28" s="14">
        <f t="shared" si="9"/>
        <v>474.78</v>
      </c>
      <c r="K28" s="14">
        <f t="shared" si="9"/>
        <v>474.78</v>
      </c>
      <c r="L28" s="14">
        <f t="shared" si="9"/>
        <v>474.78</v>
      </c>
    </row>
    <row r="29" spans="2:13" x14ac:dyDescent="0.3">
      <c r="B29" s="3" t="s">
        <v>63</v>
      </c>
      <c r="C29" s="10">
        <v>-3913.44</v>
      </c>
      <c r="D29" s="10">
        <v>-3125.7</v>
      </c>
      <c r="E29" s="10">
        <v>-3207.16</v>
      </c>
      <c r="F29" s="10">
        <v>-3545.85</v>
      </c>
      <c r="G29" s="10">
        <v>-3334.37</v>
      </c>
      <c r="H29" s="14">
        <f>-'NOTES '!H83</f>
        <v>-3510.3169841412787</v>
      </c>
      <c r="I29" s="14">
        <f>-'NOTES '!I83</f>
        <v>-3695.5482832291323</v>
      </c>
      <c r="J29" s="14">
        <f>-'NOTES '!J83</f>
        <v>-3890.5538090653909</v>
      </c>
      <c r="K29" s="14">
        <f>-'NOTES '!K83</f>
        <v>-4095.8493249632725</v>
      </c>
      <c r="L29" s="14">
        <f>-'NOTES '!L83</f>
        <v>-4311.9778098717798</v>
      </c>
    </row>
    <row r="30" spans="2:13" ht="4.95" customHeight="1" thickBot="1" x14ac:dyDescent="0.35">
      <c r="B30" s="3"/>
      <c r="C30" s="12"/>
      <c r="D30" s="12"/>
      <c r="E30" s="12"/>
      <c r="F30" s="12"/>
      <c r="G30" s="12"/>
      <c r="H30" s="14"/>
      <c r="I30" s="14"/>
      <c r="J30" s="14"/>
      <c r="K30" s="14"/>
      <c r="L30" s="9" t="s">
        <v>52</v>
      </c>
    </row>
    <row r="31" spans="2:13" ht="15.6" thickTop="1" thickBot="1" x14ac:dyDescent="0.35">
      <c r="B31" s="44" t="s">
        <v>87</v>
      </c>
      <c r="C31" s="20">
        <f>SUM(C26:C29)</f>
        <v>8542.0200000000186</v>
      </c>
      <c r="D31" s="20">
        <f t="shared" ref="D31:K31" si="10">SUM(D26:D29)</f>
        <v>14530.430000000018</v>
      </c>
      <c r="E31" s="20">
        <f t="shared" si="10"/>
        <v>16881.070000000003</v>
      </c>
      <c r="F31" s="20">
        <f t="shared" si="10"/>
        <v>20537.939999999999</v>
      </c>
      <c r="G31" s="20">
        <f>SUM(G26:G29)</f>
        <v>23578.790000000026</v>
      </c>
      <c r="H31" s="20">
        <f t="shared" si="10"/>
        <v>36092.6852517886</v>
      </c>
      <c r="I31" s="20">
        <f t="shared" si="10"/>
        <v>38523.566418159338</v>
      </c>
      <c r="J31" s="20">
        <f t="shared" si="10"/>
        <v>40492.267801496164</v>
      </c>
      <c r="K31" s="20">
        <f t="shared" si="10"/>
        <v>41728.645963055576</v>
      </c>
      <c r="L31" s="20">
        <f>SUM(L26:L29)</f>
        <v>41875.805477607762</v>
      </c>
    </row>
    <row r="32" spans="2:13" ht="4.95" customHeight="1" thickTop="1" x14ac:dyDescent="0.3">
      <c r="B32" s="294"/>
      <c r="C32" s="12"/>
      <c r="D32" s="12"/>
      <c r="E32" s="12"/>
      <c r="F32" s="12"/>
      <c r="G32" s="12"/>
      <c r="H32" s="14"/>
      <c r="I32" s="14"/>
      <c r="J32" s="14"/>
      <c r="K32" s="14"/>
      <c r="L32" s="9" t="s">
        <v>52</v>
      </c>
    </row>
    <row r="33" spans="2:22" x14ac:dyDescent="0.3">
      <c r="B33" s="4" t="s">
        <v>88</v>
      </c>
      <c r="C33" s="10">
        <v>-4010.8199999999997</v>
      </c>
      <c r="D33" s="10">
        <v>-4216.6100000000006</v>
      </c>
      <c r="E33" s="10">
        <v>-4484.16</v>
      </c>
      <c r="F33" s="10">
        <v>-4947.3899999999994</v>
      </c>
      <c r="G33" s="10">
        <v>-5891.4</v>
      </c>
      <c r="H33" s="295">
        <f>-25%*H31</f>
        <v>-9023.17131294715</v>
      </c>
      <c r="I33" s="295">
        <f t="shared" ref="I33:L33" si="11">-25%*I31</f>
        <v>-9630.8916045398346</v>
      </c>
      <c r="J33" s="295">
        <f t="shared" si="11"/>
        <v>-10123.066950374041</v>
      </c>
      <c r="K33" s="295">
        <f t="shared" si="11"/>
        <v>-10432.161490763894</v>
      </c>
      <c r="L33" s="295">
        <f t="shared" si="11"/>
        <v>-10468.951369401941</v>
      </c>
      <c r="M33" s="53"/>
    </row>
    <row r="34" spans="2:22" ht="4.95" customHeight="1" thickBot="1" x14ac:dyDescent="0.35">
      <c r="B34" s="5"/>
      <c r="C34" s="5"/>
      <c r="D34" s="5"/>
      <c r="E34" s="5"/>
      <c r="F34" s="5"/>
      <c r="G34" s="5"/>
      <c r="H34" s="14"/>
      <c r="I34" s="14"/>
      <c r="J34" s="14"/>
      <c r="K34" s="14"/>
      <c r="L34" s="9" t="s">
        <v>52</v>
      </c>
    </row>
    <row r="35" spans="2:22" ht="15.6" thickTop="1" thickBot="1" x14ac:dyDescent="0.35">
      <c r="B35" s="44" t="s">
        <v>67</v>
      </c>
      <c r="C35" s="20">
        <f>SUM(C31:C33)</f>
        <v>4531.2000000000189</v>
      </c>
      <c r="D35" s="20">
        <f t="shared" ref="D35:E35" si="12">SUM(D31:D33)</f>
        <v>10313.820000000018</v>
      </c>
      <c r="E35" s="20">
        <f t="shared" si="12"/>
        <v>12396.910000000003</v>
      </c>
      <c r="F35" s="20">
        <f>SUM(F31:F33)</f>
        <v>15590.55</v>
      </c>
      <c r="G35" s="20">
        <f>SUM(G31:G33)</f>
        <v>17687.390000000029</v>
      </c>
      <c r="H35" s="20">
        <f t="shared" ref="H35:L35" si="13">SUM(H31:H33)</f>
        <v>27069.51393884145</v>
      </c>
      <c r="I35" s="20">
        <f t="shared" si="13"/>
        <v>28892.674813619502</v>
      </c>
      <c r="J35" s="20">
        <f t="shared" si="13"/>
        <v>30369.200851122121</v>
      </c>
      <c r="K35" s="20">
        <f t="shared" si="13"/>
        <v>31296.484472291682</v>
      </c>
      <c r="L35" s="20">
        <f t="shared" si="13"/>
        <v>31406.854108205822</v>
      </c>
    </row>
    <row r="36" spans="2:22" ht="16.2" thickTop="1" x14ac:dyDescent="0.3">
      <c r="B36" s="294"/>
      <c r="C36" s="14"/>
      <c r="D36" s="14"/>
      <c r="E36" s="14"/>
      <c r="F36" s="14"/>
      <c r="G36" s="14"/>
      <c r="H36" s="14"/>
      <c r="I36" s="14"/>
      <c r="J36" s="14"/>
      <c r="K36" s="14"/>
      <c r="L36" s="9"/>
    </row>
    <row r="37" spans="2:22" ht="15" thickBot="1" x14ac:dyDescent="0.35">
      <c r="B37" s="5" t="s">
        <v>90</v>
      </c>
      <c r="C37" s="296">
        <f t="shared" ref="C37:F37" si="14">(C35/C38)*10000000</f>
        <v>32.260744804268242</v>
      </c>
      <c r="D37" s="296">
        <f t="shared" si="14"/>
        <v>73.40644995299516</v>
      </c>
      <c r="E37" s="296">
        <f t="shared" si="14"/>
        <v>88.203963651791298</v>
      </c>
      <c r="F37" s="296">
        <f t="shared" si="14"/>
        <v>113.41315124616224</v>
      </c>
      <c r="G37" s="296">
        <f>(G35/G38)*10000000</f>
        <v>128.61758850989403</v>
      </c>
      <c r="H37" s="296">
        <f t="shared" ref="H37:L37" si="15">(H35/H38)*10000000</f>
        <v>196.84168240473832</v>
      </c>
      <c r="I37" s="296">
        <f t="shared" si="15"/>
        <v>210.09918140145527</v>
      </c>
      <c r="J37" s="296">
        <f t="shared" si="15"/>
        <v>220.83605203729562</v>
      </c>
      <c r="K37" s="296">
        <f t="shared" si="15"/>
        <v>227.57899054996204</v>
      </c>
      <c r="L37" s="296">
        <f t="shared" si="15"/>
        <v>228.38156664603903</v>
      </c>
    </row>
    <row r="38" spans="2:22" ht="15" thickBot="1" x14ac:dyDescent="0.35">
      <c r="B38" s="297" t="s">
        <v>89</v>
      </c>
      <c r="C38" s="298">
        <v>1404555297</v>
      </c>
      <c r="D38" s="298">
        <v>1405029123</v>
      </c>
      <c r="E38" s="298">
        <v>1405482190</v>
      </c>
      <c r="F38" s="298">
        <v>1374668619</v>
      </c>
      <c r="G38" s="298">
        <v>1375192165</v>
      </c>
      <c r="H38" s="299">
        <v>1375192165</v>
      </c>
      <c r="I38" s="299">
        <v>1375192165</v>
      </c>
      <c r="J38" s="299">
        <v>1375192165</v>
      </c>
      <c r="K38" s="299">
        <v>1375192165</v>
      </c>
      <c r="L38" s="299">
        <v>1375192165</v>
      </c>
    </row>
    <row r="40" spans="2:22" x14ac:dyDescent="0.3">
      <c r="Q40"/>
      <c r="R40"/>
      <c r="S40"/>
      <c r="T40"/>
      <c r="U40"/>
      <c r="V40"/>
    </row>
    <row r="41" spans="2:22" x14ac:dyDescent="0.3">
      <c r="Q41"/>
      <c r="R41"/>
      <c r="S41"/>
      <c r="T41"/>
      <c r="U41"/>
      <c r="V41"/>
    </row>
    <row r="42" spans="2:22" x14ac:dyDescent="0.3">
      <c r="Q42"/>
      <c r="R42"/>
      <c r="S42"/>
      <c r="T42"/>
      <c r="U42"/>
      <c r="V42"/>
    </row>
    <row r="43" spans="2:22" x14ac:dyDescent="0.3">
      <c r="Q43"/>
      <c r="R43"/>
      <c r="S43"/>
      <c r="T43"/>
      <c r="U43"/>
      <c r="V43"/>
    </row>
    <row r="44" spans="2:22" x14ac:dyDescent="0.3">
      <c r="Q44"/>
      <c r="R44"/>
      <c r="S44"/>
      <c r="T44"/>
      <c r="U44"/>
      <c r="V44"/>
    </row>
    <row r="45" spans="2:22" x14ac:dyDescent="0.3">
      <c r="Q45"/>
      <c r="R45"/>
      <c r="S45"/>
      <c r="T45"/>
      <c r="U45"/>
      <c r="V45"/>
    </row>
    <row r="46" spans="2:22" x14ac:dyDescent="0.3">
      <c r="Q46"/>
      <c r="R46"/>
      <c r="S46"/>
      <c r="T46"/>
      <c r="U46"/>
      <c r="V46"/>
    </row>
    <row r="47" spans="2:22" x14ac:dyDescent="0.3">
      <c r="Q47"/>
      <c r="R47"/>
      <c r="S47"/>
      <c r="T47"/>
      <c r="U47"/>
      <c r="V47"/>
    </row>
    <row r="48" spans="2:22" x14ac:dyDescent="0.3">
      <c r="Q48"/>
      <c r="R48"/>
      <c r="S48"/>
      <c r="T48"/>
      <c r="U48"/>
      <c r="V4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</sheetData>
  <sheetProtection algorithmName="SHA-512" hashValue="p/kNLHgwjM5f8cweeyczSaULbMMu9J1BSLl9d0IIEGKLk+R6+yQ3rJ826qbnfiVmY7Ifn6BKWjBPuVHBwp8FEA==" saltValue="rd30U473Y3fzhtBKZMGz9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7EBE-FA3E-4087-9544-86506058FAB1}">
  <sheetPr codeName="Sheet2"/>
  <dimension ref="A1:S1043"/>
  <sheetViews>
    <sheetView showGridLines="0" topLeftCell="B1" zoomScale="96" workbookViewId="0">
      <pane ySplit="1" topLeftCell="A2" activePane="bottomLeft" state="frozen"/>
      <selection pane="bottomLeft" activeCell="H58" sqref="H58"/>
    </sheetView>
  </sheetViews>
  <sheetFormatPr defaultColWidth="10.109375" defaultRowHeight="14.4" x14ac:dyDescent="0.3"/>
  <cols>
    <col min="1" max="1" width="2" customWidth="1"/>
    <col min="2" max="2" width="45.44140625" style="5" bestFit="1" customWidth="1"/>
    <col min="3" max="7" width="15.77734375" style="5" customWidth="1"/>
    <col min="8" max="8" width="17.6640625" style="5" bestFit="1" customWidth="1"/>
    <col min="9" max="12" width="15.77734375" style="5" customWidth="1"/>
    <col min="13" max="13" width="10.109375" style="322"/>
    <col min="14" max="16384" width="10.109375" style="5"/>
  </cols>
  <sheetData>
    <row r="1" spans="1:19" customFormat="1" ht="18" x14ac:dyDescent="0.35">
      <c r="B1" s="6" t="s">
        <v>49</v>
      </c>
      <c r="C1" s="35">
        <v>44286</v>
      </c>
      <c r="D1" s="35">
        <f>EDATE(C1,12)</f>
        <v>44651</v>
      </c>
      <c r="E1" s="35">
        <f>EDATE(D1,12)</f>
        <v>45016</v>
      </c>
      <c r="F1" s="35">
        <f t="shared" ref="F1:L1" si="0">EDATE(E1,12)</f>
        <v>45382</v>
      </c>
      <c r="G1" s="35">
        <f t="shared" si="0"/>
        <v>45747</v>
      </c>
      <c r="H1" s="36">
        <f t="shared" si="0"/>
        <v>46112</v>
      </c>
      <c r="I1" s="36">
        <f t="shared" si="0"/>
        <v>46477</v>
      </c>
      <c r="J1" s="36">
        <f t="shared" si="0"/>
        <v>46843</v>
      </c>
      <c r="K1" s="36">
        <f t="shared" si="0"/>
        <v>47208</v>
      </c>
      <c r="L1" s="36">
        <f t="shared" si="0"/>
        <v>47573</v>
      </c>
      <c r="M1" s="317"/>
    </row>
    <row r="2" spans="1:19" x14ac:dyDescent="0.3">
      <c r="B2" s="8" t="s">
        <v>0</v>
      </c>
      <c r="C2" s="9"/>
      <c r="D2" s="9"/>
      <c r="E2" s="3"/>
      <c r="F2" s="3"/>
      <c r="G2" s="3"/>
      <c r="H2" s="3"/>
      <c r="I2" s="3"/>
      <c r="J2" s="3"/>
      <c r="K2" s="3"/>
      <c r="L2" s="3"/>
      <c r="M2" s="318"/>
      <c r="N2" s="3"/>
      <c r="O2" s="3"/>
      <c r="P2" s="3"/>
      <c r="Q2" s="3"/>
      <c r="R2" s="3"/>
      <c r="S2" s="3"/>
    </row>
    <row r="3" spans="1:19" x14ac:dyDescent="0.3">
      <c r="B3" s="3" t="s">
        <v>15</v>
      </c>
      <c r="C3" s="10">
        <v>11386.29</v>
      </c>
      <c r="D3" s="10">
        <v>10578.87</v>
      </c>
      <c r="E3" s="10">
        <v>11336.28</v>
      </c>
      <c r="F3" s="10">
        <v>13297.64</v>
      </c>
      <c r="G3" s="10">
        <v>14128.56</v>
      </c>
      <c r="H3" s="9">
        <f>'NOTES '!H53</f>
        <v>15025.506369123914</v>
      </c>
      <c r="I3" s="9">
        <f>'NOTES '!I53</f>
        <v>16112.805234293006</v>
      </c>
      <c r="J3" s="9">
        <f>'NOTES '!J53</f>
        <v>17422.221855621621</v>
      </c>
      <c r="K3" s="9">
        <f>'NOTES '!K53</f>
        <v>18990.690038361972</v>
      </c>
      <c r="L3" s="9">
        <f>'NOTES '!L53</f>
        <v>20861.170326511201</v>
      </c>
      <c r="M3" s="318"/>
      <c r="N3" s="3"/>
      <c r="O3" s="3"/>
      <c r="P3" s="3"/>
      <c r="Q3" s="3"/>
      <c r="R3" s="3"/>
    </row>
    <row r="4" spans="1:19" x14ac:dyDescent="0.3">
      <c r="B4" s="3" t="s">
        <v>16</v>
      </c>
      <c r="C4" s="10">
        <v>388.37</v>
      </c>
      <c r="D4" s="10">
        <v>1170.32</v>
      </c>
      <c r="E4" s="10">
        <v>2949.09</v>
      </c>
      <c r="F4" s="10">
        <v>2897.04</v>
      </c>
      <c r="G4" s="10">
        <v>2390.86</v>
      </c>
      <c r="H4" s="9">
        <f>G4</f>
        <v>2390.86</v>
      </c>
      <c r="I4" s="9">
        <f t="shared" ref="I4:L4" si="1">H4</f>
        <v>2390.86</v>
      </c>
      <c r="J4" s="9">
        <f t="shared" si="1"/>
        <v>2390.86</v>
      </c>
      <c r="K4" s="9">
        <f t="shared" si="1"/>
        <v>2390.86</v>
      </c>
      <c r="L4" s="9">
        <f t="shared" si="1"/>
        <v>2390.86</v>
      </c>
      <c r="M4" s="318"/>
      <c r="N4" s="3"/>
      <c r="O4" s="3"/>
      <c r="P4" s="3"/>
      <c r="Q4" s="3"/>
      <c r="R4" s="3"/>
    </row>
    <row r="5" spans="1:19" x14ac:dyDescent="0.3">
      <c r="B5" s="3" t="s">
        <v>17</v>
      </c>
      <c r="C5" s="10">
        <v>3646.78</v>
      </c>
      <c r="D5" s="10">
        <v>3962.98</v>
      </c>
      <c r="E5" s="10">
        <v>3360.22</v>
      </c>
      <c r="F5" s="10">
        <v>1936.44</v>
      </c>
      <c r="G5" s="10">
        <v>1157.33</v>
      </c>
      <c r="H5" s="9">
        <f>'NOTES '!H61</f>
        <v>1131.257349528631</v>
      </c>
      <c r="I5" s="9">
        <f>'NOTES '!I61</f>
        <v>1108.1660340558149</v>
      </c>
      <c r="J5" s="9">
        <f>'NOTES '!J61</f>
        <v>1088.5226429081151</v>
      </c>
      <c r="K5" s="9">
        <f>'NOTES '!K61</f>
        <v>1072.8677551724024</v>
      </c>
      <c r="L5" s="9">
        <f>'NOTES '!L61</f>
        <v>1061.8279482519231</v>
      </c>
      <c r="M5" s="318"/>
      <c r="N5" s="3"/>
      <c r="O5" s="3"/>
      <c r="P5" s="3"/>
      <c r="Q5" s="3"/>
      <c r="R5" s="3"/>
    </row>
    <row r="6" spans="1:19" x14ac:dyDescent="0.3">
      <c r="B6" s="3" t="s">
        <v>58</v>
      </c>
      <c r="C6" s="10"/>
      <c r="D6" s="10"/>
      <c r="E6" s="10"/>
      <c r="F6" s="10">
        <v>254.93</v>
      </c>
      <c r="G6" s="10">
        <v>501.3</v>
      </c>
      <c r="H6" s="9">
        <f>G6</f>
        <v>501.3</v>
      </c>
      <c r="I6" s="9">
        <f t="shared" ref="I6:L6" si="2">H6</f>
        <v>501.3</v>
      </c>
      <c r="J6" s="9">
        <f t="shared" si="2"/>
        <v>501.3</v>
      </c>
      <c r="K6" s="9">
        <f t="shared" si="2"/>
        <v>501.3</v>
      </c>
      <c r="L6" s="9">
        <f t="shared" si="2"/>
        <v>501.3</v>
      </c>
      <c r="M6" s="318"/>
      <c r="N6" s="3"/>
      <c r="O6" s="3"/>
      <c r="P6" s="3"/>
      <c r="Q6" s="3"/>
      <c r="R6" s="3"/>
    </row>
    <row r="7" spans="1:19" x14ac:dyDescent="0.3">
      <c r="B7" s="3" t="s">
        <v>18</v>
      </c>
      <c r="C7" s="10">
        <v>8066.96</v>
      </c>
      <c r="D7" s="10">
        <v>7476.98</v>
      </c>
      <c r="E7" s="10">
        <v>7798.65</v>
      </c>
      <c r="F7" s="10">
        <v>7800.88</v>
      </c>
      <c r="G7" s="10">
        <v>8348.48</v>
      </c>
      <c r="H7" s="9">
        <f>G7</f>
        <v>8348.48</v>
      </c>
      <c r="I7" s="9">
        <f t="shared" ref="I7:L7" si="3">H7</f>
        <v>8348.48</v>
      </c>
      <c r="J7" s="9">
        <f t="shared" si="3"/>
        <v>8348.48</v>
      </c>
      <c r="K7" s="9">
        <f t="shared" si="3"/>
        <v>8348.48</v>
      </c>
      <c r="L7" s="9">
        <f t="shared" si="3"/>
        <v>8348.48</v>
      </c>
      <c r="M7" s="318"/>
      <c r="N7" s="3"/>
      <c r="O7" s="3"/>
      <c r="P7" s="3"/>
      <c r="Q7" s="3"/>
      <c r="R7" s="3"/>
    </row>
    <row r="8" spans="1:19" x14ac:dyDescent="0.3">
      <c r="B8" s="3" t="s">
        <v>19</v>
      </c>
      <c r="C8" s="10">
        <v>19197.759999999998</v>
      </c>
      <c r="D8" s="10">
        <v>18729.37</v>
      </c>
      <c r="E8" s="10">
        <v>18007.98</v>
      </c>
      <c r="F8" s="10">
        <v>17384.52</v>
      </c>
      <c r="G8" s="10">
        <v>17050.759999999998</v>
      </c>
      <c r="H8" s="9">
        <f>'NOTES '!H74</f>
        <v>16686.322116678097</v>
      </c>
      <c r="I8" s="9">
        <f>'NOTES '!I74</f>
        <v>16383.131571897751</v>
      </c>
      <c r="J8" s="9">
        <f>'NOTES '!J74</f>
        <v>16150.779910742825</v>
      </c>
      <c r="K8" s="9">
        <f>'NOTES '!K74</f>
        <v>16000.380072231654</v>
      </c>
      <c r="L8" s="9">
        <f>'NOTES '!L74</f>
        <v>15944.813371890203</v>
      </c>
      <c r="M8" s="318"/>
      <c r="N8" s="3"/>
      <c r="O8" s="3"/>
      <c r="P8" s="3"/>
      <c r="Q8" s="3"/>
      <c r="R8" s="3"/>
    </row>
    <row r="9" spans="1:19" x14ac:dyDescent="0.3">
      <c r="B9" s="3" t="s">
        <v>20</v>
      </c>
      <c r="C9" s="10">
        <v>112.02</v>
      </c>
      <c r="D9" s="10">
        <v>79.23</v>
      </c>
      <c r="E9" s="10">
        <v>116.48</v>
      </c>
      <c r="F9" s="10">
        <v>147.97</v>
      </c>
      <c r="G9" s="10">
        <v>197.82</v>
      </c>
      <c r="H9" s="9">
        <f>G9</f>
        <v>197.82</v>
      </c>
      <c r="I9" s="9">
        <f t="shared" ref="I9:L9" si="4">H9</f>
        <v>197.82</v>
      </c>
      <c r="J9" s="9">
        <f t="shared" si="4"/>
        <v>197.82</v>
      </c>
      <c r="K9" s="9">
        <f t="shared" si="4"/>
        <v>197.82</v>
      </c>
      <c r="L9" s="9">
        <f t="shared" si="4"/>
        <v>197.82</v>
      </c>
      <c r="M9" s="318"/>
      <c r="N9" s="3"/>
      <c r="O9" s="3"/>
      <c r="P9" s="3"/>
      <c r="Q9" s="3"/>
      <c r="R9" s="3"/>
    </row>
    <row r="10" spans="1:19" x14ac:dyDescent="0.3">
      <c r="B10" s="3" t="s">
        <v>21</v>
      </c>
      <c r="C10" s="10">
        <v>2021.53</v>
      </c>
      <c r="D10" s="10">
        <v>1988.62</v>
      </c>
      <c r="E10" s="10">
        <v>2137.87</v>
      </c>
      <c r="F10" s="10">
        <v>2289.41</v>
      </c>
      <c r="G10" s="10">
        <v>2869.02</v>
      </c>
      <c r="H10" s="9">
        <f>G10+'NOTES '!H64-'NOTES '!H65</f>
        <v>3275.7853105704171</v>
      </c>
      <c r="I10" s="9">
        <f>H10+'NOTES '!I64-'NOTES '!I65</f>
        <v>3790.8931780251496</v>
      </c>
      <c r="J10" s="9">
        <f>I10+'NOTES '!J64-'NOTES '!J65</f>
        <v>4434.5447107851251</v>
      </c>
      <c r="K10" s="9">
        <f>J10+'NOTES '!K64-'NOTES '!K65</f>
        <v>5230.3634733315284</v>
      </c>
      <c r="L10" s="9">
        <f>K10+'NOTES '!L64-'NOTES '!L65</f>
        <v>6205.9633822571468</v>
      </c>
      <c r="M10" s="318"/>
      <c r="N10" s="3"/>
      <c r="O10" s="3"/>
      <c r="P10" s="3"/>
      <c r="Q10" s="3"/>
      <c r="R10" s="3"/>
    </row>
    <row r="11" spans="1:19" x14ac:dyDescent="0.3">
      <c r="B11" s="1" t="s">
        <v>22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318"/>
      <c r="N11" s="26"/>
      <c r="O11" s="26"/>
      <c r="P11" s="3"/>
      <c r="Q11" s="3"/>
      <c r="R11" s="3"/>
    </row>
    <row r="12" spans="1:19" s="27" customFormat="1" ht="12" x14ac:dyDescent="0.25">
      <c r="A12" s="25"/>
      <c r="B12" s="30" t="s">
        <v>10</v>
      </c>
      <c r="C12" s="24">
        <v>2670.26</v>
      </c>
      <c r="D12" s="24">
        <v>2729.35</v>
      </c>
      <c r="E12" s="24">
        <v>1304.8599999999999</v>
      </c>
      <c r="F12" s="24">
        <v>1264.25</v>
      </c>
      <c r="G12" s="24">
        <v>2318.42</v>
      </c>
      <c r="H12" s="287">
        <f>G12</f>
        <v>2318.42</v>
      </c>
      <c r="I12" s="287">
        <f t="shared" ref="I12:L12" si="5">H12</f>
        <v>2318.42</v>
      </c>
      <c r="J12" s="287">
        <f t="shared" si="5"/>
        <v>2318.42</v>
      </c>
      <c r="K12" s="287">
        <f t="shared" si="5"/>
        <v>2318.42</v>
      </c>
      <c r="L12" s="287">
        <f t="shared" si="5"/>
        <v>2318.42</v>
      </c>
      <c r="M12" s="319"/>
      <c r="N12" s="26"/>
      <c r="O12" s="26"/>
      <c r="P12" s="26"/>
      <c r="Q12" s="26"/>
      <c r="R12" s="26"/>
    </row>
    <row r="13" spans="1:19" s="27" customFormat="1" ht="12" x14ac:dyDescent="0.25">
      <c r="A13" s="25"/>
      <c r="B13" s="30" t="s">
        <v>11</v>
      </c>
      <c r="C13" s="24">
        <v>5945.14</v>
      </c>
      <c r="D13" s="24">
        <v>7081.51</v>
      </c>
      <c r="E13" s="24">
        <v>7920.03</v>
      </c>
      <c r="F13" s="24">
        <v>9425.94</v>
      </c>
      <c r="G13" s="24">
        <v>9126.23</v>
      </c>
      <c r="H13" s="287">
        <f t="shared" ref="H13:L16" si="6">G13</f>
        <v>9126.23</v>
      </c>
      <c r="I13" s="287">
        <f t="shared" si="6"/>
        <v>9126.23</v>
      </c>
      <c r="J13" s="287">
        <f t="shared" si="6"/>
        <v>9126.23</v>
      </c>
      <c r="K13" s="287">
        <f t="shared" si="6"/>
        <v>9126.23</v>
      </c>
      <c r="L13" s="287">
        <f t="shared" si="6"/>
        <v>9126.23</v>
      </c>
      <c r="M13" s="319"/>
      <c r="N13" s="26"/>
      <c r="O13" s="26"/>
      <c r="P13" s="26"/>
      <c r="Q13" s="26"/>
      <c r="R13" s="26"/>
    </row>
    <row r="14" spans="1:19" s="27" customFormat="1" ht="12" x14ac:dyDescent="0.25">
      <c r="A14" s="25"/>
      <c r="B14" s="30" t="s">
        <v>12</v>
      </c>
      <c r="C14" s="24">
        <v>52631.67</v>
      </c>
      <c r="D14" s="24">
        <v>46736.84</v>
      </c>
      <c r="E14" s="24">
        <v>40920.92</v>
      </c>
      <c r="F14" s="24">
        <v>52154.76</v>
      </c>
      <c r="G14" s="24">
        <v>62847.35</v>
      </c>
      <c r="H14" s="287">
        <f t="shared" si="6"/>
        <v>62847.35</v>
      </c>
      <c r="I14" s="287">
        <f t="shared" si="6"/>
        <v>62847.35</v>
      </c>
      <c r="J14" s="287">
        <f t="shared" si="6"/>
        <v>62847.35</v>
      </c>
      <c r="K14" s="287">
        <f t="shared" si="6"/>
        <v>62847.35</v>
      </c>
      <c r="L14" s="287">
        <f t="shared" si="6"/>
        <v>62847.35</v>
      </c>
      <c r="M14" s="319"/>
      <c r="N14" s="26"/>
      <c r="O14" s="26"/>
      <c r="P14" s="26"/>
      <c r="Q14" s="26"/>
      <c r="R14" s="26"/>
    </row>
    <row r="15" spans="1:19" s="27" customFormat="1" ht="12" x14ac:dyDescent="0.25">
      <c r="A15" s="25"/>
      <c r="B15" s="30" t="s">
        <v>13</v>
      </c>
      <c r="C15" s="24">
        <v>173.24</v>
      </c>
      <c r="D15" s="24">
        <v>252.99</v>
      </c>
      <c r="E15" s="24">
        <v>356</v>
      </c>
      <c r="F15" s="24">
        <v>475.46</v>
      </c>
      <c r="G15" s="24">
        <v>348.96</v>
      </c>
      <c r="H15" s="287">
        <f t="shared" si="6"/>
        <v>348.96</v>
      </c>
      <c r="I15" s="287">
        <f t="shared" si="6"/>
        <v>348.96</v>
      </c>
      <c r="J15" s="287">
        <f t="shared" si="6"/>
        <v>348.96</v>
      </c>
      <c r="K15" s="287">
        <f t="shared" si="6"/>
        <v>348.96</v>
      </c>
      <c r="L15" s="287">
        <f t="shared" si="6"/>
        <v>348.96</v>
      </c>
      <c r="M15" s="319"/>
      <c r="N15" s="26"/>
      <c r="O15" s="26"/>
      <c r="P15" s="26"/>
      <c r="Q15" s="26"/>
      <c r="R15" s="26"/>
    </row>
    <row r="16" spans="1:19" s="27" customFormat="1" ht="13.8" x14ac:dyDescent="0.3">
      <c r="A16" s="25"/>
      <c r="B16" s="30" t="s">
        <v>14</v>
      </c>
      <c r="C16" s="24">
        <v>1420.19</v>
      </c>
      <c r="D16" s="24">
        <v>2162.9699999999998</v>
      </c>
      <c r="E16" s="24">
        <v>1965.78</v>
      </c>
      <c r="F16" s="24">
        <v>1952.08</v>
      </c>
      <c r="G16" s="24">
        <v>1863.04</v>
      </c>
      <c r="H16" s="287">
        <f t="shared" si="6"/>
        <v>1863.04</v>
      </c>
      <c r="I16" s="287">
        <f t="shared" si="6"/>
        <v>1863.04</v>
      </c>
      <c r="J16" s="287">
        <f t="shared" si="6"/>
        <v>1863.04</v>
      </c>
      <c r="K16" s="287">
        <f t="shared" si="6"/>
        <v>1863.04</v>
      </c>
      <c r="L16" s="287">
        <f t="shared" si="6"/>
        <v>1863.04</v>
      </c>
      <c r="M16" s="319"/>
      <c r="N16" s="3"/>
      <c r="O16" s="3"/>
      <c r="P16" s="26"/>
      <c r="Q16" s="26"/>
      <c r="R16" s="26"/>
    </row>
    <row r="17" spans="1:18" x14ac:dyDescent="0.3">
      <c r="B17" s="3"/>
      <c r="C17" s="23">
        <f>SUM(C12:C16)</f>
        <v>62840.5</v>
      </c>
      <c r="D17" s="23">
        <f>SUM(D12:D16)</f>
        <v>58963.659999999996</v>
      </c>
      <c r="E17" s="23">
        <f t="shared" ref="E17:L17" si="7">SUM(E12:E16)</f>
        <v>52467.59</v>
      </c>
      <c r="F17" s="23">
        <f t="shared" si="7"/>
        <v>65272.490000000005</v>
      </c>
      <c r="G17" s="23">
        <f t="shared" si="7"/>
        <v>76504</v>
      </c>
      <c r="H17" s="23">
        <f t="shared" si="7"/>
        <v>76504</v>
      </c>
      <c r="I17" s="23">
        <f t="shared" si="7"/>
        <v>76504</v>
      </c>
      <c r="J17" s="23">
        <f t="shared" si="7"/>
        <v>76504</v>
      </c>
      <c r="K17" s="23">
        <f t="shared" si="7"/>
        <v>76504</v>
      </c>
      <c r="L17" s="23">
        <f t="shared" si="7"/>
        <v>76504</v>
      </c>
      <c r="M17" s="318"/>
      <c r="N17" s="3"/>
      <c r="O17" s="3"/>
      <c r="P17" s="3"/>
      <c r="Q17" s="3"/>
      <c r="R17" s="3"/>
    </row>
    <row r="18" spans="1:18" x14ac:dyDescent="0.3">
      <c r="B18" s="3" t="s">
        <v>23</v>
      </c>
      <c r="C18" s="10">
        <v>2697</v>
      </c>
      <c r="D18" s="10">
        <v>2840.1</v>
      </c>
      <c r="E18" s="10">
        <v>3984.79</v>
      </c>
      <c r="F18" s="10">
        <v>3863.72</v>
      </c>
      <c r="G18" s="10">
        <v>3792.88</v>
      </c>
      <c r="H18" s="10">
        <v>3792.88</v>
      </c>
      <c r="I18" s="10">
        <v>3792.88</v>
      </c>
      <c r="J18" s="10">
        <v>3792.88</v>
      </c>
      <c r="K18" s="10">
        <v>3792.88</v>
      </c>
      <c r="L18" s="10">
        <v>3792.88</v>
      </c>
      <c r="M18" s="318"/>
      <c r="N18" s="3"/>
      <c r="O18" s="3"/>
      <c r="P18" s="3"/>
      <c r="Q18" s="3"/>
      <c r="R18" s="3"/>
    </row>
    <row r="19" spans="1:18" x14ac:dyDescent="0.3">
      <c r="B19" s="3" t="s">
        <v>59</v>
      </c>
      <c r="C19" s="10"/>
      <c r="D19" s="10"/>
      <c r="E19" s="10"/>
      <c r="F19" s="10">
        <v>4245.78</v>
      </c>
      <c r="G19" s="10">
        <v>4581.6000000000004</v>
      </c>
      <c r="H19" s="10">
        <v>4581.6000000000004</v>
      </c>
      <c r="I19" s="10">
        <v>4581.6000000000004</v>
      </c>
      <c r="J19" s="10">
        <v>4581.6000000000004</v>
      </c>
      <c r="K19" s="10">
        <v>4581.6000000000004</v>
      </c>
      <c r="L19" s="10">
        <v>4581.6000000000004</v>
      </c>
      <c r="M19" s="318"/>
      <c r="N19" s="3"/>
      <c r="O19" s="3"/>
      <c r="P19" s="3"/>
      <c r="Q19" s="3"/>
      <c r="R19" s="3"/>
    </row>
    <row r="20" spans="1:18" x14ac:dyDescent="0.3">
      <c r="B20" s="3" t="s">
        <v>24</v>
      </c>
      <c r="C20" s="10">
        <v>5949.67</v>
      </c>
      <c r="D20" s="10">
        <v>6077.62</v>
      </c>
      <c r="E20" s="10">
        <v>5989.04</v>
      </c>
      <c r="F20" s="10">
        <v>2156.5500000000002</v>
      </c>
      <c r="G20" s="10">
        <v>2659.78</v>
      </c>
      <c r="H20" s="10">
        <v>2659.78</v>
      </c>
      <c r="I20" s="10">
        <v>2659.78</v>
      </c>
      <c r="J20" s="10">
        <v>2659.78</v>
      </c>
      <c r="K20" s="10">
        <v>2659.78</v>
      </c>
      <c r="L20" s="10">
        <v>2659.78</v>
      </c>
      <c r="M20" s="318"/>
      <c r="N20" s="3"/>
      <c r="O20" s="3"/>
      <c r="P20" s="3"/>
      <c r="Q20" s="3"/>
      <c r="R20" s="3"/>
    </row>
    <row r="21" spans="1:18" x14ac:dyDescent="0.3">
      <c r="B21" s="17" t="s">
        <v>50</v>
      </c>
      <c r="C21" s="18">
        <f>SUM(C3:C10,C17:C20)</f>
        <v>116306.87999999999</v>
      </c>
      <c r="D21" s="18">
        <f>SUM(D3:D10,D17:D20)</f>
        <v>111867.75</v>
      </c>
      <c r="E21" s="18">
        <f t="shared" ref="E21:F21" si="8">SUM(E3:E10,E17:E20)</f>
        <v>108147.98999999999</v>
      </c>
      <c r="F21" s="18">
        <f t="shared" si="8"/>
        <v>121547.37000000001</v>
      </c>
      <c r="G21" s="18">
        <f>SUM(G3:G10,G17:G20)</f>
        <v>134182.38999999998</v>
      </c>
      <c r="H21" s="18">
        <f t="shared" ref="H21:L21" si="9">SUM(H3:H10,H17:H20)</f>
        <v>135095.59114590107</v>
      </c>
      <c r="I21" s="18">
        <f t="shared" si="9"/>
        <v>136371.71601827172</v>
      </c>
      <c r="J21" s="18">
        <f t="shared" si="9"/>
        <v>138072.78912005769</v>
      </c>
      <c r="K21" s="18">
        <f t="shared" si="9"/>
        <v>140271.02133909756</v>
      </c>
      <c r="L21" s="18">
        <f t="shared" si="9"/>
        <v>143050.49502891049</v>
      </c>
      <c r="M21" s="318"/>
      <c r="N21" s="3"/>
      <c r="O21" s="3"/>
      <c r="P21" s="3"/>
      <c r="Q21" s="3"/>
      <c r="R21" s="3"/>
    </row>
    <row r="22" spans="1:18" x14ac:dyDescent="0.3">
      <c r="B22" s="2"/>
      <c r="C22" s="12"/>
      <c r="D22" s="12"/>
      <c r="E22" s="12"/>
      <c r="F22" s="12"/>
      <c r="G22" s="12"/>
      <c r="H22" s="9"/>
      <c r="I22" s="9"/>
      <c r="J22" s="9"/>
      <c r="K22" s="9"/>
      <c r="L22" s="9"/>
      <c r="M22" s="318"/>
      <c r="N22" s="3"/>
      <c r="O22" s="3"/>
      <c r="P22" s="3"/>
      <c r="Q22" s="3"/>
      <c r="R22" s="3"/>
    </row>
    <row r="23" spans="1:18" x14ac:dyDescent="0.3">
      <c r="B23" s="7" t="s">
        <v>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318"/>
      <c r="N23" s="3"/>
      <c r="O23" s="3"/>
      <c r="P23" s="3"/>
      <c r="Q23" s="3"/>
      <c r="R23" s="3"/>
    </row>
    <row r="24" spans="1:18" x14ac:dyDescent="0.3">
      <c r="B24" s="3" t="s">
        <v>25</v>
      </c>
      <c r="C24" s="10">
        <v>5820.54</v>
      </c>
      <c r="D24" s="10">
        <v>5943.32</v>
      </c>
      <c r="E24" s="10">
        <v>6828.78</v>
      </c>
      <c r="F24" s="10">
        <v>6620.19</v>
      </c>
      <c r="G24" s="10">
        <v>7670.55</v>
      </c>
      <c r="H24" s="9">
        <f>'NOTES '!H85</f>
        <v>8774.4947536626642</v>
      </c>
      <c r="I24" s="9">
        <f>'NOTES '!I85</f>
        <v>10045.290967654633</v>
      </c>
      <c r="J24" s="9">
        <f>'NOTES '!J85</f>
        <v>11510.789882186547</v>
      </c>
      <c r="K24" s="9">
        <f>'NOTES '!K85</f>
        <v>13201.588472884008</v>
      </c>
      <c r="L24" s="9">
        <f>'NOTES '!L85</f>
        <v>15153.208660113996</v>
      </c>
      <c r="M24" s="318"/>
      <c r="N24" s="26"/>
      <c r="O24" s="26"/>
      <c r="P24" s="3"/>
      <c r="Q24" s="3"/>
      <c r="R24" s="3"/>
    </row>
    <row r="25" spans="1:18" x14ac:dyDescent="0.3">
      <c r="B25" s="1" t="s">
        <v>22</v>
      </c>
      <c r="C25" s="13"/>
      <c r="D25" s="13"/>
      <c r="E25" s="13"/>
      <c r="F25" s="13"/>
      <c r="G25" s="13"/>
      <c r="H25" s="9"/>
      <c r="I25" s="9"/>
      <c r="J25" s="9"/>
      <c r="K25" s="9"/>
      <c r="L25" s="9"/>
      <c r="M25" s="318"/>
      <c r="N25" s="26"/>
      <c r="O25" s="26"/>
      <c r="P25" s="3"/>
      <c r="Q25" s="3"/>
      <c r="R25" s="3"/>
    </row>
    <row r="26" spans="1:18" s="27" customFormat="1" ht="12" x14ac:dyDescent="0.25">
      <c r="A26" s="25"/>
      <c r="B26" s="26" t="s">
        <v>26</v>
      </c>
      <c r="C26" s="24">
        <v>31011.23</v>
      </c>
      <c r="D26" s="24">
        <v>29792.51</v>
      </c>
      <c r="E26" s="24">
        <v>35573.42</v>
      </c>
      <c r="F26" s="24">
        <v>34957.629999999997</v>
      </c>
      <c r="G26" s="24">
        <v>43360.62</v>
      </c>
      <c r="H26" s="287">
        <f>G26</f>
        <v>43360.62</v>
      </c>
      <c r="I26" s="287">
        <f t="shared" ref="I26:L26" si="10">H26</f>
        <v>43360.62</v>
      </c>
      <c r="J26" s="287">
        <f t="shared" si="10"/>
        <v>43360.62</v>
      </c>
      <c r="K26" s="287">
        <f t="shared" si="10"/>
        <v>43360.62</v>
      </c>
      <c r="L26" s="287">
        <f t="shared" si="10"/>
        <v>43360.62</v>
      </c>
      <c r="M26" s="319"/>
      <c r="N26" s="26"/>
      <c r="O26" s="26"/>
      <c r="P26" s="26"/>
      <c r="Q26" s="26"/>
      <c r="R26" s="26"/>
    </row>
    <row r="27" spans="1:18" s="27" customFormat="1" ht="12" x14ac:dyDescent="0.25">
      <c r="A27" s="25"/>
      <c r="B27" s="26" t="s">
        <v>27</v>
      </c>
      <c r="C27" s="24">
        <v>42229.78</v>
      </c>
      <c r="D27" s="24">
        <v>46138.92</v>
      </c>
      <c r="E27" s="24">
        <v>44731.53</v>
      </c>
      <c r="F27" s="24">
        <v>48770.95</v>
      </c>
      <c r="G27" s="24">
        <v>53713.68</v>
      </c>
      <c r="H27" s="287">
        <f t="shared" ref="H27:L32" si="11">G27</f>
        <v>53713.68</v>
      </c>
      <c r="I27" s="287">
        <f t="shared" si="11"/>
        <v>53713.68</v>
      </c>
      <c r="J27" s="287">
        <f t="shared" si="11"/>
        <v>53713.68</v>
      </c>
      <c r="K27" s="287">
        <f t="shared" si="11"/>
        <v>53713.68</v>
      </c>
      <c r="L27" s="287">
        <f t="shared" si="11"/>
        <v>53713.68</v>
      </c>
      <c r="M27" s="319"/>
      <c r="N27" s="26"/>
      <c r="O27" s="26"/>
      <c r="P27" s="26"/>
      <c r="Q27" s="26"/>
      <c r="R27" s="26"/>
    </row>
    <row r="28" spans="1:18" s="27" customFormat="1" ht="12" x14ac:dyDescent="0.25">
      <c r="A28" s="25"/>
      <c r="B28" s="26" t="s">
        <v>28</v>
      </c>
      <c r="C28" s="24">
        <v>13373.52</v>
      </c>
      <c r="D28" s="24">
        <v>13770.24</v>
      </c>
      <c r="E28" s="24">
        <v>16926.689999999999</v>
      </c>
      <c r="F28" s="24">
        <v>11958.5</v>
      </c>
      <c r="G28" s="24">
        <v>12187</v>
      </c>
      <c r="H28" s="287">
        <f>CFS!C19</f>
        <v>37239.368039277659</v>
      </c>
      <c r="I28" s="287">
        <f>CFS!D19</f>
        <v>63585.121766534583</v>
      </c>
      <c r="J28" s="287">
        <f>CFS!E19</f>
        <v>90787.750601338805</v>
      </c>
      <c r="K28" s="287">
        <f>CFS!F19</f>
        <v>118195.2042638932</v>
      </c>
      <c r="L28" s="287">
        <f>CFS!G19</f>
        <v>144870.96449505608</v>
      </c>
      <c r="M28" s="319"/>
      <c r="N28" s="26"/>
      <c r="O28" s="26"/>
      <c r="P28" s="26"/>
      <c r="Q28" s="26"/>
      <c r="R28" s="26"/>
    </row>
    <row r="29" spans="1:18" s="27" customFormat="1" ht="12" x14ac:dyDescent="0.25">
      <c r="A29" s="25"/>
      <c r="B29" s="26" t="s">
        <v>29</v>
      </c>
      <c r="C29" s="24">
        <v>2867.98</v>
      </c>
      <c r="D29" s="24">
        <v>5182.93</v>
      </c>
      <c r="E29" s="24">
        <v>5592.91</v>
      </c>
      <c r="F29" s="24">
        <v>3399.89</v>
      </c>
      <c r="G29" s="24">
        <v>10778.34</v>
      </c>
      <c r="H29" s="287">
        <f t="shared" si="11"/>
        <v>10778.34</v>
      </c>
      <c r="I29" s="287">
        <f t="shared" si="11"/>
        <v>10778.34</v>
      </c>
      <c r="J29" s="287">
        <f t="shared" si="11"/>
        <v>10778.34</v>
      </c>
      <c r="K29" s="287">
        <f t="shared" si="11"/>
        <v>10778.34</v>
      </c>
      <c r="L29" s="287">
        <f t="shared" si="11"/>
        <v>10778.34</v>
      </c>
      <c r="M29" s="319"/>
      <c r="N29" s="26"/>
      <c r="O29" s="26"/>
      <c r="P29" s="26"/>
      <c r="Q29" s="26"/>
      <c r="R29" s="26"/>
    </row>
    <row r="30" spans="1:18" s="27" customFormat="1" ht="12" x14ac:dyDescent="0.25">
      <c r="A30" s="25"/>
      <c r="B30" s="26" t="s">
        <v>12</v>
      </c>
      <c r="C30" s="24">
        <v>41379.03</v>
      </c>
      <c r="D30" s="24">
        <v>42269.2</v>
      </c>
      <c r="E30" s="24">
        <v>40460.550000000003</v>
      </c>
      <c r="F30" s="24">
        <v>34814.589999999997</v>
      </c>
      <c r="G30" s="24">
        <v>36077.51</v>
      </c>
      <c r="H30" s="287">
        <f t="shared" si="11"/>
        <v>36077.51</v>
      </c>
      <c r="I30" s="287">
        <f t="shared" si="11"/>
        <v>36077.51</v>
      </c>
      <c r="J30" s="287">
        <f t="shared" si="11"/>
        <v>36077.51</v>
      </c>
      <c r="K30" s="287">
        <f t="shared" si="11"/>
        <v>36077.51</v>
      </c>
      <c r="L30" s="287">
        <f t="shared" si="11"/>
        <v>36077.51</v>
      </c>
      <c r="M30" s="319"/>
      <c r="N30" s="26"/>
      <c r="O30" s="26"/>
      <c r="P30" s="26"/>
      <c r="Q30" s="26"/>
      <c r="R30" s="26"/>
    </row>
    <row r="31" spans="1:18" s="27" customFormat="1" ht="13.8" x14ac:dyDescent="0.3">
      <c r="A31" s="25"/>
      <c r="B31" s="26" t="s">
        <v>13</v>
      </c>
      <c r="C31" s="24">
        <v>235.35</v>
      </c>
      <c r="D31" s="24">
        <v>280.33999999999997</v>
      </c>
      <c r="E31" s="24">
        <v>251.15</v>
      </c>
      <c r="F31" s="24">
        <v>106.54</v>
      </c>
      <c r="G31" s="24">
        <v>416.85</v>
      </c>
      <c r="H31" s="287">
        <f t="shared" si="11"/>
        <v>416.85</v>
      </c>
      <c r="I31" s="287">
        <f t="shared" si="11"/>
        <v>416.85</v>
      </c>
      <c r="J31" s="287">
        <f t="shared" si="11"/>
        <v>416.85</v>
      </c>
      <c r="K31" s="287">
        <f t="shared" si="11"/>
        <v>416.85</v>
      </c>
      <c r="L31" s="287">
        <f t="shared" si="11"/>
        <v>416.85</v>
      </c>
      <c r="M31" s="319"/>
      <c r="N31" s="3"/>
      <c r="O31" s="3"/>
      <c r="P31" s="26"/>
      <c r="Q31" s="26"/>
      <c r="R31" s="26"/>
    </row>
    <row r="32" spans="1:18" s="27" customFormat="1" ht="13.8" x14ac:dyDescent="0.3">
      <c r="A32" s="25"/>
      <c r="B32" s="26" t="s">
        <v>14</v>
      </c>
      <c r="C32" s="24">
        <v>3251.68</v>
      </c>
      <c r="D32" s="24">
        <v>3840.04</v>
      </c>
      <c r="E32" s="24">
        <v>4930.1000000000004</v>
      </c>
      <c r="F32" s="24">
        <v>5563.92</v>
      </c>
      <c r="G32" s="24">
        <v>5419.89</v>
      </c>
      <c r="H32" s="287">
        <f t="shared" si="11"/>
        <v>5419.89</v>
      </c>
      <c r="I32" s="287">
        <f t="shared" si="11"/>
        <v>5419.89</v>
      </c>
      <c r="J32" s="287">
        <f t="shared" si="11"/>
        <v>5419.89</v>
      </c>
      <c r="K32" s="287">
        <f t="shared" si="11"/>
        <v>5419.89</v>
      </c>
      <c r="L32" s="287">
        <f t="shared" si="11"/>
        <v>5419.89</v>
      </c>
      <c r="M32" s="319"/>
      <c r="N32" s="3"/>
      <c r="O32" s="3"/>
      <c r="P32" s="26"/>
      <c r="Q32" s="26"/>
      <c r="R32" s="26"/>
    </row>
    <row r="33" spans="1:18" x14ac:dyDescent="0.3">
      <c r="B33" s="3"/>
      <c r="C33" s="23">
        <f>SUM(C26:C32)</f>
        <v>134348.56999999998</v>
      </c>
      <c r="D33" s="23">
        <f>SUM(D26:D32)</f>
        <v>141274.18</v>
      </c>
      <c r="E33" s="23">
        <f t="shared" ref="E33:L33" si="12">SUM(E26:E32)</f>
        <v>148466.35</v>
      </c>
      <c r="F33" s="23">
        <f t="shared" si="12"/>
        <v>139572.02000000002</v>
      </c>
      <c r="G33" s="23">
        <f t="shared" si="12"/>
        <v>161953.89000000001</v>
      </c>
      <c r="H33" s="23">
        <f>SUM(H26:H32)</f>
        <v>187006.25803927769</v>
      </c>
      <c r="I33" s="23">
        <f t="shared" si="12"/>
        <v>213352.01176653462</v>
      </c>
      <c r="J33" s="23">
        <f t="shared" si="12"/>
        <v>240554.64060133882</v>
      </c>
      <c r="K33" s="23">
        <f t="shared" si="12"/>
        <v>267962.0942638932</v>
      </c>
      <c r="L33" s="23">
        <f t="shared" si="12"/>
        <v>294637.85449505603</v>
      </c>
      <c r="M33" s="318"/>
      <c r="N33" s="3"/>
      <c r="O33" s="3"/>
      <c r="P33" s="3"/>
      <c r="Q33" s="3"/>
      <c r="R33" s="3"/>
    </row>
    <row r="34" spans="1:18" x14ac:dyDescent="0.3">
      <c r="B34" s="3" t="s">
        <v>30</v>
      </c>
      <c r="C34" s="10">
        <v>54791.48</v>
      </c>
      <c r="D34" s="10">
        <v>60132.89</v>
      </c>
      <c r="E34" s="10">
        <v>65920.39</v>
      </c>
      <c r="F34" s="10">
        <v>71391.03</v>
      </c>
      <c r="G34" s="10">
        <v>75559.83</v>
      </c>
      <c r="H34" s="9">
        <f>G34</f>
        <v>75559.83</v>
      </c>
      <c r="I34" s="9">
        <f t="shared" ref="I34:L36" si="13">H34</f>
        <v>75559.83</v>
      </c>
      <c r="J34" s="9">
        <f t="shared" si="13"/>
        <v>75559.83</v>
      </c>
      <c r="K34" s="9">
        <f t="shared" si="13"/>
        <v>75559.83</v>
      </c>
      <c r="L34" s="9">
        <f t="shared" si="13"/>
        <v>75559.83</v>
      </c>
      <c r="M34" s="318"/>
      <c r="N34" s="3"/>
      <c r="O34" s="3"/>
      <c r="P34" s="3"/>
      <c r="Q34" s="3"/>
      <c r="R34" s="3"/>
    </row>
    <row r="35" spans="1:18" x14ac:dyDescent="0.3">
      <c r="B35" s="17" t="s">
        <v>51</v>
      </c>
      <c r="C35" s="18">
        <f>SUM(C24,C33:C34)</f>
        <v>194960.59</v>
      </c>
      <c r="D35" s="18">
        <f>SUM(D24,D33:D34)</f>
        <v>207350.39</v>
      </c>
      <c r="E35" s="18">
        <f>SUM(E24,E33:E34)</f>
        <v>221215.52000000002</v>
      </c>
      <c r="F35" s="18">
        <f t="shared" ref="F35" si="14">SUM(F24,F33:F34)</f>
        <v>217583.24000000002</v>
      </c>
      <c r="G35" s="18">
        <f>SUM(G24,G33:G34)</f>
        <v>245184.27000000002</v>
      </c>
      <c r="H35" s="18">
        <f>SUM(H24,H33:H34)</f>
        <v>271340.58279294037</v>
      </c>
      <c r="I35" s="18">
        <f t="shared" ref="I35:L35" si="15">SUM(I24,I33:I34)</f>
        <v>298957.13273418928</v>
      </c>
      <c r="J35" s="18">
        <f t="shared" si="15"/>
        <v>327625.26048352534</v>
      </c>
      <c r="K35" s="18">
        <f t="shared" si="15"/>
        <v>356723.51273677725</v>
      </c>
      <c r="L35" s="18">
        <f t="shared" si="15"/>
        <v>385350.89315517002</v>
      </c>
      <c r="M35" s="318"/>
      <c r="N35" s="3"/>
      <c r="O35" s="3"/>
      <c r="P35" s="3"/>
      <c r="Q35" s="3"/>
      <c r="R35" s="3"/>
    </row>
    <row r="36" spans="1:18" ht="15" thickBot="1" x14ac:dyDescent="0.35">
      <c r="B36" s="3" t="s">
        <v>31</v>
      </c>
      <c r="C36" s="10">
        <v>6.24</v>
      </c>
      <c r="D36" s="10">
        <v>830.78</v>
      </c>
      <c r="E36" s="10">
        <v>988.8</v>
      </c>
      <c r="F36" s="10">
        <v>1005.36</v>
      </c>
      <c r="G36" s="10">
        <v>157.44</v>
      </c>
      <c r="H36" s="9">
        <f>G36</f>
        <v>157.44</v>
      </c>
      <c r="I36" s="9">
        <f t="shared" si="13"/>
        <v>157.44</v>
      </c>
      <c r="J36" s="9">
        <f t="shared" si="13"/>
        <v>157.44</v>
      </c>
      <c r="K36" s="9">
        <f t="shared" si="13"/>
        <v>157.44</v>
      </c>
      <c r="L36" s="9">
        <f t="shared" si="13"/>
        <v>157.44</v>
      </c>
      <c r="M36" s="318"/>
      <c r="N36" s="3"/>
      <c r="O36" s="3"/>
      <c r="P36" s="3"/>
      <c r="Q36" s="3"/>
      <c r="R36" s="3"/>
    </row>
    <row r="37" spans="1:18" ht="16.8" thickTop="1" thickBot="1" x14ac:dyDescent="0.35">
      <c r="B37" s="19" t="s">
        <v>2</v>
      </c>
      <c r="C37" s="20">
        <f>SUM(C35:C36,C21)</f>
        <v>311273.70999999996</v>
      </c>
      <c r="D37" s="20">
        <f>SUM(D35:D36,D21)</f>
        <v>320048.92000000004</v>
      </c>
      <c r="E37" s="20">
        <f t="shared" ref="E37:L37" si="16">SUM(E35:E36,E21)</f>
        <v>330352.31</v>
      </c>
      <c r="F37" s="20">
        <f t="shared" si="16"/>
        <v>340135.97000000003</v>
      </c>
      <c r="G37" s="20">
        <f t="shared" si="16"/>
        <v>379524.1</v>
      </c>
      <c r="H37" s="20">
        <f t="shared" si="16"/>
        <v>406593.61393884144</v>
      </c>
      <c r="I37" s="20">
        <f t="shared" si="16"/>
        <v>435486.28875246097</v>
      </c>
      <c r="J37" s="20">
        <f t="shared" si="16"/>
        <v>465855.489603583</v>
      </c>
      <c r="K37" s="20">
        <f t="shared" si="16"/>
        <v>497151.97407587478</v>
      </c>
      <c r="L37" s="20">
        <f t="shared" si="16"/>
        <v>528558.82818408054</v>
      </c>
      <c r="M37" s="320"/>
      <c r="N37" s="3"/>
      <c r="O37" s="3"/>
      <c r="P37" s="3"/>
      <c r="Q37" s="3"/>
      <c r="R37" s="3"/>
    </row>
    <row r="38" spans="1:18" ht="15" thickTop="1" x14ac:dyDescent="0.3">
      <c r="B38" s="3"/>
      <c r="C38" s="9"/>
      <c r="D38" s="9"/>
      <c r="E38" s="9"/>
      <c r="F38" s="9"/>
      <c r="G38" s="9"/>
      <c r="H38" s="9"/>
      <c r="I38" s="9"/>
      <c r="J38" s="9"/>
      <c r="K38" s="9"/>
      <c r="L38" s="9"/>
      <c r="M38" s="318"/>
      <c r="N38" s="26"/>
      <c r="O38" s="26"/>
      <c r="P38" s="3"/>
      <c r="Q38" s="3"/>
      <c r="R38" s="3"/>
    </row>
    <row r="39" spans="1:18" x14ac:dyDescent="0.3">
      <c r="B39" s="7" t="s">
        <v>3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318"/>
      <c r="N39" s="26"/>
      <c r="O39" s="26"/>
      <c r="P39" s="3"/>
      <c r="Q39" s="3"/>
      <c r="R39" s="3"/>
    </row>
    <row r="40" spans="1:18" s="27" customFormat="1" ht="13.8" x14ac:dyDescent="0.3">
      <c r="A40" s="25"/>
      <c r="B40" s="26" t="s">
        <v>38</v>
      </c>
      <c r="C40" s="24">
        <v>280.91000000000003</v>
      </c>
      <c r="D40" s="24">
        <v>281.01</v>
      </c>
      <c r="E40" s="24">
        <v>281.10000000000002</v>
      </c>
      <c r="F40" s="24">
        <v>274.93</v>
      </c>
      <c r="G40" s="24">
        <v>275.04000000000002</v>
      </c>
      <c r="H40" s="84">
        <f>G40</f>
        <v>275.04000000000002</v>
      </c>
      <c r="I40" s="84">
        <f t="shared" ref="I40:L40" si="17">H40</f>
        <v>275.04000000000002</v>
      </c>
      <c r="J40" s="84">
        <f t="shared" si="17"/>
        <v>275.04000000000002</v>
      </c>
      <c r="K40" s="84">
        <f t="shared" si="17"/>
        <v>275.04000000000002</v>
      </c>
      <c r="L40" s="84">
        <f t="shared" si="17"/>
        <v>275.04000000000002</v>
      </c>
      <c r="M40" s="319"/>
      <c r="N40" s="3"/>
      <c r="O40" s="3"/>
      <c r="P40" s="26"/>
      <c r="Q40" s="26"/>
      <c r="R40" s="26"/>
    </row>
    <row r="41" spans="1:18" s="27" customFormat="1" ht="13.8" x14ac:dyDescent="0.3">
      <c r="A41" s="25"/>
      <c r="B41" s="26" t="s">
        <v>39</v>
      </c>
      <c r="C41" s="24">
        <v>75587.62</v>
      </c>
      <c r="D41" s="24">
        <v>82126.649999999994</v>
      </c>
      <c r="E41" s="24">
        <v>89044.85</v>
      </c>
      <c r="F41" s="24">
        <v>86084.31</v>
      </c>
      <c r="G41" s="24">
        <v>97380.56</v>
      </c>
      <c r="H41" s="84">
        <f>G41+IS!H35</f>
        <v>124450.07393884145</v>
      </c>
      <c r="I41" s="84">
        <f>H41+IS!I35</f>
        <v>153342.74875246096</v>
      </c>
      <c r="J41" s="84">
        <f>I41+IS!J35</f>
        <v>183711.94960358308</v>
      </c>
      <c r="K41" s="84">
        <f>J41+IS!K35</f>
        <v>215008.43407587477</v>
      </c>
      <c r="L41" s="84">
        <f>K41+IS!L35</f>
        <v>246415.28818408059</v>
      </c>
      <c r="M41" s="319"/>
      <c r="N41" s="3"/>
      <c r="O41" s="3"/>
      <c r="P41" s="26"/>
      <c r="Q41" s="26"/>
      <c r="R41" s="26"/>
    </row>
    <row r="42" spans="1:18" x14ac:dyDescent="0.3">
      <c r="B42" s="4" t="s">
        <v>32</v>
      </c>
      <c r="C42" s="23">
        <f>SUM(C40:C41)</f>
        <v>75868.53</v>
      </c>
      <c r="D42" s="23">
        <f>SUM(D40:D41)</f>
        <v>82407.659999999989</v>
      </c>
      <c r="E42" s="23">
        <f t="shared" ref="E42:L42" si="18">SUM(E40:E41)</f>
        <v>89325.950000000012</v>
      </c>
      <c r="F42" s="23">
        <f t="shared" si="18"/>
        <v>86359.239999999991</v>
      </c>
      <c r="G42" s="23">
        <f t="shared" si="18"/>
        <v>97655.599999999991</v>
      </c>
      <c r="H42" s="23">
        <f t="shared" si="18"/>
        <v>124725.11393884144</v>
      </c>
      <c r="I42" s="23">
        <f t="shared" si="18"/>
        <v>153617.78875246097</v>
      </c>
      <c r="J42" s="23">
        <f t="shared" si="18"/>
        <v>183986.98960358309</v>
      </c>
      <c r="K42" s="23">
        <f t="shared" si="18"/>
        <v>215283.47407587478</v>
      </c>
      <c r="L42" s="23">
        <f t="shared" si="18"/>
        <v>246690.3281840806</v>
      </c>
      <c r="M42" s="318"/>
      <c r="N42" s="3"/>
      <c r="O42" s="3"/>
      <c r="P42" s="3"/>
      <c r="Q42" s="3"/>
      <c r="R42" s="3"/>
    </row>
    <row r="43" spans="1:18" x14ac:dyDescent="0.3">
      <c r="B43" s="4" t="s">
        <v>33</v>
      </c>
      <c r="C43" s="10">
        <v>12051.53</v>
      </c>
      <c r="D43" s="10">
        <v>12966.07</v>
      </c>
      <c r="E43" s="10">
        <v>14241.27</v>
      </c>
      <c r="F43" s="10">
        <v>16190.42</v>
      </c>
      <c r="G43" s="10">
        <v>17748.080000000002</v>
      </c>
      <c r="H43" s="84">
        <f>G43</f>
        <v>17748.080000000002</v>
      </c>
      <c r="I43" s="84">
        <f t="shared" ref="I43:L43" si="19">H43</f>
        <v>17748.080000000002</v>
      </c>
      <c r="J43" s="84">
        <f t="shared" si="19"/>
        <v>17748.080000000002</v>
      </c>
      <c r="K43" s="84">
        <f t="shared" si="19"/>
        <v>17748.080000000002</v>
      </c>
      <c r="L43" s="84">
        <f t="shared" si="19"/>
        <v>17748.080000000002</v>
      </c>
      <c r="M43" s="318"/>
      <c r="N43" s="3"/>
      <c r="O43" s="3"/>
      <c r="P43" s="3"/>
      <c r="Q43" s="3"/>
      <c r="R43" s="3"/>
    </row>
    <row r="44" spans="1:18" x14ac:dyDescent="0.3">
      <c r="B44" s="16" t="s">
        <v>4</v>
      </c>
      <c r="C44" s="18">
        <f>SUM(C42:C43)</f>
        <v>87920.06</v>
      </c>
      <c r="D44" s="18">
        <f>SUM(D42:D43)</f>
        <v>95373.729999999981</v>
      </c>
      <c r="E44" s="18">
        <f t="shared" ref="E44:L44" si="20">SUM(E42:E43)</f>
        <v>103567.22000000002</v>
      </c>
      <c r="F44" s="18">
        <f t="shared" si="20"/>
        <v>102549.65999999999</v>
      </c>
      <c r="G44" s="18">
        <f t="shared" si="20"/>
        <v>115403.68</v>
      </c>
      <c r="H44" s="85">
        <f t="shared" si="20"/>
        <v>142473.19393884146</v>
      </c>
      <c r="I44" s="85">
        <f t="shared" si="20"/>
        <v>171365.86875246098</v>
      </c>
      <c r="J44" s="85">
        <f t="shared" si="20"/>
        <v>201735.06960358308</v>
      </c>
      <c r="K44" s="85">
        <f t="shared" si="20"/>
        <v>233031.5540758748</v>
      </c>
      <c r="L44" s="85">
        <f t="shared" si="20"/>
        <v>264438.40818408062</v>
      </c>
      <c r="M44" s="318"/>
      <c r="N44" s="3"/>
      <c r="O44" s="3"/>
      <c r="P44" s="3"/>
      <c r="Q44" s="3"/>
      <c r="R44" s="3"/>
    </row>
    <row r="45" spans="1:18" x14ac:dyDescent="0.3">
      <c r="B45" s="3"/>
      <c r="C45" s="9"/>
      <c r="D45" s="9"/>
      <c r="E45" s="9"/>
      <c r="F45" s="9"/>
      <c r="G45" s="9"/>
      <c r="H45" s="9"/>
      <c r="I45" s="9"/>
      <c r="J45" s="9"/>
      <c r="K45" s="9"/>
      <c r="L45" s="9"/>
      <c r="M45" s="318"/>
      <c r="N45" s="3"/>
      <c r="O45" s="3"/>
      <c r="P45" s="3"/>
      <c r="Q45" s="3"/>
      <c r="R45" s="3"/>
    </row>
    <row r="46" spans="1:18" x14ac:dyDescent="0.3">
      <c r="B46" s="7" t="s">
        <v>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318"/>
      <c r="N46" s="3"/>
      <c r="O46" s="3"/>
      <c r="P46" s="3"/>
      <c r="Q46" s="3"/>
      <c r="R46" s="3"/>
    </row>
    <row r="47" spans="1:18" x14ac:dyDescent="0.3">
      <c r="B47" s="2" t="s">
        <v>5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318"/>
      <c r="N47" s="26"/>
      <c r="O47" s="26"/>
      <c r="P47" s="3"/>
      <c r="Q47" s="3"/>
      <c r="R47" s="3"/>
    </row>
    <row r="48" spans="1:18" x14ac:dyDescent="0.3">
      <c r="B48" s="1" t="s">
        <v>37</v>
      </c>
      <c r="C48" s="14"/>
      <c r="D48" s="14"/>
      <c r="H48" s="9"/>
      <c r="I48" s="9"/>
      <c r="J48" s="9"/>
      <c r="K48" s="9"/>
      <c r="L48" s="9"/>
      <c r="M48" s="318"/>
      <c r="N48" s="26"/>
      <c r="O48" s="26"/>
      <c r="P48" s="3"/>
      <c r="Q48" s="3"/>
      <c r="R48" s="3"/>
    </row>
    <row r="49" spans="1:18" s="27" customFormat="1" ht="12" x14ac:dyDescent="0.25">
      <c r="A49" s="25"/>
      <c r="B49" s="26" t="s">
        <v>34</v>
      </c>
      <c r="C49" s="24">
        <v>82120.039999999994</v>
      </c>
      <c r="D49" s="24">
        <v>61618.31</v>
      </c>
      <c r="E49" s="24">
        <v>61217.68</v>
      </c>
      <c r="F49" s="24">
        <v>56506.97</v>
      </c>
      <c r="G49" s="24">
        <v>57503.34</v>
      </c>
      <c r="H49" s="84">
        <f>G49</f>
        <v>57503.34</v>
      </c>
      <c r="I49" s="84">
        <f t="shared" ref="I49:L51" si="21">H49</f>
        <v>57503.34</v>
      </c>
      <c r="J49" s="84">
        <f t="shared" si="21"/>
        <v>57503.34</v>
      </c>
      <c r="K49" s="84">
        <f t="shared" si="21"/>
        <v>57503.34</v>
      </c>
      <c r="L49" s="84">
        <f t="shared" si="21"/>
        <v>57503.34</v>
      </c>
      <c r="M49" s="319"/>
      <c r="N49" s="26"/>
      <c r="O49" s="26"/>
      <c r="P49" s="26"/>
      <c r="Q49" s="26"/>
      <c r="R49" s="26"/>
    </row>
    <row r="50" spans="1:18" s="27" customFormat="1" ht="13.8" x14ac:dyDescent="0.3">
      <c r="A50" s="25"/>
      <c r="B50" s="28" t="s">
        <v>35</v>
      </c>
      <c r="C50" s="24">
        <v>1617.72</v>
      </c>
      <c r="D50" s="24">
        <v>1633.31</v>
      </c>
      <c r="E50" s="24">
        <v>1646.31</v>
      </c>
      <c r="F50" s="24">
        <v>1734.78</v>
      </c>
      <c r="G50" s="24">
        <v>2265.2399999999998</v>
      </c>
      <c r="H50" s="84">
        <f>G50</f>
        <v>2265.2399999999998</v>
      </c>
      <c r="I50" s="84">
        <f t="shared" si="21"/>
        <v>2265.2399999999998</v>
      </c>
      <c r="J50" s="84">
        <f t="shared" si="21"/>
        <v>2265.2399999999998</v>
      </c>
      <c r="K50" s="84">
        <f t="shared" si="21"/>
        <v>2265.2399999999998</v>
      </c>
      <c r="L50" s="84">
        <f t="shared" si="21"/>
        <v>2265.2399999999998</v>
      </c>
      <c r="M50" s="319"/>
      <c r="N50" s="3"/>
      <c r="O50" s="3"/>
      <c r="P50" s="26"/>
      <c r="Q50" s="26"/>
      <c r="R50" s="26"/>
    </row>
    <row r="51" spans="1:18" s="27" customFormat="1" ht="13.8" x14ac:dyDescent="0.3">
      <c r="A51" s="25"/>
      <c r="B51" s="26" t="s">
        <v>36</v>
      </c>
      <c r="C51" s="24">
        <v>186.74</v>
      </c>
      <c r="D51" s="24">
        <v>111.67</v>
      </c>
      <c r="E51" s="24">
        <v>272.95999999999998</v>
      </c>
      <c r="F51" s="24">
        <v>96.07</v>
      </c>
      <c r="G51" s="24">
        <v>252.18</v>
      </c>
      <c r="H51" s="84">
        <f>G51</f>
        <v>252.18</v>
      </c>
      <c r="I51" s="84">
        <f t="shared" si="21"/>
        <v>252.18</v>
      </c>
      <c r="J51" s="84">
        <f t="shared" si="21"/>
        <v>252.18</v>
      </c>
      <c r="K51" s="84">
        <f t="shared" si="21"/>
        <v>252.18</v>
      </c>
      <c r="L51" s="84">
        <f t="shared" si="21"/>
        <v>252.18</v>
      </c>
      <c r="M51" s="319"/>
      <c r="N51" s="3"/>
      <c r="O51" s="3"/>
      <c r="P51" s="26"/>
      <c r="Q51" s="26"/>
      <c r="R51" s="26"/>
    </row>
    <row r="52" spans="1:18" x14ac:dyDescent="0.3">
      <c r="B52" s="3"/>
      <c r="C52" s="23">
        <f>SUM(C49:C51)</f>
        <v>83924.5</v>
      </c>
      <c r="D52" s="23">
        <f>SUM(D49:D51)</f>
        <v>63363.289999999994</v>
      </c>
      <c r="E52" s="23">
        <f t="shared" ref="E52:L52" si="22">SUM(E49:E51)</f>
        <v>63136.95</v>
      </c>
      <c r="F52" s="23">
        <f t="shared" si="22"/>
        <v>58337.82</v>
      </c>
      <c r="G52" s="23">
        <f t="shared" si="22"/>
        <v>60020.759999999995</v>
      </c>
      <c r="H52" s="23">
        <f t="shared" si="22"/>
        <v>60020.759999999995</v>
      </c>
      <c r="I52" s="23">
        <f t="shared" si="22"/>
        <v>60020.759999999995</v>
      </c>
      <c r="J52" s="23">
        <f t="shared" si="22"/>
        <v>60020.759999999995</v>
      </c>
      <c r="K52" s="23">
        <f t="shared" si="22"/>
        <v>60020.759999999995</v>
      </c>
      <c r="L52" s="23">
        <f t="shared" si="22"/>
        <v>60020.759999999995</v>
      </c>
      <c r="M52" s="318"/>
      <c r="N52" s="3"/>
      <c r="O52" s="3"/>
      <c r="P52" s="3"/>
      <c r="Q52" s="3"/>
      <c r="R52" s="3"/>
    </row>
    <row r="53" spans="1:18" x14ac:dyDescent="0.3">
      <c r="B53" s="3" t="s">
        <v>41</v>
      </c>
      <c r="C53" s="10">
        <v>773.78</v>
      </c>
      <c r="D53" s="10">
        <v>817.77</v>
      </c>
      <c r="E53" s="10">
        <v>869.99</v>
      </c>
      <c r="F53" s="10">
        <v>987.38</v>
      </c>
      <c r="G53" s="10">
        <v>1124.01</v>
      </c>
      <c r="H53" s="84">
        <f>G53</f>
        <v>1124.01</v>
      </c>
      <c r="I53" s="84">
        <f t="shared" ref="I53:L55" si="23">H53</f>
        <v>1124.01</v>
      </c>
      <c r="J53" s="84">
        <f t="shared" si="23"/>
        <v>1124.01</v>
      </c>
      <c r="K53" s="84">
        <f t="shared" si="23"/>
        <v>1124.01</v>
      </c>
      <c r="L53" s="84">
        <f t="shared" si="23"/>
        <v>1124.01</v>
      </c>
      <c r="M53" s="318"/>
      <c r="N53" s="3"/>
      <c r="O53" s="3"/>
      <c r="P53" s="3"/>
      <c r="Q53" s="3"/>
      <c r="R53" s="3"/>
    </row>
    <row r="54" spans="1:18" x14ac:dyDescent="0.3">
      <c r="B54" s="3" t="s">
        <v>42</v>
      </c>
      <c r="C54" s="10">
        <v>1178.6600000000001</v>
      </c>
      <c r="D54" s="10">
        <v>1039.33</v>
      </c>
      <c r="E54" s="10">
        <v>630.42999999999995</v>
      </c>
      <c r="F54" s="10">
        <v>533.63</v>
      </c>
      <c r="G54" s="10">
        <v>410.01</v>
      </c>
      <c r="H54" s="84">
        <f>G54</f>
        <v>410.01</v>
      </c>
      <c r="I54" s="84">
        <f t="shared" si="23"/>
        <v>410.01</v>
      </c>
      <c r="J54" s="84">
        <f t="shared" si="23"/>
        <v>410.01</v>
      </c>
      <c r="K54" s="84">
        <f t="shared" si="23"/>
        <v>410.01</v>
      </c>
      <c r="L54" s="84">
        <f t="shared" si="23"/>
        <v>410.01</v>
      </c>
      <c r="M54" s="318"/>
      <c r="N54" s="3"/>
      <c r="O54" s="3"/>
      <c r="P54" s="3"/>
      <c r="Q54" s="3"/>
      <c r="R54" s="3"/>
    </row>
    <row r="55" spans="1:18" x14ac:dyDescent="0.3">
      <c r="B55" s="3" t="s">
        <v>43</v>
      </c>
      <c r="C55" s="10">
        <v>68.7</v>
      </c>
      <c r="D55" s="10">
        <v>21.27</v>
      </c>
      <c r="E55" s="10">
        <v>81.73</v>
      </c>
      <c r="F55" s="10">
        <v>618.02</v>
      </c>
      <c r="G55" s="10">
        <v>594.74</v>
      </c>
      <c r="H55" s="84">
        <f>G55</f>
        <v>594.74</v>
      </c>
      <c r="I55" s="84">
        <f t="shared" si="23"/>
        <v>594.74</v>
      </c>
      <c r="J55" s="84">
        <f t="shared" si="23"/>
        <v>594.74</v>
      </c>
      <c r="K55" s="84">
        <f t="shared" si="23"/>
        <v>594.74</v>
      </c>
      <c r="L55" s="84">
        <f t="shared" si="23"/>
        <v>594.74</v>
      </c>
      <c r="M55" s="318"/>
      <c r="N55" s="3"/>
      <c r="O55" s="3"/>
      <c r="P55" s="3"/>
      <c r="Q55" s="3"/>
      <c r="R55" s="3"/>
    </row>
    <row r="56" spans="1:18" x14ac:dyDescent="0.3">
      <c r="B56" s="15" t="s">
        <v>53</v>
      </c>
      <c r="C56" s="18">
        <f>SUM(C52:C55)</f>
        <v>85945.64</v>
      </c>
      <c r="D56" s="18">
        <f>SUM(D52:D55)</f>
        <v>65241.659999999989</v>
      </c>
      <c r="E56" s="18">
        <f t="shared" ref="E56:L56" si="24">SUM(E52:E55)</f>
        <v>64719.1</v>
      </c>
      <c r="F56" s="18">
        <f t="shared" si="24"/>
        <v>60476.849999999991</v>
      </c>
      <c r="G56" s="18">
        <f t="shared" si="24"/>
        <v>62149.52</v>
      </c>
      <c r="H56" s="18">
        <f t="shared" si="24"/>
        <v>62149.52</v>
      </c>
      <c r="I56" s="18">
        <f t="shared" si="24"/>
        <v>62149.52</v>
      </c>
      <c r="J56" s="18">
        <f t="shared" si="24"/>
        <v>62149.52</v>
      </c>
      <c r="K56" s="18">
        <f t="shared" si="24"/>
        <v>62149.52</v>
      </c>
      <c r="L56" s="18">
        <f t="shared" si="24"/>
        <v>62149.52</v>
      </c>
      <c r="M56" s="318"/>
      <c r="N56" s="3"/>
      <c r="O56" s="3"/>
      <c r="P56" s="3"/>
      <c r="Q56" s="3"/>
      <c r="R56" s="3"/>
    </row>
    <row r="57" spans="1:18" x14ac:dyDescent="0.3">
      <c r="B57" s="3"/>
      <c r="C57" s="9"/>
      <c r="D57" s="9"/>
      <c r="E57" s="9"/>
      <c r="F57" s="9"/>
      <c r="G57" s="9"/>
      <c r="H57" s="9"/>
      <c r="I57" s="9"/>
      <c r="J57" s="9"/>
      <c r="K57" s="9"/>
      <c r="L57" s="9"/>
      <c r="M57" s="318"/>
      <c r="N57" s="3"/>
      <c r="O57" s="3"/>
      <c r="P57" s="3"/>
      <c r="Q57" s="3"/>
      <c r="R57" s="3"/>
    </row>
    <row r="58" spans="1:18" x14ac:dyDescent="0.3">
      <c r="B58" s="2" t="s">
        <v>6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318"/>
      <c r="N58" s="26"/>
      <c r="O58" s="26"/>
      <c r="P58" s="3"/>
      <c r="Q58" s="3"/>
      <c r="R58" s="3"/>
    </row>
    <row r="59" spans="1:18" x14ac:dyDescent="0.3">
      <c r="B59" s="1" t="s">
        <v>55</v>
      </c>
      <c r="C59" s="14"/>
      <c r="D59" s="14"/>
      <c r="H59" s="84"/>
      <c r="I59" s="84"/>
      <c r="J59" s="84"/>
      <c r="K59" s="84"/>
      <c r="L59" s="84"/>
      <c r="M59" s="318"/>
      <c r="N59" s="26"/>
      <c r="O59" s="26"/>
      <c r="P59" s="3"/>
      <c r="Q59" s="3"/>
      <c r="R59" s="3"/>
    </row>
    <row r="60" spans="1:18" s="27" customFormat="1" ht="12" x14ac:dyDescent="0.25">
      <c r="A60" s="25"/>
      <c r="B60" s="26" t="s">
        <v>34</v>
      </c>
      <c r="C60" s="24">
        <v>27765.83</v>
      </c>
      <c r="D60" s="24">
        <v>30476.959999999999</v>
      </c>
      <c r="E60" s="24">
        <v>30896.32</v>
      </c>
      <c r="F60" s="24">
        <v>27834.27</v>
      </c>
      <c r="G60" s="24">
        <v>35861.300000000003</v>
      </c>
      <c r="H60" s="84">
        <f t="shared" ref="H60:L60" si="25">G60</f>
        <v>35861.300000000003</v>
      </c>
      <c r="I60" s="84">
        <f t="shared" si="25"/>
        <v>35861.300000000003</v>
      </c>
      <c r="J60" s="84">
        <f t="shared" si="25"/>
        <v>35861.300000000003</v>
      </c>
      <c r="K60" s="84">
        <f t="shared" si="25"/>
        <v>35861.300000000003</v>
      </c>
      <c r="L60" s="84">
        <f t="shared" si="25"/>
        <v>35861.300000000003</v>
      </c>
      <c r="M60" s="319"/>
      <c r="N60" s="26"/>
      <c r="O60" s="26"/>
      <c r="P60" s="26"/>
      <c r="Q60" s="26"/>
      <c r="R60" s="26"/>
    </row>
    <row r="61" spans="1:18" s="27" customFormat="1" ht="12" x14ac:dyDescent="0.25">
      <c r="A61" s="25"/>
      <c r="B61" s="26" t="s">
        <v>40</v>
      </c>
      <c r="C61" s="24">
        <v>22719.39</v>
      </c>
      <c r="D61" s="24">
        <v>31372.959999999999</v>
      </c>
      <c r="E61" s="24">
        <v>26399.38</v>
      </c>
      <c r="F61" s="24">
        <v>29698.53</v>
      </c>
      <c r="G61" s="24">
        <v>36194.699999999997</v>
      </c>
      <c r="H61" s="84">
        <f t="shared" ref="H61:L61" si="26">G61</f>
        <v>36194.699999999997</v>
      </c>
      <c r="I61" s="84">
        <f t="shared" si="26"/>
        <v>36194.699999999997</v>
      </c>
      <c r="J61" s="84">
        <f t="shared" si="26"/>
        <v>36194.699999999997</v>
      </c>
      <c r="K61" s="84">
        <f t="shared" si="26"/>
        <v>36194.699999999997</v>
      </c>
      <c r="L61" s="84">
        <f t="shared" si="26"/>
        <v>36194.699999999997</v>
      </c>
      <c r="M61" s="319"/>
      <c r="N61" s="26"/>
      <c r="O61" s="26"/>
      <c r="P61" s="26"/>
      <c r="Q61" s="26"/>
      <c r="R61" s="26"/>
    </row>
    <row r="62" spans="1:18" s="27" customFormat="1" ht="12" x14ac:dyDescent="0.25">
      <c r="A62" s="25"/>
      <c r="B62" s="28" t="s">
        <v>35</v>
      </c>
      <c r="C62" s="24">
        <v>406.1</v>
      </c>
      <c r="D62" s="24">
        <v>406.54</v>
      </c>
      <c r="E62" s="24">
        <v>490.75</v>
      </c>
      <c r="F62" s="24">
        <v>547.66999999999996</v>
      </c>
      <c r="G62" s="24">
        <v>584.34</v>
      </c>
      <c r="H62" s="84">
        <f t="shared" ref="H62:L62" si="27">G62</f>
        <v>584.34</v>
      </c>
      <c r="I62" s="84">
        <f t="shared" si="27"/>
        <v>584.34</v>
      </c>
      <c r="J62" s="84">
        <f t="shared" si="27"/>
        <v>584.34</v>
      </c>
      <c r="K62" s="84">
        <f t="shared" si="27"/>
        <v>584.34</v>
      </c>
      <c r="L62" s="84">
        <f t="shared" si="27"/>
        <v>584.34</v>
      </c>
      <c r="M62" s="319"/>
      <c r="N62" s="26"/>
      <c r="O62" s="26"/>
      <c r="P62" s="26"/>
      <c r="Q62" s="26"/>
      <c r="R62" s="26"/>
    </row>
    <row r="63" spans="1:18" s="27" customFormat="1" ht="12" x14ac:dyDescent="0.25">
      <c r="A63" s="25"/>
      <c r="B63" s="29" t="s">
        <v>56</v>
      </c>
      <c r="C63" s="24"/>
      <c r="D63" s="24"/>
      <c r="H63" s="84"/>
      <c r="I63" s="84"/>
      <c r="J63" s="84"/>
      <c r="K63" s="84"/>
      <c r="L63" s="84"/>
      <c r="M63" s="319"/>
      <c r="N63" s="26"/>
      <c r="O63" s="26"/>
      <c r="P63" s="26"/>
      <c r="Q63" s="26"/>
      <c r="R63" s="26"/>
    </row>
    <row r="64" spans="1:18" s="27" customFormat="1" ht="12" x14ac:dyDescent="0.25">
      <c r="A64" s="25"/>
      <c r="B64" s="28" t="s">
        <v>44</v>
      </c>
      <c r="C64" s="24">
        <v>488.99</v>
      </c>
      <c r="D64" s="24">
        <v>575.91</v>
      </c>
      <c r="E64" s="24">
        <v>851.7</v>
      </c>
      <c r="F64" s="24">
        <v>1018.71</v>
      </c>
      <c r="G64" s="24">
        <v>1417.65</v>
      </c>
      <c r="H64" s="84">
        <f t="shared" ref="H64:L64" si="28">G64</f>
        <v>1417.65</v>
      </c>
      <c r="I64" s="84">
        <f t="shared" si="28"/>
        <v>1417.65</v>
      </c>
      <c r="J64" s="84">
        <f t="shared" si="28"/>
        <v>1417.65</v>
      </c>
      <c r="K64" s="84">
        <f t="shared" si="28"/>
        <v>1417.65</v>
      </c>
      <c r="L64" s="84">
        <f t="shared" si="28"/>
        <v>1417.65</v>
      </c>
      <c r="M64" s="319"/>
      <c r="N64" s="26"/>
      <c r="O64" s="26"/>
      <c r="P64" s="26"/>
      <c r="Q64" s="26"/>
      <c r="R64" s="26"/>
    </row>
    <row r="65" spans="1:19" s="27" customFormat="1" ht="13.8" x14ac:dyDescent="0.3">
      <c r="A65" s="25"/>
      <c r="B65" s="26" t="s">
        <v>45</v>
      </c>
      <c r="C65" s="24">
        <v>45256.24</v>
      </c>
      <c r="D65" s="24">
        <v>50568.33</v>
      </c>
      <c r="E65" s="24">
        <v>48932.42</v>
      </c>
      <c r="F65" s="24">
        <v>52274.17</v>
      </c>
      <c r="G65" s="24">
        <v>51041.69</v>
      </c>
      <c r="H65" s="84">
        <f t="shared" ref="H65:L65" si="29">G65</f>
        <v>51041.69</v>
      </c>
      <c r="I65" s="84">
        <f t="shared" si="29"/>
        <v>51041.69</v>
      </c>
      <c r="J65" s="84">
        <f t="shared" si="29"/>
        <v>51041.69</v>
      </c>
      <c r="K65" s="84">
        <f t="shared" si="29"/>
        <v>51041.69</v>
      </c>
      <c r="L65" s="84">
        <f t="shared" si="29"/>
        <v>51041.69</v>
      </c>
      <c r="M65" s="319"/>
      <c r="N65" s="3"/>
      <c r="O65" s="3"/>
      <c r="P65" s="26"/>
      <c r="Q65" s="26"/>
      <c r="R65" s="26"/>
    </row>
    <row r="66" spans="1:19" s="27" customFormat="1" ht="13.8" x14ac:dyDescent="0.3">
      <c r="A66" s="25"/>
      <c r="B66" s="26" t="s">
        <v>36</v>
      </c>
      <c r="C66" s="24">
        <v>5328.93</v>
      </c>
      <c r="D66" s="24">
        <v>6643.32</v>
      </c>
      <c r="E66" s="24">
        <v>7441.94</v>
      </c>
      <c r="F66" s="24">
        <v>7575.67</v>
      </c>
      <c r="G66" s="24">
        <v>6273.37</v>
      </c>
      <c r="H66" s="84">
        <f t="shared" ref="H66:L66" si="30">G66</f>
        <v>6273.37</v>
      </c>
      <c r="I66" s="84">
        <f t="shared" si="30"/>
        <v>6273.37</v>
      </c>
      <c r="J66" s="84">
        <f t="shared" si="30"/>
        <v>6273.37</v>
      </c>
      <c r="K66" s="84">
        <f t="shared" si="30"/>
        <v>6273.37</v>
      </c>
      <c r="L66" s="84">
        <f t="shared" si="30"/>
        <v>6273.37</v>
      </c>
      <c r="M66" s="319"/>
      <c r="N66" s="3"/>
      <c r="O66" s="3"/>
      <c r="P66" s="26"/>
      <c r="Q66" s="26"/>
      <c r="R66" s="26"/>
    </row>
    <row r="67" spans="1:19" x14ac:dyDescent="0.3">
      <c r="B67" s="3"/>
      <c r="C67" s="23">
        <f>SUM(C60:C66)</f>
        <v>101965.47999999998</v>
      </c>
      <c r="D67" s="23">
        <f>SUM(D60:D66)</f>
        <v>120044.02000000002</v>
      </c>
      <c r="E67" s="23">
        <f t="shared" ref="E67:L67" si="31">SUM(E60:E66)</f>
        <v>115012.51</v>
      </c>
      <c r="F67" s="23">
        <f t="shared" si="31"/>
        <v>118949.02</v>
      </c>
      <c r="G67" s="23">
        <f t="shared" si="31"/>
        <v>131373.04999999999</v>
      </c>
      <c r="H67" s="23">
        <f t="shared" si="31"/>
        <v>131373.04999999999</v>
      </c>
      <c r="I67" s="23">
        <f t="shared" si="31"/>
        <v>131373.04999999999</v>
      </c>
      <c r="J67" s="23">
        <f t="shared" si="31"/>
        <v>131373.04999999999</v>
      </c>
      <c r="K67" s="23">
        <f t="shared" si="31"/>
        <v>131373.04999999999</v>
      </c>
      <c r="L67" s="23">
        <f t="shared" si="31"/>
        <v>131373.04999999999</v>
      </c>
      <c r="M67" s="318"/>
      <c r="N67" s="3"/>
      <c r="O67" s="3"/>
      <c r="P67" s="3"/>
      <c r="Q67" s="3"/>
      <c r="R67" s="3"/>
    </row>
    <row r="68" spans="1:19" x14ac:dyDescent="0.3">
      <c r="B68" s="3" t="s">
        <v>46</v>
      </c>
      <c r="C68" s="10">
        <v>31269.63</v>
      </c>
      <c r="D68" s="10">
        <v>34644.1</v>
      </c>
      <c r="E68" s="10">
        <v>42166.55</v>
      </c>
      <c r="F68" s="10">
        <v>52184.08</v>
      </c>
      <c r="G68" s="10">
        <v>63326.97</v>
      </c>
      <c r="H68" s="84">
        <f t="shared" ref="H68:L70" si="32">G68</f>
        <v>63326.97</v>
      </c>
      <c r="I68" s="84">
        <f t="shared" si="32"/>
        <v>63326.97</v>
      </c>
      <c r="J68" s="84">
        <f t="shared" si="32"/>
        <v>63326.97</v>
      </c>
      <c r="K68" s="84">
        <f t="shared" si="32"/>
        <v>63326.97</v>
      </c>
      <c r="L68" s="84">
        <f t="shared" si="32"/>
        <v>63326.97</v>
      </c>
      <c r="M68" s="318"/>
      <c r="N68" s="3"/>
      <c r="O68" s="3"/>
      <c r="P68" s="3"/>
      <c r="Q68" s="3"/>
      <c r="R68" s="3"/>
    </row>
    <row r="69" spans="1:19" x14ac:dyDescent="0.3">
      <c r="B69" s="3" t="s">
        <v>41</v>
      </c>
      <c r="C69" s="10">
        <v>2998.68</v>
      </c>
      <c r="D69" s="10">
        <v>3355.86</v>
      </c>
      <c r="E69" s="10">
        <v>3493.47</v>
      </c>
      <c r="F69" s="10">
        <v>4115.8900000000003</v>
      </c>
      <c r="G69" s="10">
        <v>4691.67</v>
      </c>
      <c r="H69" s="84">
        <f t="shared" si="32"/>
        <v>4691.67</v>
      </c>
      <c r="I69" s="84">
        <f t="shared" si="32"/>
        <v>4691.67</v>
      </c>
      <c r="J69" s="84">
        <f t="shared" si="32"/>
        <v>4691.67</v>
      </c>
      <c r="K69" s="84">
        <f t="shared" si="32"/>
        <v>4691.67</v>
      </c>
      <c r="L69" s="84">
        <f t="shared" si="32"/>
        <v>4691.67</v>
      </c>
      <c r="M69" s="318"/>
      <c r="N69" s="3"/>
      <c r="O69" s="3"/>
      <c r="P69" s="3"/>
      <c r="Q69" s="3"/>
      <c r="R69" s="3"/>
    </row>
    <row r="70" spans="1:19" x14ac:dyDescent="0.3">
      <c r="B70" s="4" t="s">
        <v>47</v>
      </c>
      <c r="C70" s="10">
        <v>1171.02</v>
      </c>
      <c r="D70" s="10">
        <v>1309.82</v>
      </c>
      <c r="E70" s="10">
        <v>1393.46</v>
      </c>
      <c r="F70" s="10">
        <v>1860.47</v>
      </c>
      <c r="G70" s="10">
        <v>2579.21</v>
      </c>
      <c r="H70" s="84">
        <f t="shared" si="32"/>
        <v>2579.21</v>
      </c>
      <c r="I70" s="84">
        <f t="shared" si="32"/>
        <v>2579.21</v>
      </c>
      <c r="J70" s="84">
        <f t="shared" si="32"/>
        <v>2579.21</v>
      </c>
      <c r="K70" s="84">
        <f t="shared" si="32"/>
        <v>2579.21</v>
      </c>
      <c r="L70" s="84">
        <f t="shared" si="32"/>
        <v>2579.21</v>
      </c>
      <c r="M70" s="318"/>
      <c r="N70" s="3"/>
      <c r="O70" s="3"/>
      <c r="P70" s="3"/>
      <c r="Q70" s="3"/>
      <c r="R70" s="3"/>
    </row>
    <row r="71" spans="1:19" x14ac:dyDescent="0.3">
      <c r="B71" s="15" t="s">
        <v>54</v>
      </c>
      <c r="C71" s="18">
        <f>SUM(C67:C70)</f>
        <v>137404.80999999997</v>
      </c>
      <c r="D71" s="18">
        <f>SUM(D67:D70)</f>
        <v>159353.80000000002</v>
      </c>
      <c r="E71" s="18">
        <f t="shared" ref="E71:L71" si="33">SUM(E67:E70)</f>
        <v>162065.99</v>
      </c>
      <c r="F71" s="18">
        <f t="shared" si="33"/>
        <v>177109.46000000002</v>
      </c>
      <c r="G71" s="18">
        <f t="shared" si="33"/>
        <v>201970.9</v>
      </c>
      <c r="H71" s="18">
        <f t="shared" si="33"/>
        <v>201970.9</v>
      </c>
      <c r="I71" s="18">
        <f t="shared" si="33"/>
        <v>201970.9</v>
      </c>
      <c r="J71" s="18">
        <f t="shared" si="33"/>
        <v>201970.9</v>
      </c>
      <c r="K71" s="18">
        <f t="shared" si="33"/>
        <v>201970.9</v>
      </c>
      <c r="L71" s="18">
        <f t="shared" si="33"/>
        <v>201970.9</v>
      </c>
      <c r="M71" s="318"/>
      <c r="N71" s="3"/>
      <c r="O71" s="3"/>
      <c r="P71" s="3"/>
      <c r="Q71" s="3"/>
      <c r="R71" s="3"/>
    </row>
    <row r="72" spans="1:19" x14ac:dyDescent="0.3">
      <c r="B72" s="3"/>
      <c r="C72" s="9"/>
      <c r="D72" s="9"/>
      <c r="E72" s="9"/>
      <c r="F72" s="9"/>
      <c r="G72" s="9"/>
      <c r="H72" s="9"/>
      <c r="I72" s="9"/>
      <c r="J72" s="9"/>
      <c r="K72" s="9"/>
      <c r="L72" s="9"/>
      <c r="M72" s="318"/>
      <c r="N72" s="3"/>
      <c r="O72" s="3"/>
      <c r="P72" s="3"/>
      <c r="Q72" s="3"/>
      <c r="R72" s="3"/>
    </row>
    <row r="73" spans="1:19" x14ac:dyDescent="0.3">
      <c r="B73" s="3" t="s">
        <v>48</v>
      </c>
      <c r="C73" s="10">
        <v>3.2</v>
      </c>
      <c r="D73" s="10">
        <v>79.73</v>
      </c>
      <c r="E73" s="34"/>
      <c r="F73" s="24"/>
      <c r="G73" s="24"/>
      <c r="H73" s="9"/>
      <c r="I73" s="9"/>
      <c r="J73" s="9"/>
      <c r="K73" s="9"/>
      <c r="L73" s="9"/>
      <c r="M73" s="318"/>
      <c r="N73" s="3"/>
      <c r="O73" s="3"/>
      <c r="P73" s="3"/>
      <c r="Q73" s="3"/>
      <c r="R73" s="3"/>
    </row>
    <row r="74" spans="1:19" x14ac:dyDescent="0.3">
      <c r="B74" s="22" t="s">
        <v>7</v>
      </c>
      <c r="C74" s="18">
        <f>SUM(C71,C73,C56)</f>
        <v>223353.64999999997</v>
      </c>
      <c r="D74" s="18">
        <f>SUM(D71,D73,D56)</f>
        <v>224675.19</v>
      </c>
      <c r="E74" s="18">
        <f>SUM(E71,E73,E56)</f>
        <v>226785.09</v>
      </c>
      <c r="F74" s="18">
        <f t="shared" ref="F74:L74" si="34">SUM(F71,F73,F56)</f>
        <v>237586.31</v>
      </c>
      <c r="G74" s="18">
        <f t="shared" si="34"/>
        <v>264120.42</v>
      </c>
      <c r="H74" s="18">
        <f t="shared" si="34"/>
        <v>264120.42</v>
      </c>
      <c r="I74" s="18">
        <f t="shared" si="34"/>
        <v>264120.42</v>
      </c>
      <c r="J74" s="18">
        <f t="shared" si="34"/>
        <v>264120.42</v>
      </c>
      <c r="K74" s="18">
        <f t="shared" si="34"/>
        <v>264120.42</v>
      </c>
      <c r="L74" s="18">
        <f t="shared" si="34"/>
        <v>264120.42</v>
      </c>
      <c r="M74" s="318"/>
      <c r="N74" s="3"/>
      <c r="O74" s="3"/>
      <c r="P74" s="3"/>
      <c r="Q74" s="3"/>
      <c r="R74" s="3"/>
    </row>
    <row r="75" spans="1:19" ht="15" thickBot="1" x14ac:dyDescent="0.35">
      <c r="B75" s="2"/>
      <c r="C75" s="11"/>
      <c r="D75" s="11"/>
      <c r="E75" s="11"/>
      <c r="F75" s="11"/>
      <c r="G75" s="11"/>
      <c r="H75" s="9"/>
      <c r="I75" s="9"/>
      <c r="J75" s="9"/>
      <c r="K75" s="9"/>
      <c r="L75" s="9"/>
      <c r="M75" s="318"/>
      <c r="N75" s="3"/>
      <c r="O75" s="3"/>
      <c r="P75" s="3"/>
      <c r="Q75" s="3"/>
      <c r="R75" s="3"/>
    </row>
    <row r="76" spans="1:19" ht="15.6" thickTop="1" thickBot="1" x14ac:dyDescent="0.35">
      <c r="B76" s="21" t="s">
        <v>8</v>
      </c>
      <c r="C76" s="20">
        <f>SUM(C74,C44)</f>
        <v>311273.70999999996</v>
      </c>
      <c r="D76" s="20">
        <f>SUM(D74,D44)</f>
        <v>320048.92</v>
      </c>
      <c r="E76" s="20">
        <f t="shared" ref="E76:L76" si="35">SUM(E74,E44)</f>
        <v>330352.31</v>
      </c>
      <c r="F76" s="20">
        <f t="shared" si="35"/>
        <v>340135.97</v>
      </c>
      <c r="G76" s="20">
        <f t="shared" si="35"/>
        <v>379524.1</v>
      </c>
      <c r="H76" s="20">
        <f t="shared" si="35"/>
        <v>406593.61393884144</v>
      </c>
      <c r="I76" s="20">
        <f t="shared" si="35"/>
        <v>435486.28875246097</v>
      </c>
      <c r="J76" s="20">
        <f t="shared" si="35"/>
        <v>465855.48960358306</v>
      </c>
      <c r="K76" s="20">
        <f t="shared" si="35"/>
        <v>497151.97407587478</v>
      </c>
      <c r="L76" s="20">
        <f t="shared" si="35"/>
        <v>528558.82818408054</v>
      </c>
      <c r="M76" s="318"/>
      <c r="N76" s="31"/>
      <c r="O76" s="31"/>
      <c r="P76" s="3"/>
      <c r="Q76" s="3"/>
      <c r="R76" s="3"/>
    </row>
    <row r="77" spans="1:19" ht="15" thickTop="1" x14ac:dyDescent="0.3">
      <c r="B77" s="3"/>
      <c r="C77" s="9"/>
      <c r="D77" s="9"/>
      <c r="E77" s="3"/>
      <c r="F77" s="3"/>
      <c r="G77" s="3"/>
      <c r="H77" s="9"/>
      <c r="I77" s="9"/>
      <c r="J77" s="9"/>
      <c r="K77" s="9"/>
      <c r="L77" s="9"/>
      <c r="M77" s="318"/>
      <c r="N77" s="3"/>
      <c r="O77" s="3"/>
      <c r="P77" s="3"/>
      <c r="Q77" s="3"/>
      <c r="R77" s="3"/>
    </row>
    <row r="78" spans="1:19" s="303" customFormat="1" ht="13.8" x14ac:dyDescent="0.3">
      <c r="A78" s="300"/>
      <c r="B78" s="32" t="s">
        <v>57</v>
      </c>
      <c r="C78" s="33" t="str">
        <f t="shared" ref="C78:K78" si="36">IF(C37=C76,"TRUE",C37-C76)</f>
        <v>TRUE</v>
      </c>
      <c r="D78" s="33" t="str">
        <f t="shared" si="36"/>
        <v>TRUE</v>
      </c>
      <c r="E78" s="33" t="str">
        <f t="shared" si="36"/>
        <v>TRUE</v>
      </c>
      <c r="F78" s="33" t="str">
        <f t="shared" si="36"/>
        <v>TRUE</v>
      </c>
      <c r="G78" s="33" t="str">
        <f t="shared" si="36"/>
        <v>TRUE</v>
      </c>
      <c r="H78" s="89" t="str">
        <f t="shared" si="36"/>
        <v>TRUE</v>
      </c>
      <c r="I78" s="89" t="str">
        <f t="shared" si="36"/>
        <v>TRUE</v>
      </c>
      <c r="J78" s="89" t="str">
        <f t="shared" si="36"/>
        <v>TRUE</v>
      </c>
      <c r="K78" s="89" t="str">
        <f t="shared" si="36"/>
        <v>TRUE</v>
      </c>
      <c r="L78" s="89" t="str">
        <f>IF(L37=L76,"TRUE",L37-L76)</f>
        <v>TRUE</v>
      </c>
      <c r="M78" s="321"/>
      <c r="N78" s="302"/>
      <c r="O78" s="302"/>
      <c r="P78" s="301"/>
      <c r="Q78" s="301"/>
      <c r="R78" s="301"/>
      <c r="S78" s="301"/>
    </row>
    <row r="79" spans="1:19" x14ac:dyDescent="0.3">
      <c r="B79" s="3"/>
      <c r="C79" s="3"/>
      <c r="D79" s="3"/>
      <c r="E79" s="3"/>
      <c r="F79" s="3"/>
      <c r="G79" s="3"/>
      <c r="H79" s="9"/>
      <c r="I79" s="9"/>
      <c r="J79" s="9"/>
      <c r="K79" s="9"/>
      <c r="L79" s="9"/>
      <c r="M79" s="318"/>
      <c r="N79" s="3"/>
      <c r="O79" s="3"/>
      <c r="P79" s="3"/>
      <c r="Q79" s="3"/>
      <c r="R79" s="3"/>
      <c r="S79" s="3"/>
    </row>
    <row r="80" spans="1:19" x14ac:dyDescent="0.3">
      <c r="B80" s="3"/>
      <c r="C80" s="3"/>
      <c r="D80" s="3"/>
      <c r="E80" s="3"/>
      <c r="F80" s="3"/>
      <c r="G80" s="3"/>
      <c r="H80" s="9"/>
      <c r="I80" s="9"/>
      <c r="J80" s="9"/>
      <c r="K80" s="9"/>
      <c r="L80" s="9"/>
      <c r="M80" s="318"/>
      <c r="N80" s="3"/>
      <c r="O80" s="3"/>
      <c r="P80" s="3"/>
      <c r="Q80" s="3"/>
      <c r="R80" s="3"/>
      <c r="S80" s="3"/>
    </row>
    <row r="81" spans="2:19" x14ac:dyDescent="0.3">
      <c r="B81" s="3"/>
      <c r="C81" s="3"/>
      <c r="D81" s="3"/>
      <c r="E81" s="3"/>
      <c r="F81" s="3"/>
      <c r="G81" s="3"/>
      <c r="H81" s="9"/>
      <c r="I81" s="9"/>
      <c r="J81" s="9"/>
      <c r="K81" s="9"/>
      <c r="L81" s="9"/>
      <c r="M81" s="318"/>
      <c r="N81" s="3"/>
      <c r="O81" s="3"/>
      <c r="P81" s="3"/>
      <c r="Q81" s="3"/>
      <c r="R81" s="3"/>
      <c r="S81" s="3"/>
    </row>
    <row r="82" spans="2:19" x14ac:dyDescent="0.3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18"/>
      <c r="N82" s="3"/>
      <c r="O82" s="3"/>
      <c r="P82" s="3"/>
      <c r="Q82" s="3"/>
      <c r="R82" s="3"/>
      <c r="S82" s="3"/>
    </row>
    <row r="83" spans="2:19" x14ac:dyDescent="0.3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18"/>
      <c r="N83" s="3"/>
      <c r="O83" s="3"/>
      <c r="P83" s="3"/>
      <c r="Q83" s="3"/>
      <c r="R83" s="3"/>
      <c r="S83" s="3"/>
    </row>
    <row r="84" spans="2:19" x14ac:dyDescent="0.3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18"/>
      <c r="N84" s="3"/>
      <c r="O84" s="3"/>
      <c r="P84" s="3"/>
      <c r="Q84" s="3"/>
      <c r="R84" s="3"/>
      <c r="S84" s="3"/>
    </row>
    <row r="85" spans="2:19" x14ac:dyDescent="0.3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18"/>
      <c r="N85" s="3"/>
      <c r="O85" s="3"/>
      <c r="P85" s="3"/>
      <c r="Q85" s="3"/>
      <c r="R85" s="3"/>
      <c r="S85" s="3"/>
    </row>
    <row r="86" spans="2:19" x14ac:dyDescent="0.3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18"/>
      <c r="N86" s="3"/>
      <c r="O86" s="3"/>
      <c r="P86" s="3"/>
      <c r="Q86" s="3"/>
      <c r="R86" s="3"/>
      <c r="S86" s="3"/>
    </row>
    <row r="87" spans="2:19" x14ac:dyDescent="0.3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18"/>
      <c r="N87" s="3"/>
      <c r="O87" s="3"/>
      <c r="P87" s="3"/>
      <c r="Q87" s="3"/>
      <c r="R87" s="3"/>
      <c r="S87" s="3"/>
    </row>
    <row r="88" spans="2:19" x14ac:dyDescent="0.3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18"/>
      <c r="N88" s="3"/>
      <c r="O88" s="3"/>
      <c r="P88" s="3"/>
      <c r="Q88" s="3"/>
      <c r="R88" s="3"/>
      <c r="S88" s="3"/>
    </row>
    <row r="89" spans="2:19" x14ac:dyDescent="0.3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18"/>
      <c r="N89" s="3"/>
      <c r="O89" s="3"/>
      <c r="P89" s="3"/>
      <c r="Q89" s="3"/>
      <c r="R89" s="3"/>
      <c r="S89" s="3"/>
    </row>
    <row r="90" spans="2:19" x14ac:dyDescent="0.3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18"/>
      <c r="N90" s="3"/>
      <c r="O90" s="3"/>
      <c r="P90" s="3"/>
      <c r="Q90" s="3"/>
      <c r="R90" s="3"/>
      <c r="S90" s="3"/>
    </row>
    <row r="91" spans="2:19" x14ac:dyDescent="0.3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18"/>
      <c r="N91" s="3"/>
      <c r="O91" s="3"/>
      <c r="P91" s="3"/>
      <c r="Q91" s="3"/>
      <c r="R91" s="3"/>
      <c r="S91" s="3"/>
    </row>
    <row r="92" spans="2:19" x14ac:dyDescent="0.3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18"/>
      <c r="N92" s="3"/>
      <c r="O92" s="3"/>
      <c r="P92" s="3"/>
      <c r="Q92" s="3"/>
      <c r="R92" s="3"/>
      <c r="S92" s="3"/>
    </row>
    <row r="93" spans="2:19" x14ac:dyDescent="0.3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18"/>
      <c r="N93" s="3"/>
      <c r="O93" s="3"/>
      <c r="P93" s="3"/>
      <c r="Q93" s="3"/>
      <c r="R93" s="3"/>
      <c r="S93" s="3"/>
    </row>
    <row r="94" spans="2:19" x14ac:dyDescent="0.3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18"/>
      <c r="N94" s="3"/>
      <c r="O94" s="3"/>
      <c r="P94" s="3"/>
      <c r="Q94" s="3"/>
      <c r="R94" s="3"/>
      <c r="S94" s="3"/>
    </row>
    <row r="95" spans="2:19" x14ac:dyDescent="0.3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18"/>
      <c r="N95" s="3"/>
      <c r="O95" s="3"/>
      <c r="P95" s="3"/>
      <c r="Q95" s="3"/>
      <c r="R95" s="3"/>
      <c r="S95" s="3"/>
    </row>
    <row r="96" spans="2:19" x14ac:dyDescent="0.3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18"/>
      <c r="N96" s="3"/>
      <c r="O96" s="3"/>
      <c r="P96" s="3"/>
      <c r="Q96" s="3"/>
      <c r="R96" s="3"/>
      <c r="S96" s="3"/>
    </row>
    <row r="97" spans="2:19" x14ac:dyDescent="0.3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18"/>
      <c r="N97" s="3"/>
      <c r="O97" s="3"/>
      <c r="P97" s="3"/>
      <c r="Q97" s="3"/>
      <c r="R97" s="3"/>
      <c r="S97" s="3"/>
    </row>
    <row r="98" spans="2:19" x14ac:dyDescent="0.3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18"/>
      <c r="N98" s="3"/>
      <c r="O98" s="3"/>
      <c r="P98" s="3"/>
      <c r="Q98" s="3"/>
      <c r="R98" s="3"/>
      <c r="S98" s="3"/>
    </row>
    <row r="99" spans="2:19" x14ac:dyDescent="0.3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18"/>
      <c r="N99" s="3"/>
      <c r="O99" s="3"/>
      <c r="P99" s="3"/>
      <c r="Q99" s="3"/>
      <c r="R99" s="3"/>
      <c r="S99" s="3"/>
    </row>
    <row r="100" spans="2:19" x14ac:dyDescent="0.3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18"/>
      <c r="N100" s="3"/>
      <c r="O100" s="3"/>
      <c r="P100" s="3"/>
      <c r="Q100" s="3"/>
      <c r="R100" s="3"/>
      <c r="S100" s="3"/>
    </row>
    <row r="101" spans="2:19" x14ac:dyDescent="0.3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18"/>
      <c r="N101" s="3"/>
      <c r="O101" s="3"/>
      <c r="P101" s="3"/>
      <c r="Q101" s="3"/>
      <c r="R101" s="3"/>
      <c r="S101" s="3"/>
    </row>
    <row r="102" spans="2:19" x14ac:dyDescent="0.3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18"/>
      <c r="N102" s="3"/>
      <c r="O102" s="3"/>
      <c r="P102" s="3"/>
      <c r="Q102" s="3"/>
      <c r="R102" s="3"/>
      <c r="S102" s="3"/>
    </row>
    <row r="103" spans="2:19" x14ac:dyDescent="0.3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18"/>
      <c r="N103" s="3"/>
      <c r="O103" s="3"/>
      <c r="P103" s="3"/>
      <c r="Q103" s="3"/>
      <c r="R103" s="3"/>
      <c r="S103" s="3"/>
    </row>
    <row r="104" spans="2:19" x14ac:dyDescent="0.3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18"/>
      <c r="N104" s="3"/>
      <c r="O104" s="3"/>
      <c r="P104" s="3"/>
      <c r="Q104" s="3"/>
      <c r="R104" s="3"/>
      <c r="S104" s="3"/>
    </row>
    <row r="105" spans="2:19" x14ac:dyDescent="0.3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18"/>
      <c r="N105" s="3"/>
      <c r="O105" s="3"/>
      <c r="P105" s="3"/>
      <c r="Q105" s="3"/>
      <c r="R105" s="3"/>
      <c r="S105" s="3"/>
    </row>
    <row r="106" spans="2:19" x14ac:dyDescent="0.3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18"/>
      <c r="N106" s="3"/>
      <c r="O106" s="3"/>
      <c r="P106" s="3"/>
      <c r="Q106" s="3"/>
      <c r="R106" s="3"/>
      <c r="S106" s="3"/>
    </row>
    <row r="107" spans="2:19" x14ac:dyDescent="0.3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18"/>
      <c r="N107" s="3"/>
      <c r="O107" s="3"/>
      <c r="P107" s="3"/>
      <c r="Q107" s="3"/>
      <c r="R107" s="3"/>
      <c r="S107" s="3"/>
    </row>
    <row r="108" spans="2:19" x14ac:dyDescent="0.3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18"/>
      <c r="N108" s="3"/>
      <c r="O108" s="3"/>
      <c r="P108" s="3"/>
      <c r="Q108" s="3"/>
      <c r="R108" s="3"/>
      <c r="S108" s="3"/>
    </row>
    <row r="109" spans="2:19" x14ac:dyDescent="0.3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18"/>
      <c r="N109" s="3"/>
      <c r="O109" s="3"/>
      <c r="P109" s="3"/>
      <c r="Q109" s="3"/>
      <c r="R109" s="3"/>
      <c r="S109" s="3"/>
    </row>
    <row r="110" spans="2:19" x14ac:dyDescent="0.3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18"/>
      <c r="N110" s="3"/>
      <c r="O110" s="3"/>
      <c r="P110" s="3"/>
      <c r="Q110" s="3"/>
      <c r="R110" s="3"/>
      <c r="S110" s="3"/>
    </row>
    <row r="111" spans="2:19" x14ac:dyDescent="0.3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18"/>
      <c r="N111" s="3"/>
      <c r="O111" s="3"/>
      <c r="P111" s="3"/>
      <c r="Q111" s="3"/>
      <c r="R111" s="3"/>
      <c r="S111" s="3"/>
    </row>
    <row r="112" spans="2:19" x14ac:dyDescent="0.3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18"/>
      <c r="N112" s="3"/>
      <c r="O112" s="3"/>
      <c r="P112" s="3"/>
      <c r="Q112" s="3"/>
      <c r="R112" s="3"/>
      <c r="S112" s="3"/>
    </row>
    <row r="113" spans="2:19" x14ac:dyDescent="0.3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18"/>
      <c r="N113" s="3"/>
      <c r="O113" s="3"/>
      <c r="P113" s="3"/>
      <c r="Q113" s="3"/>
      <c r="R113" s="3"/>
      <c r="S113" s="3"/>
    </row>
    <row r="114" spans="2:19" x14ac:dyDescent="0.3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18"/>
      <c r="N114" s="3"/>
      <c r="O114" s="3"/>
      <c r="P114" s="3"/>
      <c r="Q114" s="3"/>
      <c r="R114" s="3"/>
      <c r="S114" s="3"/>
    </row>
    <row r="115" spans="2:19" x14ac:dyDescent="0.3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18"/>
      <c r="N115" s="3"/>
      <c r="O115" s="3"/>
      <c r="P115" s="3"/>
      <c r="Q115" s="3"/>
      <c r="R115" s="3"/>
      <c r="S115" s="3"/>
    </row>
    <row r="116" spans="2:19" x14ac:dyDescent="0.3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18"/>
      <c r="N116" s="3"/>
      <c r="O116" s="3"/>
      <c r="P116" s="3"/>
      <c r="Q116" s="3"/>
      <c r="R116" s="3"/>
      <c r="S116" s="3"/>
    </row>
    <row r="117" spans="2:19" x14ac:dyDescent="0.3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18"/>
      <c r="N117" s="3"/>
      <c r="O117" s="3"/>
      <c r="P117" s="3"/>
      <c r="Q117" s="3"/>
      <c r="R117" s="3"/>
      <c r="S117" s="3"/>
    </row>
    <row r="118" spans="2:19" x14ac:dyDescent="0.3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18"/>
      <c r="N118" s="3"/>
      <c r="O118" s="3"/>
      <c r="P118" s="3"/>
      <c r="Q118" s="3"/>
      <c r="R118" s="3"/>
      <c r="S118" s="3"/>
    </row>
    <row r="119" spans="2:19" x14ac:dyDescent="0.3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18"/>
      <c r="N119" s="3"/>
      <c r="O119" s="3"/>
      <c r="P119" s="3"/>
      <c r="Q119" s="3"/>
      <c r="R119" s="3"/>
      <c r="S119" s="3"/>
    </row>
    <row r="120" spans="2:19" x14ac:dyDescent="0.3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18"/>
      <c r="N120" s="3"/>
      <c r="O120" s="3"/>
      <c r="P120" s="3"/>
      <c r="Q120" s="3"/>
      <c r="R120" s="3"/>
      <c r="S120" s="3"/>
    </row>
    <row r="121" spans="2:19" x14ac:dyDescent="0.3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18"/>
      <c r="N121" s="3"/>
      <c r="O121" s="3"/>
      <c r="P121" s="3"/>
      <c r="Q121" s="3"/>
      <c r="R121" s="3"/>
      <c r="S121" s="3"/>
    </row>
    <row r="122" spans="2:19" x14ac:dyDescent="0.3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18"/>
      <c r="N122" s="3"/>
      <c r="O122" s="3"/>
      <c r="P122" s="3"/>
      <c r="Q122" s="3"/>
      <c r="R122" s="3"/>
      <c r="S122" s="3"/>
    </row>
    <row r="123" spans="2:19" x14ac:dyDescent="0.3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18"/>
      <c r="N123" s="3"/>
      <c r="O123" s="3"/>
      <c r="P123" s="3"/>
      <c r="Q123" s="3"/>
      <c r="R123" s="3"/>
      <c r="S123" s="3"/>
    </row>
    <row r="124" spans="2:19" x14ac:dyDescent="0.3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18"/>
      <c r="N124" s="3"/>
      <c r="O124" s="3"/>
      <c r="P124" s="3"/>
      <c r="Q124" s="3"/>
      <c r="R124" s="3"/>
      <c r="S124" s="3"/>
    </row>
    <row r="125" spans="2:19" x14ac:dyDescent="0.3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18"/>
      <c r="N125" s="3"/>
      <c r="O125" s="3"/>
      <c r="P125" s="3"/>
      <c r="Q125" s="3"/>
      <c r="R125" s="3"/>
      <c r="S125" s="3"/>
    </row>
    <row r="126" spans="2:19" x14ac:dyDescent="0.3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18"/>
      <c r="N126" s="3"/>
      <c r="O126" s="3"/>
      <c r="P126" s="3"/>
      <c r="Q126" s="3"/>
      <c r="R126" s="3"/>
      <c r="S126" s="3"/>
    </row>
    <row r="127" spans="2:19" x14ac:dyDescent="0.3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18"/>
      <c r="N127" s="3"/>
      <c r="O127" s="3"/>
      <c r="P127" s="3"/>
      <c r="Q127" s="3"/>
      <c r="R127" s="3"/>
      <c r="S127" s="3"/>
    </row>
    <row r="128" spans="2:19" x14ac:dyDescent="0.3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18"/>
      <c r="N128" s="3"/>
      <c r="O128" s="3"/>
      <c r="P128" s="3"/>
      <c r="Q128" s="3"/>
      <c r="R128" s="3"/>
      <c r="S128" s="3"/>
    </row>
    <row r="129" spans="2:19" x14ac:dyDescent="0.3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18"/>
      <c r="N129" s="3"/>
      <c r="O129" s="3"/>
      <c r="P129" s="3"/>
      <c r="Q129" s="3"/>
      <c r="R129" s="3"/>
      <c r="S129" s="3"/>
    </row>
    <row r="130" spans="2:19" x14ac:dyDescent="0.3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18"/>
      <c r="N130" s="3"/>
      <c r="O130" s="3"/>
      <c r="P130" s="3"/>
      <c r="Q130" s="3"/>
      <c r="R130" s="3"/>
      <c r="S130" s="3"/>
    </row>
    <row r="131" spans="2:19" x14ac:dyDescent="0.3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18"/>
      <c r="N131" s="3"/>
      <c r="O131" s="3"/>
      <c r="P131" s="3"/>
      <c r="Q131" s="3"/>
      <c r="R131" s="3"/>
      <c r="S131" s="3"/>
    </row>
    <row r="132" spans="2:19" x14ac:dyDescent="0.3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18"/>
      <c r="N132" s="3"/>
      <c r="O132" s="3"/>
      <c r="P132" s="3"/>
      <c r="Q132" s="3"/>
      <c r="R132" s="3"/>
      <c r="S132" s="3"/>
    </row>
    <row r="133" spans="2:19" x14ac:dyDescent="0.3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18"/>
      <c r="N133" s="3"/>
      <c r="O133" s="3"/>
      <c r="P133" s="3"/>
      <c r="Q133" s="3"/>
      <c r="R133" s="3"/>
      <c r="S133" s="3"/>
    </row>
    <row r="134" spans="2:19" x14ac:dyDescent="0.3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18"/>
      <c r="N134" s="3"/>
      <c r="O134" s="3"/>
      <c r="P134" s="3"/>
      <c r="Q134" s="3"/>
      <c r="R134" s="3"/>
      <c r="S134" s="3"/>
    </row>
    <row r="135" spans="2:19" x14ac:dyDescent="0.3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18"/>
      <c r="N135" s="3"/>
      <c r="O135" s="3"/>
      <c r="P135" s="3"/>
      <c r="Q135" s="3"/>
      <c r="R135" s="3"/>
      <c r="S135" s="3"/>
    </row>
    <row r="136" spans="2:19" x14ac:dyDescent="0.3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18"/>
      <c r="N136" s="3"/>
      <c r="O136" s="3"/>
      <c r="P136" s="3"/>
      <c r="Q136" s="3"/>
      <c r="R136" s="3"/>
      <c r="S136" s="3"/>
    </row>
    <row r="137" spans="2:19" x14ac:dyDescent="0.3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18"/>
      <c r="N137" s="3"/>
      <c r="O137" s="3"/>
      <c r="P137" s="3"/>
      <c r="Q137" s="3"/>
      <c r="R137" s="3"/>
      <c r="S137" s="3"/>
    </row>
    <row r="138" spans="2:19" x14ac:dyDescent="0.3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18"/>
      <c r="N138" s="3"/>
      <c r="O138" s="3"/>
      <c r="P138" s="3"/>
      <c r="Q138" s="3"/>
      <c r="R138" s="3"/>
      <c r="S138" s="3"/>
    </row>
    <row r="139" spans="2:19" x14ac:dyDescent="0.3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18"/>
      <c r="N139" s="3"/>
      <c r="O139" s="3"/>
      <c r="P139" s="3"/>
      <c r="Q139" s="3"/>
      <c r="R139" s="3"/>
      <c r="S139" s="3"/>
    </row>
    <row r="140" spans="2:19" x14ac:dyDescent="0.3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18"/>
      <c r="N140" s="3"/>
      <c r="O140" s="3"/>
      <c r="P140" s="3"/>
      <c r="Q140" s="3"/>
      <c r="R140" s="3"/>
      <c r="S140" s="3"/>
    </row>
    <row r="141" spans="2:19" x14ac:dyDescent="0.3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18"/>
      <c r="N141" s="3"/>
      <c r="O141" s="3"/>
      <c r="P141" s="3"/>
      <c r="Q141" s="3"/>
      <c r="R141" s="3"/>
      <c r="S141" s="3"/>
    </row>
    <row r="142" spans="2:19" x14ac:dyDescent="0.3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18"/>
      <c r="N142" s="3"/>
      <c r="O142" s="3"/>
      <c r="P142" s="3"/>
      <c r="Q142" s="3"/>
      <c r="R142" s="3"/>
      <c r="S142" s="3"/>
    </row>
    <row r="143" spans="2:19" x14ac:dyDescent="0.3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18"/>
      <c r="N143" s="3"/>
      <c r="O143" s="3"/>
      <c r="P143" s="3"/>
      <c r="Q143" s="3"/>
      <c r="R143" s="3"/>
      <c r="S143" s="3"/>
    </row>
    <row r="144" spans="2:19" x14ac:dyDescent="0.3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18"/>
      <c r="N144" s="3"/>
      <c r="O144" s="3"/>
      <c r="P144" s="3"/>
      <c r="Q144" s="3"/>
      <c r="R144" s="3"/>
      <c r="S144" s="3"/>
    </row>
    <row r="145" spans="2:19" x14ac:dyDescent="0.3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18"/>
      <c r="N145" s="3"/>
      <c r="O145" s="3"/>
      <c r="P145" s="3"/>
      <c r="Q145" s="3"/>
      <c r="R145" s="3"/>
      <c r="S145" s="3"/>
    </row>
    <row r="146" spans="2:19" x14ac:dyDescent="0.3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18"/>
      <c r="N146" s="3"/>
      <c r="O146" s="3"/>
      <c r="P146" s="3"/>
      <c r="Q146" s="3"/>
      <c r="R146" s="3"/>
      <c r="S146" s="3"/>
    </row>
    <row r="147" spans="2:19" x14ac:dyDescent="0.3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18"/>
      <c r="N147" s="3"/>
      <c r="O147" s="3"/>
      <c r="P147" s="3"/>
      <c r="Q147" s="3"/>
      <c r="R147" s="3"/>
      <c r="S147" s="3"/>
    </row>
    <row r="148" spans="2:19" x14ac:dyDescent="0.3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18"/>
      <c r="N148" s="3"/>
      <c r="O148" s="3"/>
      <c r="P148" s="3"/>
      <c r="Q148" s="3"/>
      <c r="R148" s="3"/>
      <c r="S148" s="3"/>
    </row>
    <row r="149" spans="2:19" x14ac:dyDescent="0.3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18"/>
      <c r="N149" s="3"/>
      <c r="O149" s="3"/>
      <c r="P149" s="3"/>
      <c r="Q149" s="3"/>
      <c r="R149" s="3"/>
      <c r="S149" s="3"/>
    </row>
    <row r="150" spans="2:19" x14ac:dyDescent="0.3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18"/>
      <c r="N150" s="3"/>
      <c r="O150" s="3"/>
      <c r="P150" s="3"/>
      <c r="Q150" s="3"/>
      <c r="R150" s="3"/>
      <c r="S150" s="3"/>
    </row>
    <row r="151" spans="2:19" x14ac:dyDescent="0.3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18"/>
      <c r="N151" s="3"/>
      <c r="O151" s="3"/>
      <c r="P151" s="3"/>
      <c r="Q151" s="3"/>
      <c r="R151" s="3"/>
      <c r="S151" s="3"/>
    </row>
    <row r="152" spans="2:19" x14ac:dyDescent="0.3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18"/>
      <c r="N152" s="3"/>
      <c r="O152" s="3"/>
      <c r="P152" s="3"/>
      <c r="Q152" s="3"/>
      <c r="R152" s="3"/>
      <c r="S152" s="3"/>
    </row>
    <row r="153" spans="2:19" x14ac:dyDescent="0.3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18"/>
      <c r="N153" s="3"/>
      <c r="O153" s="3"/>
      <c r="P153" s="3"/>
      <c r="Q153" s="3"/>
      <c r="R153" s="3"/>
      <c r="S153" s="3"/>
    </row>
    <row r="154" spans="2:19" x14ac:dyDescent="0.3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18"/>
      <c r="N154" s="3"/>
      <c r="O154" s="3"/>
      <c r="P154" s="3"/>
      <c r="Q154" s="3"/>
      <c r="R154" s="3"/>
      <c r="S154" s="3"/>
    </row>
    <row r="155" spans="2:19" x14ac:dyDescent="0.3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18"/>
      <c r="N155" s="3"/>
      <c r="O155" s="3"/>
      <c r="P155" s="3"/>
      <c r="Q155" s="3"/>
      <c r="R155" s="3"/>
      <c r="S155" s="3"/>
    </row>
    <row r="156" spans="2:19" x14ac:dyDescent="0.3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18"/>
      <c r="N156" s="3"/>
      <c r="O156" s="3"/>
      <c r="P156" s="3"/>
      <c r="Q156" s="3"/>
      <c r="R156" s="3"/>
      <c r="S156" s="3"/>
    </row>
    <row r="157" spans="2:19" x14ac:dyDescent="0.3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18"/>
      <c r="N157" s="3"/>
      <c r="O157" s="3"/>
      <c r="P157" s="3"/>
      <c r="Q157" s="3"/>
      <c r="R157" s="3"/>
      <c r="S157" s="3"/>
    </row>
    <row r="158" spans="2:19" x14ac:dyDescent="0.3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18"/>
      <c r="N158" s="3"/>
      <c r="O158" s="3"/>
      <c r="P158" s="3"/>
      <c r="Q158" s="3"/>
      <c r="R158" s="3"/>
      <c r="S158" s="3"/>
    </row>
    <row r="159" spans="2:19" x14ac:dyDescent="0.3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18"/>
      <c r="N159" s="3"/>
      <c r="O159" s="3"/>
      <c r="P159" s="3"/>
      <c r="Q159" s="3"/>
      <c r="R159" s="3"/>
      <c r="S159" s="3"/>
    </row>
    <row r="160" spans="2:19" x14ac:dyDescent="0.3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18"/>
      <c r="N160" s="3"/>
      <c r="O160" s="3"/>
      <c r="P160" s="3"/>
      <c r="Q160" s="3"/>
      <c r="R160" s="3"/>
      <c r="S160" s="3"/>
    </row>
    <row r="161" spans="2:19" x14ac:dyDescent="0.3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18"/>
      <c r="N161" s="3"/>
      <c r="O161" s="3"/>
      <c r="P161" s="3"/>
      <c r="Q161" s="3"/>
      <c r="R161" s="3"/>
      <c r="S161" s="3"/>
    </row>
    <row r="162" spans="2:19" x14ac:dyDescent="0.3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18"/>
      <c r="N162" s="3"/>
      <c r="O162" s="3"/>
      <c r="P162" s="3"/>
      <c r="Q162" s="3"/>
      <c r="R162" s="3"/>
      <c r="S162" s="3"/>
    </row>
    <row r="163" spans="2:19" x14ac:dyDescent="0.3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18"/>
      <c r="N163" s="3"/>
      <c r="O163" s="3"/>
      <c r="P163" s="3"/>
      <c r="Q163" s="3"/>
      <c r="R163" s="3"/>
      <c r="S163" s="3"/>
    </row>
    <row r="164" spans="2:19" x14ac:dyDescent="0.3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18"/>
      <c r="N164" s="3"/>
      <c r="O164" s="3"/>
      <c r="P164" s="3"/>
      <c r="Q164" s="3"/>
      <c r="R164" s="3"/>
      <c r="S164" s="3"/>
    </row>
    <row r="165" spans="2:19" x14ac:dyDescent="0.3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18"/>
      <c r="N165" s="3"/>
      <c r="O165" s="3"/>
      <c r="P165" s="3"/>
      <c r="Q165" s="3"/>
      <c r="R165" s="3"/>
      <c r="S165" s="3"/>
    </row>
    <row r="166" spans="2:19" x14ac:dyDescent="0.3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18"/>
      <c r="N166" s="3"/>
      <c r="O166" s="3"/>
      <c r="P166" s="3"/>
      <c r="Q166" s="3"/>
      <c r="R166" s="3"/>
      <c r="S166" s="3"/>
    </row>
    <row r="167" spans="2:19" x14ac:dyDescent="0.3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18"/>
      <c r="N167" s="3"/>
      <c r="O167" s="3"/>
      <c r="P167" s="3"/>
      <c r="Q167" s="3"/>
      <c r="R167" s="3"/>
      <c r="S167" s="3"/>
    </row>
    <row r="168" spans="2:19" x14ac:dyDescent="0.3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18"/>
      <c r="N168" s="3"/>
      <c r="O168" s="3"/>
      <c r="P168" s="3"/>
      <c r="Q168" s="3"/>
      <c r="R168" s="3"/>
      <c r="S168" s="3"/>
    </row>
    <row r="169" spans="2:19" x14ac:dyDescent="0.3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18"/>
      <c r="N169" s="3"/>
      <c r="O169" s="3"/>
      <c r="P169" s="3"/>
      <c r="Q169" s="3"/>
      <c r="R169" s="3"/>
      <c r="S169" s="3"/>
    </row>
    <row r="170" spans="2:19" x14ac:dyDescent="0.3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18"/>
      <c r="N170" s="3"/>
      <c r="O170" s="3"/>
      <c r="P170" s="3"/>
      <c r="Q170" s="3"/>
      <c r="R170" s="3"/>
      <c r="S170" s="3"/>
    </row>
    <row r="171" spans="2:19" x14ac:dyDescent="0.3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18"/>
      <c r="N171" s="3"/>
      <c r="O171" s="3"/>
      <c r="P171" s="3"/>
      <c r="Q171" s="3"/>
      <c r="R171" s="3"/>
      <c r="S171" s="3"/>
    </row>
    <row r="172" spans="2:19" x14ac:dyDescent="0.3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18"/>
      <c r="N172" s="3"/>
      <c r="O172" s="3"/>
      <c r="P172" s="3"/>
      <c r="Q172" s="3"/>
      <c r="R172" s="3"/>
      <c r="S172" s="3"/>
    </row>
    <row r="173" spans="2:19" x14ac:dyDescent="0.3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18"/>
      <c r="N173" s="3"/>
      <c r="O173" s="3"/>
      <c r="P173" s="3"/>
      <c r="Q173" s="3"/>
      <c r="R173" s="3"/>
      <c r="S173" s="3"/>
    </row>
    <row r="174" spans="2:19" x14ac:dyDescent="0.3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18"/>
      <c r="N174" s="3"/>
      <c r="O174" s="3"/>
      <c r="P174" s="3"/>
      <c r="Q174" s="3"/>
      <c r="R174" s="3"/>
      <c r="S174" s="3"/>
    </row>
    <row r="175" spans="2:19" x14ac:dyDescent="0.3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18"/>
      <c r="N175" s="3"/>
      <c r="O175" s="3"/>
      <c r="P175" s="3"/>
      <c r="Q175" s="3"/>
      <c r="R175" s="3"/>
      <c r="S175" s="3"/>
    </row>
    <row r="176" spans="2:19" x14ac:dyDescent="0.3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18"/>
      <c r="N176" s="3"/>
      <c r="O176" s="3"/>
      <c r="P176" s="3"/>
      <c r="Q176" s="3"/>
      <c r="R176" s="3"/>
      <c r="S176" s="3"/>
    </row>
    <row r="177" spans="2:19" x14ac:dyDescent="0.3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18"/>
      <c r="N177" s="3"/>
      <c r="O177" s="3"/>
      <c r="P177" s="3"/>
      <c r="Q177" s="3"/>
      <c r="R177" s="3"/>
      <c r="S177" s="3"/>
    </row>
    <row r="178" spans="2:19" x14ac:dyDescent="0.3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18"/>
      <c r="N178" s="3"/>
      <c r="O178" s="3"/>
      <c r="P178" s="3"/>
      <c r="Q178" s="3"/>
      <c r="R178" s="3"/>
      <c r="S178" s="3"/>
    </row>
    <row r="179" spans="2:19" x14ac:dyDescent="0.3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18"/>
      <c r="N179" s="3"/>
      <c r="O179" s="3"/>
      <c r="P179" s="3"/>
      <c r="Q179" s="3"/>
      <c r="R179" s="3"/>
      <c r="S179" s="3"/>
    </row>
    <row r="180" spans="2:19" x14ac:dyDescent="0.3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18"/>
      <c r="N180" s="3"/>
      <c r="O180" s="3"/>
      <c r="P180" s="3"/>
      <c r="Q180" s="3"/>
      <c r="R180" s="3"/>
      <c r="S180" s="3"/>
    </row>
    <row r="181" spans="2:19" x14ac:dyDescent="0.3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18"/>
      <c r="N181" s="3"/>
      <c r="O181" s="3"/>
      <c r="P181" s="3"/>
      <c r="Q181" s="3"/>
      <c r="R181" s="3"/>
      <c r="S181" s="3"/>
    </row>
    <row r="182" spans="2:19" x14ac:dyDescent="0.3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18"/>
      <c r="N182" s="3"/>
      <c r="O182" s="3"/>
      <c r="P182" s="3"/>
      <c r="Q182" s="3"/>
      <c r="R182" s="3"/>
      <c r="S182" s="3"/>
    </row>
    <row r="183" spans="2:19" x14ac:dyDescent="0.3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18"/>
      <c r="N183" s="3"/>
      <c r="O183" s="3"/>
      <c r="P183" s="3"/>
      <c r="Q183" s="3"/>
      <c r="R183" s="3"/>
      <c r="S183" s="3"/>
    </row>
    <row r="184" spans="2:19" x14ac:dyDescent="0.3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18"/>
      <c r="N184" s="3"/>
      <c r="O184" s="3"/>
      <c r="P184" s="3"/>
      <c r="Q184" s="3"/>
      <c r="R184" s="3"/>
      <c r="S184" s="3"/>
    </row>
    <row r="185" spans="2:19" x14ac:dyDescent="0.3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18"/>
      <c r="N185" s="3"/>
      <c r="O185" s="3"/>
      <c r="P185" s="3"/>
      <c r="Q185" s="3"/>
      <c r="R185" s="3"/>
      <c r="S185" s="3"/>
    </row>
    <row r="186" spans="2:19" x14ac:dyDescent="0.3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18"/>
      <c r="N186" s="3"/>
      <c r="O186" s="3"/>
      <c r="P186" s="3"/>
      <c r="Q186" s="3"/>
      <c r="R186" s="3"/>
      <c r="S186" s="3"/>
    </row>
    <row r="187" spans="2:19" x14ac:dyDescent="0.3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18"/>
      <c r="N187" s="3"/>
      <c r="O187" s="3"/>
      <c r="P187" s="3"/>
      <c r="Q187" s="3"/>
      <c r="R187" s="3"/>
      <c r="S187" s="3"/>
    </row>
    <row r="188" spans="2:19" x14ac:dyDescent="0.3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18"/>
      <c r="N188" s="3"/>
      <c r="O188" s="3"/>
      <c r="P188" s="3"/>
      <c r="Q188" s="3"/>
      <c r="R188" s="3"/>
      <c r="S188" s="3"/>
    </row>
    <row r="189" spans="2:19" x14ac:dyDescent="0.3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18"/>
      <c r="N189" s="3"/>
      <c r="O189" s="3"/>
      <c r="P189" s="3"/>
      <c r="Q189" s="3"/>
      <c r="R189" s="3"/>
      <c r="S189" s="3"/>
    </row>
    <row r="190" spans="2:19" x14ac:dyDescent="0.3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18"/>
      <c r="N190" s="3"/>
      <c r="O190" s="3"/>
      <c r="P190" s="3"/>
      <c r="Q190" s="3"/>
      <c r="R190" s="3"/>
      <c r="S190" s="3"/>
    </row>
    <row r="191" spans="2:19" x14ac:dyDescent="0.3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18"/>
      <c r="N191" s="3"/>
      <c r="O191" s="3"/>
      <c r="P191" s="3"/>
      <c r="Q191" s="3"/>
      <c r="R191" s="3"/>
      <c r="S191" s="3"/>
    </row>
    <row r="192" spans="2:19" x14ac:dyDescent="0.3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18"/>
      <c r="N192" s="3"/>
      <c r="O192" s="3"/>
      <c r="P192" s="3"/>
      <c r="Q192" s="3"/>
      <c r="R192" s="3"/>
      <c r="S192" s="3"/>
    </row>
    <row r="193" spans="2:19" x14ac:dyDescent="0.3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18"/>
      <c r="N193" s="3"/>
      <c r="O193" s="3"/>
      <c r="P193" s="3"/>
      <c r="Q193" s="3"/>
      <c r="R193" s="3"/>
      <c r="S193" s="3"/>
    </row>
    <row r="194" spans="2:19" x14ac:dyDescent="0.3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18"/>
      <c r="N194" s="3"/>
      <c r="O194" s="3"/>
      <c r="P194" s="3"/>
      <c r="Q194" s="3"/>
      <c r="R194" s="3"/>
      <c r="S194" s="3"/>
    </row>
    <row r="195" spans="2:19" x14ac:dyDescent="0.3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18"/>
      <c r="N195" s="3"/>
      <c r="O195" s="3"/>
      <c r="P195" s="3"/>
      <c r="Q195" s="3"/>
      <c r="R195" s="3"/>
      <c r="S195" s="3"/>
    </row>
    <row r="196" spans="2:19" x14ac:dyDescent="0.3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18"/>
      <c r="N196" s="3"/>
      <c r="O196" s="3"/>
      <c r="P196" s="3"/>
      <c r="Q196" s="3"/>
      <c r="R196" s="3"/>
      <c r="S196" s="3"/>
    </row>
    <row r="197" spans="2:19" x14ac:dyDescent="0.3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18"/>
      <c r="N197" s="3"/>
      <c r="O197" s="3"/>
      <c r="P197" s="3"/>
      <c r="Q197" s="3"/>
      <c r="R197" s="3"/>
      <c r="S197" s="3"/>
    </row>
    <row r="198" spans="2:19" x14ac:dyDescent="0.3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18"/>
      <c r="N198" s="3"/>
      <c r="O198" s="3"/>
      <c r="P198" s="3"/>
      <c r="Q198" s="3"/>
      <c r="R198" s="3"/>
      <c r="S198" s="3"/>
    </row>
    <row r="199" spans="2:19" x14ac:dyDescent="0.3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18"/>
      <c r="N199" s="3"/>
      <c r="O199" s="3"/>
      <c r="P199" s="3"/>
      <c r="Q199" s="3"/>
      <c r="R199" s="3"/>
      <c r="S199" s="3"/>
    </row>
    <row r="200" spans="2:19" x14ac:dyDescent="0.3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18"/>
      <c r="N200" s="3"/>
      <c r="O200" s="3"/>
      <c r="P200" s="3"/>
      <c r="Q200" s="3"/>
      <c r="R200" s="3"/>
      <c r="S200" s="3"/>
    </row>
    <row r="201" spans="2:19" x14ac:dyDescent="0.3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18"/>
      <c r="N201" s="3"/>
      <c r="O201" s="3"/>
      <c r="P201" s="3"/>
      <c r="Q201" s="3"/>
      <c r="R201" s="3"/>
      <c r="S201" s="3"/>
    </row>
    <row r="202" spans="2:19" x14ac:dyDescent="0.3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18"/>
      <c r="N202" s="3"/>
      <c r="O202" s="3"/>
      <c r="P202" s="3"/>
      <c r="Q202" s="3"/>
      <c r="R202" s="3"/>
      <c r="S202" s="3"/>
    </row>
    <row r="203" spans="2:19" x14ac:dyDescent="0.3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18"/>
      <c r="N203" s="3"/>
      <c r="O203" s="3"/>
      <c r="P203" s="3"/>
      <c r="Q203" s="3"/>
      <c r="R203" s="3"/>
      <c r="S203" s="3"/>
    </row>
    <row r="204" spans="2:19" x14ac:dyDescent="0.3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18"/>
      <c r="N204" s="3"/>
      <c r="O204" s="3"/>
      <c r="P204" s="3"/>
      <c r="Q204" s="3"/>
      <c r="R204" s="3"/>
      <c r="S204" s="3"/>
    </row>
    <row r="205" spans="2:19" x14ac:dyDescent="0.3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18"/>
      <c r="N205" s="3"/>
      <c r="O205" s="3"/>
      <c r="P205" s="3"/>
      <c r="Q205" s="3"/>
      <c r="R205" s="3"/>
      <c r="S205" s="3"/>
    </row>
    <row r="206" spans="2:19" x14ac:dyDescent="0.3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18"/>
      <c r="N206" s="3"/>
      <c r="O206" s="3"/>
      <c r="P206" s="3"/>
      <c r="Q206" s="3"/>
      <c r="R206" s="3"/>
      <c r="S206" s="3"/>
    </row>
    <row r="207" spans="2:19" x14ac:dyDescent="0.3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18"/>
      <c r="N207" s="3"/>
      <c r="O207" s="3"/>
      <c r="P207" s="3"/>
      <c r="Q207" s="3"/>
      <c r="R207" s="3"/>
      <c r="S207" s="3"/>
    </row>
    <row r="208" spans="2:19" x14ac:dyDescent="0.3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18"/>
      <c r="N208" s="3"/>
      <c r="O208" s="3"/>
      <c r="P208" s="3"/>
      <c r="Q208" s="3"/>
      <c r="R208" s="3"/>
      <c r="S208" s="3"/>
    </row>
    <row r="209" spans="2:19" x14ac:dyDescent="0.3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18"/>
      <c r="N209" s="3"/>
      <c r="O209" s="3"/>
      <c r="P209" s="3"/>
      <c r="Q209" s="3"/>
      <c r="R209" s="3"/>
      <c r="S209" s="3"/>
    </row>
    <row r="210" spans="2:19" x14ac:dyDescent="0.3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18"/>
      <c r="N210" s="3"/>
      <c r="O210" s="3"/>
      <c r="P210" s="3"/>
      <c r="Q210" s="3"/>
      <c r="R210" s="3"/>
      <c r="S210" s="3"/>
    </row>
    <row r="211" spans="2:19" x14ac:dyDescent="0.3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18"/>
      <c r="N211" s="3"/>
      <c r="O211" s="3"/>
      <c r="P211" s="3"/>
      <c r="Q211" s="3"/>
      <c r="R211" s="3"/>
      <c r="S211" s="3"/>
    </row>
    <row r="212" spans="2:19" x14ac:dyDescent="0.3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18"/>
      <c r="N212" s="3"/>
      <c r="O212" s="3"/>
      <c r="P212" s="3"/>
      <c r="Q212" s="3"/>
      <c r="R212" s="3"/>
      <c r="S212" s="3"/>
    </row>
    <row r="213" spans="2:19" x14ac:dyDescent="0.3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18"/>
      <c r="N213" s="3"/>
      <c r="O213" s="3"/>
      <c r="P213" s="3"/>
      <c r="Q213" s="3"/>
      <c r="R213" s="3"/>
      <c r="S213" s="3"/>
    </row>
    <row r="214" spans="2:19" x14ac:dyDescent="0.3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18"/>
      <c r="N214" s="3"/>
      <c r="O214" s="3"/>
      <c r="P214" s="3"/>
      <c r="Q214" s="3"/>
      <c r="R214" s="3"/>
      <c r="S214" s="3"/>
    </row>
    <row r="215" spans="2:19" x14ac:dyDescent="0.3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18"/>
      <c r="N215" s="3"/>
      <c r="O215" s="3"/>
      <c r="P215" s="3"/>
      <c r="Q215" s="3"/>
      <c r="R215" s="3"/>
      <c r="S215" s="3"/>
    </row>
    <row r="216" spans="2:19" x14ac:dyDescent="0.3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18"/>
      <c r="N216" s="3"/>
      <c r="O216" s="3"/>
      <c r="P216" s="3"/>
      <c r="Q216" s="3"/>
      <c r="R216" s="3"/>
      <c r="S216" s="3"/>
    </row>
    <row r="217" spans="2:19" x14ac:dyDescent="0.3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18"/>
      <c r="N217" s="3"/>
      <c r="O217" s="3"/>
      <c r="P217" s="3"/>
      <c r="Q217" s="3"/>
      <c r="R217" s="3"/>
      <c r="S217" s="3"/>
    </row>
    <row r="218" spans="2:19" x14ac:dyDescent="0.3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18"/>
      <c r="N218" s="3"/>
      <c r="O218" s="3"/>
      <c r="P218" s="3"/>
      <c r="Q218" s="3"/>
      <c r="R218" s="3"/>
      <c r="S218" s="3"/>
    </row>
    <row r="219" spans="2:19" x14ac:dyDescent="0.3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18"/>
      <c r="N219" s="3"/>
      <c r="O219" s="3"/>
      <c r="P219" s="3"/>
      <c r="Q219" s="3"/>
      <c r="R219" s="3"/>
      <c r="S219" s="3"/>
    </row>
    <row r="220" spans="2:19" x14ac:dyDescent="0.3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18"/>
      <c r="N220" s="3"/>
      <c r="O220" s="3"/>
      <c r="P220" s="3"/>
      <c r="Q220" s="3"/>
      <c r="R220" s="3"/>
      <c r="S220" s="3"/>
    </row>
    <row r="221" spans="2:19" x14ac:dyDescent="0.3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18"/>
      <c r="N221" s="3"/>
      <c r="O221" s="3"/>
      <c r="P221" s="3"/>
      <c r="Q221" s="3"/>
      <c r="R221" s="3"/>
      <c r="S221" s="3"/>
    </row>
    <row r="222" spans="2:19" x14ac:dyDescent="0.3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18"/>
      <c r="N222" s="3"/>
      <c r="O222" s="3"/>
      <c r="P222" s="3"/>
      <c r="Q222" s="3"/>
      <c r="R222" s="3"/>
      <c r="S222" s="3"/>
    </row>
    <row r="223" spans="2:19" x14ac:dyDescent="0.3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18"/>
      <c r="N223" s="3"/>
      <c r="O223" s="3"/>
      <c r="P223" s="3"/>
      <c r="Q223" s="3"/>
      <c r="R223" s="3"/>
      <c r="S223" s="3"/>
    </row>
    <row r="224" spans="2:19" x14ac:dyDescent="0.3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18"/>
      <c r="N224" s="3"/>
      <c r="O224" s="3"/>
      <c r="P224" s="3"/>
      <c r="Q224" s="3"/>
      <c r="R224" s="3"/>
      <c r="S224" s="3"/>
    </row>
    <row r="225" spans="2:19" x14ac:dyDescent="0.3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18"/>
      <c r="N225" s="3"/>
      <c r="O225" s="3"/>
      <c r="P225" s="3"/>
      <c r="Q225" s="3"/>
      <c r="R225" s="3"/>
      <c r="S225" s="3"/>
    </row>
    <row r="226" spans="2:19" x14ac:dyDescent="0.3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18"/>
      <c r="N226" s="3"/>
      <c r="O226" s="3"/>
      <c r="P226" s="3"/>
      <c r="Q226" s="3"/>
      <c r="R226" s="3"/>
      <c r="S226" s="3"/>
    </row>
    <row r="227" spans="2:19" x14ac:dyDescent="0.3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18"/>
      <c r="N227" s="3"/>
      <c r="O227" s="3"/>
      <c r="P227" s="3"/>
      <c r="Q227" s="3"/>
      <c r="R227" s="3"/>
      <c r="S227" s="3"/>
    </row>
    <row r="228" spans="2:19" x14ac:dyDescent="0.3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18"/>
      <c r="N228" s="3"/>
      <c r="O228" s="3"/>
      <c r="P228" s="3"/>
      <c r="Q228" s="3"/>
      <c r="R228" s="3"/>
      <c r="S228" s="3"/>
    </row>
    <row r="229" spans="2:19" x14ac:dyDescent="0.3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18"/>
      <c r="N229" s="3"/>
      <c r="O229" s="3"/>
      <c r="P229" s="3"/>
      <c r="Q229" s="3"/>
      <c r="R229" s="3"/>
      <c r="S229" s="3"/>
    </row>
    <row r="230" spans="2:19" x14ac:dyDescent="0.3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18"/>
      <c r="N230" s="3"/>
      <c r="O230" s="3"/>
      <c r="P230" s="3"/>
      <c r="Q230" s="3"/>
      <c r="R230" s="3"/>
      <c r="S230" s="3"/>
    </row>
    <row r="231" spans="2:19" x14ac:dyDescent="0.3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18"/>
      <c r="N231" s="3"/>
      <c r="O231" s="3"/>
      <c r="P231" s="3"/>
      <c r="Q231" s="3"/>
      <c r="R231" s="3"/>
      <c r="S231" s="3"/>
    </row>
    <row r="232" spans="2:19" x14ac:dyDescent="0.3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18"/>
      <c r="N232" s="3"/>
      <c r="O232" s="3"/>
      <c r="P232" s="3"/>
      <c r="Q232" s="3"/>
      <c r="R232" s="3"/>
      <c r="S232" s="3"/>
    </row>
    <row r="233" spans="2:19" x14ac:dyDescent="0.3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18"/>
      <c r="N233" s="3"/>
      <c r="O233" s="3"/>
      <c r="P233" s="3"/>
      <c r="Q233" s="3"/>
      <c r="R233" s="3"/>
      <c r="S233" s="3"/>
    </row>
    <row r="234" spans="2:19" x14ac:dyDescent="0.3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18"/>
      <c r="N234" s="3"/>
      <c r="O234" s="3"/>
      <c r="P234" s="3"/>
      <c r="Q234" s="3"/>
      <c r="R234" s="3"/>
      <c r="S234" s="3"/>
    </row>
    <row r="235" spans="2:19" x14ac:dyDescent="0.3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18"/>
      <c r="N235" s="3"/>
      <c r="O235" s="3"/>
      <c r="P235" s="3"/>
      <c r="Q235" s="3"/>
      <c r="R235" s="3"/>
      <c r="S235" s="3"/>
    </row>
    <row r="236" spans="2:19" x14ac:dyDescent="0.3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18"/>
      <c r="N236" s="3"/>
      <c r="O236" s="3"/>
      <c r="P236" s="3"/>
      <c r="Q236" s="3"/>
      <c r="R236" s="3"/>
      <c r="S236" s="3"/>
    </row>
    <row r="237" spans="2:19" x14ac:dyDescent="0.3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18"/>
      <c r="N237" s="3"/>
      <c r="O237" s="3"/>
      <c r="P237" s="3"/>
      <c r="Q237" s="3"/>
      <c r="R237" s="3"/>
      <c r="S237" s="3"/>
    </row>
    <row r="238" spans="2:19" x14ac:dyDescent="0.3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18"/>
      <c r="N238" s="3"/>
      <c r="O238" s="3"/>
      <c r="P238" s="3"/>
      <c r="Q238" s="3"/>
      <c r="R238" s="3"/>
      <c r="S238" s="3"/>
    </row>
    <row r="239" spans="2:19" x14ac:dyDescent="0.3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18"/>
      <c r="N239" s="3"/>
      <c r="O239" s="3"/>
      <c r="P239" s="3"/>
      <c r="Q239" s="3"/>
      <c r="R239" s="3"/>
      <c r="S239" s="3"/>
    </row>
    <row r="240" spans="2:19" x14ac:dyDescent="0.3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18"/>
      <c r="N240" s="3"/>
      <c r="O240" s="3"/>
      <c r="P240" s="3"/>
      <c r="Q240" s="3"/>
      <c r="R240" s="3"/>
      <c r="S240" s="3"/>
    </row>
    <row r="241" spans="2:19" x14ac:dyDescent="0.3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18"/>
      <c r="N241" s="3"/>
      <c r="O241" s="3"/>
      <c r="P241" s="3"/>
      <c r="Q241" s="3"/>
      <c r="R241" s="3"/>
      <c r="S241" s="3"/>
    </row>
    <row r="242" spans="2:19" x14ac:dyDescent="0.3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18"/>
      <c r="N242" s="3"/>
      <c r="O242" s="3"/>
      <c r="P242" s="3"/>
      <c r="Q242" s="3"/>
      <c r="R242" s="3"/>
      <c r="S242" s="3"/>
    </row>
    <row r="243" spans="2:19" x14ac:dyDescent="0.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18"/>
      <c r="N243" s="3"/>
      <c r="O243" s="3"/>
      <c r="P243" s="3"/>
      <c r="Q243" s="3"/>
      <c r="R243" s="3"/>
      <c r="S243" s="3"/>
    </row>
    <row r="244" spans="2:19" x14ac:dyDescent="0.3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18"/>
      <c r="N244" s="3"/>
      <c r="O244" s="3"/>
      <c r="P244" s="3"/>
      <c r="Q244" s="3"/>
      <c r="R244" s="3"/>
      <c r="S244" s="3"/>
    </row>
    <row r="245" spans="2:19" x14ac:dyDescent="0.3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18"/>
      <c r="N245" s="3"/>
      <c r="O245" s="3"/>
      <c r="P245" s="3"/>
      <c r="Q245" s="3"/>
      <c r="R245" s="3"/>
      <c r="S245" s="3"/>
    </row>
    <row r="246" spans="2:19" x14ac:dyDescent="0.3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18"/>
      <c r="N246" s="3"/>
      <c r="O246" s="3"/>
      <c r="P246" s="3"/>
      <c r="Q246" s="3"/>
      <c r="R246" s="3"/>
      <c r="S246" s="3"/>
    </row>
    <row r="247" spans="2:19" x14ac:dyDescent="0.3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18"/>
      <c r="N247" s="3"/>
      <c r="O247" s="3"/>
      <c r="P247" s="3"/>
      <c r="Q247" s="3"/>
      <c r="R247" s="3"/>
      <c r="S247" s="3"/>
    </row>
    <row r="248" spans="2:19" x14ac:dyDescent="0.3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18"/>
      <c r="N248" s="3"/>
      <c r="O248" s="3"/>
      <c r="P248" s="3"/>
      <c r="Q248" s="3"/>
      <c r="R248" s="3"/>
      <c r="S248" s="3"/>
    </row>
    <row r="249" spans="2:19" x14ac:dyDescent="0.3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18"/>
      <c r="N249" s="3"/>
      <c r="O249" s="3"/>
      <c r="P249" s="3"/>
      <c r="Q249" s="3"/>
      <c r="R249" s="3"/>
      <c r="S249" s="3"/>
    </row>
    <row r="250" spans="2:19" x14ac:dyDescent="0.3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18"/>
      <c r="N250" s="3"/>
      <c r="O250" s="3"/>
      <c r="P250" s="3"/>
      <c r="Q250" s="3"/>
      <c r="R250" s="3"/>
      <c r="S250" s="3"/>
    </row>
    <row r="251" spans="2:19" x14ac:dyDescent="0.3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18"/>
      <c r="N251" s="3"/>
      <c r="O251" s="3"/>
      <c r="P251" s="3"/>
      <c r="Q251" s="3"/>
      <c r="R251" s="3"/>
      <c r="S251" s="3"/>
    </row>
    <row r="252" spans="2:19" x14ac:dyDescent="0.3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18"/>
      <c r="N252" s="3"/>
      <c r="O252" s="3"/>
      <c r="P252" s="3"/>
      <c r="Q252" s="3"/>
      <c r="R252" s="3"/>
      <c r="S252" s="3"/>
    </row>
    <row r="253" spans="2:19" x14ac:dyDescent="0.3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18"/>
      <c r="N253" s="3"/>
      <c r="O253" s="3"/>
      <c r="P253" s="3"/>
      <c r="Q253" s="3"/>
      <c r="R253" s="3"/>
      <c r="S253" s="3"/>
    </row>
    <row r="254" spans="2:19" x14ac:dyDescent="0.3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18"/>
      <c r="N254" s="3"/>
      <c r="O254" s="3"/>
      <c r="P254" s="3"/>
      <c r="Q254" s="3"/>
      <c r="R254" s="3"/>
      <c r="S254" s="3"/>
    </row>
    <row r="255" spans="2:19" x14ac:dyDescent="0.3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18"/>
      <c r="N255" s="3"/>
      <c r="O255" s="3"/>
      <c r="P255" s="3"/>
      <c r="Q255" s="3"/>
      <c r="R255" s="3"/>
      <c r="S255" s="3"/>
    </row>
    <row r="256" spans="2:19" x14ac:dyDescent="0.3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18"/>
      <c r="N256" s="3"/>
      <c r="O256" s="3"/>
      <c r="P256" s="3"/>
      <c r="Q256" s="3"/>
      <c r="R256" s="3"/>
      <c r="S256" s="3"/>
    </row>
    <row r="257" spans="2:19" x14ac:dyDescent="0.3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18"/>
      <c r="N257" s="3"/>
      <c r="O257" s="3"/>
      <c r="P257" s="3"/>
      <c r="Q257" s="3"/>
      <c r="R257" s="3"/>
      <c r="S257" s="3"/>
    </row>
    <row r="258" spans="2:19" x14ac:dyDescent="0.3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18"/>
      <c r="N258" s="3"/>
      <c r="O258" s="3"/>
      <c r="P258" s="3"/>
      <c r="Q258" s="3"/>
      <c r="R258" s="3"/>
      <c r="S258" s="3"/>
    </row>
    <row r="259" spans="2:19" x14ac:dyDescent="0.3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18"/>
      <c r="N259" s="3"/>
      <c r="O259" s="3"/>
      <c r="P259" s="3"/>
      <c r="Q259" s="3"/>
      <c r="R259" s="3"/>
      <c r="S259" s="3"/>
    </row>
    <row r="260" spans="2:19" x14ac:dyDescent="0.3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18"/>
      <c r="N260" s="3"/>
      <c r="O260" s="3"/>
      <c r="P260" s="3"/>
      <c r="Q260" s="3"/>
      <c r="R260" s="3"/>
      <c r="S260" s="3"/>
    </row>
    <row r="261" spans="2:19" x14ac:dyDescent="0.3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18"/>
      <c r="N261" s="3"/>
      <c r="O261" s="3"/>
      <c r="P261" s="3"/>
      <c r="Q261" s="3"/>
      <c r="R261" s="3"/>
      <c r="S261" s="3"/>
    </row>
    <row r="262" spans="2:19" x14ac:dyDescent="0.3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18"/>
      <c r="N262" s="3"/>
      <c r="O262" s="3"/>
      <c r="P262" s="3"/>
      <c r="Q262" s="3"/>
      <c r="R262" s="3"/>
      <c r="S262" s="3"/>
    </row>
    <row r="263" spans="2:19" x14ac:dyDescent="0.3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18"/>
      <c r="N263" s="3"/>
      <c r="O263" s="3"/>
      <c r="P263" s="3"/>
      <c r="Q263" s="3"/>
      <c r="R263" s="3"/>
      <c r="S263" s="3"/>
    </row>
    <row r="264" spans="2:19" x14ac:dyDescent="0.3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18"/>
      <c r="N264" s="3"/>
      <c r="O264" s="3"/>
      <c r="P264" s="3"/>
      <c r="Q264" s="3"/>
      <c r="R264" s="3"/>
      <c r="S264" s="3"/>
    </row>
    <row r="265" spans="2:19" x14ac:dyDescent="0.3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18"/>
      <c r="N265" s="3"/>
      <c r="O265" s="3"/>
      <c r="P265" s="3"/>
      <c r="Q265" s="3"/>
      <c r="R265" s="3"/>
      <c r="S265" s="3"/>
    </row>
    <row r="266" spans="2:19" x14ac:dyDescent="0.3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18"/>
      <c r="N266" s="3"/>
      <c r="O266" s="3"/>
      <c r="P266" s="3"/>
      <c r="Q266" s="3"/>
      <c r="R266" s="3"/>
      <c r="S266" s="3"/>
    </row>
    <row r="267" spans="2:19" x14ac:dyDescent="0.3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18"/>
      <c r="N267" s="3"/>
      <c r="O267" s="3"/>
      <c r="P267" s="3"/>
      <c r="Q267" s="3"/>
      <c r="R267" s="3"/>
      <c r="S267" s="3"/>
    </row>
    <row r="268" spans="2:19" x14ac:dyDescent="0.3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18"/>
      <c r="N268" s="3"/>
      <c r="O268" s="3"/>
      <c r="P268" s="3"/>
      <c r="Q268" s="3"/>
      <c r="R268" s="3"/>
      <c r="S268" s="3"/>
    </row>
    <row r="269" spans="2:19" x14ac:dyDescent="0.3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18"/>
      <c r="N269" s="3"/>
      <c r="O269" s="3"/>
      <c r="P269" s="3"/>
      <c r="Q269" s="3"/>
      <c r="R269" s="3"/>
      <c r="S269" s="3"/>
    </row>
    <row r="270" spans="2:19" x14ac:dyDescent="0.3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18"/>
      <c r="N270" s="3"/>
      <c r="O270" s="3"/>
      <c r="P270" s="3"/>
      <c r="Q270" s="3"/>
      <c r="R270" s="3"/>
      <c r="S270" s="3"/>
    </row>
    <row r="271" spans="2:19" x14ac:dyDescent="0.3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18"/>
      <c r="N271" s="3"/>
      <c r="O271" s="3"/>
      <c r="P271" s="3"/>
      <c r="Q271" s="3"/>
      <c r="R271" s="3"/>
      <c r="S271" s="3"/>
    </row>
    <row r="272" spans="2:19" x14ac:dyDescent="0.3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18"/>
      <c r="N272" s="3"/>
      <c r="O272" s="3"/>
      <c r="P272" s="3"/>
      <c r="Q272" s="3"/>
      <c r="R272" s="3"/>
      <c r="S272" s="3"/>
    </row>
    <row r="273" spans="2:19" x14ac:dyDescent="0.3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18"/>
      <c r="N273" s="3"/>
      <c r="O273" s="3"/>
      <c r="P273" s="3"/>
      <c r="Q273" s="3"/>
      <c r="R273" s="3"/>
      <c r="S273" s="3"/>
    </row>
    <row r="274" spans="2:19" x14ac:dyDescent="0.3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18"/>
      <c r="N274" s="3"/>
      <c r="O274" s="3"/>
      <c r="P274" s="3"/>
      <c r="Q274" s="3"/>
      <c r="R274" s="3"/>
      <c r="S274" s="3"/>
    </row>
    <row r="275" spans="2:19" x14ac:dyDescent="0.3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18"/>
      <c r="N275" s="3"/>
      <c r="O275" s="3"/>
      <c r="P275" s="3"/>
      <c r="Q275" s="3"/>
      <c r="R275" s="3"/>
      <c r="S275" s="3"/>
    </row>
    <row r="276" spans="2:19" x14ac:dyDescent="0.3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18"/>
      <c r="N276" s="3"/>
      <c r="O276" s="3"/>
      <c r="P276" s="3"/>
      <c r="Q276" s="3"/>
      <c r="R276" s="3"/>
      <c r="S276" s="3"/>
    </row>
    <row r="277" spans="2:19" x14ac:dyDescent="0.3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18"/>
      <c r="N277" s="3"/>
      <c r="O277" s="3"/>
      <c r="P277" s="3"/>
      <c r="Q277" s="3"/>
      <c r="R277" s="3"/>
      <c r="S277" s="3"/>
    </row>
    <row r="278" spans="2:19" x14ac:dyDescent="0.3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18"/>
      <c r="N278" s="3"/>
      <c r="O278" s="3"/>
      <c r="P278" s="3"/>
      <c r="Q278" s="3"/>
      <c r="R278" s="3"/>
      <c r="S278" s="3"/>
    </row>
    <row r="279" spans="2:19" x14ac:dyDescent="0.3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18"/>
      <c r="N279" s="3"/>
      <c r="O279" s="3"/>
      <c r="P279" s="3"/>
      <c r="Q279" s="3"/>
      <c r="R279" s="3"/>
      <c r="S279" s="3"/>
    </row>
    <row r="280" spans="2:19" x14ac:dyDescent="0.3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18"/>
      <c r="N280" s="3"/>
      <c r="O280" s="3"/>
      <c r="P280" s="3"/>
      <c r="Q280" s="3"/>
      <c r="R280" s="3"/>
      <c r="S280" s="3"/>
    </row>
    <row r="281" spans="2:19" x14ac:dyDescent="0.3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18"/>
      <c r="N281" s="3"/>
      <c r="O281" s="3"/>
      <c r="P281" s="3"/>
      <c r="Q281" s="3"/>
      <c r="R281" s="3"/>
      <c r="S281" s="3"/>
    </row>
    <row r="282" spans="2:19" x14ac:dyDescent="0.3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18"/>
      <c r="N282" s="3"/>
      <c r="O282" s="3"/>
      <c r="P282" s="3"/>
      <c r="Q282" s="3"/>
      <c r="R282" s="3"/>
      <c r="S282" s="3"/>
    </row>
    <row r="283" spans="2:19" x14ac:dyDescent="0.3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18"/>
      <c r="N283" s="3"/>
      <c r="O283" s="3"/>
      <c r="P283" s="3"/>
      <c r="Q283" s="3"/>
      <c r="R283" s="3"/>
      <c r="S283" s="3"/>
    </row>
    <row r="284" spans="2:19" x14ac:dyDescent="0.3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18"/>
      <c r="N284" s="3"/>
      <c r="O284" s="3"/>
      <c r="P284" s="3"/>
      <c r="Q284" s="3"/>
      <c r="R284" s="3"/>
      <c r="S284" s="3"/>
    </row>
    <row r="285" spans="2:19" x14ac:dyDescent="0.3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18"/>
      <c r="N285" s="3"/>
      <c r="O285" s="3"/>
      <c r="P285" s="3"/>
      <c r="Q285" s="3"/>
      <c r="R285" s="3"/>
      <c r="S285" s="3"/>
    </row>
    <row r="286" spans="2:19" x14ac:dyDescent="0.3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18"/>
      <c r="N286" s="3"/>
      <c r="O286" s="3"/>
      <c r="P286" s="3"/>
      <c r="Q286" s="3"/>
      <c r="R286" s="3"/>
      <c r="S286" s="3"/>
    </row>
    <row r="287" spans="2:19" x14ac:dyDescent="0.3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18"/>
      <c r="N287" s="3"/>
      <c r="O287" s="3"/>
      <c r="P287" s="3"/>
      <c r="Q287" s="3"/>
      <c r="R287" s="3"/>
      <c r="S287" s="3"/>
    </row>
    <row r="288" spans="2:19" x14ac:dyDescent="0.3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18"/>
      <c r="N288" s="3"/>
      <c r="O288" s="3"/>
      <c r="P288" s="3"/>
      <c r="Q288" s="3"/>
      <c r="R288" s="3"/>
      <c r="S288" s="3"/>
    </row>
    <row r="289" spans="2:19" x14ac:dyDescent="0.3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18"/>
      <c r="N289" s="3"/>
      <c r="O289" s="3"/>
      <c r="P289" s="3"/>
      <c r="Q289" s="3"/>
      <c r="R289" s="3"/>
      <c r="S289" s="3"/>
    </row>
    <row r="290" spans="2:19" x14ac:dyDescent="0.3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18"/>
      <c r="N290" s="3"/>
      <c r="O290" s="3"/>
      <c r="P290" s="3"/>
      <c r="Q290" s="3"/>
      <c r="R290" s="3"/>
      <c r="S290" s="3"/>
    </row>
    <row r="291" spans="2:19" x14ac:dyDescent="0.3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18"/>
      <c r="N291" s="3"/>
      <c r="O291" s="3"/>
      <c r="P291" s="3"/>
      <c r="Q291" s="3"/>
      <c r="R291" s="3"/>
      <c r="S291" s="3"/>
    </row>
    <row r="292" spans="2:19" x14ac:dyDescent="0.3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18"/>
      <c r="N292" s="3"/>
      <c r="O292" s="3"/>
      <c r="P292" s="3"/>
      <c r="Q292" s="3"/>
      <c r="R292" s="3"/>
      <c r="S292" s="3"/>
    </row>
    <row r="293" spans="2:19" x14ac:dyDescent="0.3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18"/>
      <c r="N293" s="3"/>
      <c r="O293" s="3"/>
      <c r="P293" s="3"/>
      <c r="Q293" s="3"/>
      <c r="R293" s="3"/>
      <c r="S293" s="3"/>
    </row>
    <row r="294" spans="2:19" x14ac:dyDescent="0.3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18"/>
      <c r="N294" s="3"/>
      <c r="O294" s="3"/>
      <c r="P294" s="3"/>
      <c r="Q294" s="3"/>
      <c r="R294" s="3"/>
      <c r="S294" s="3"/>
    </row>
    <row r="295" spans="2:19" x14ac:dyDescent="0.3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18"/>
      <c r="N295" s="3"/>
      <c r="O295" s="3"/>
      <c r="P295" s="3"/>
      <c r="Q295" s="3"/>
      <c r="R295" s="3"/>
      <c r="S295" s="3"/>
    </row>
    <row r="296" spans="2:19" x14ac:dyDescent="0.3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18"/>
      <c r="N296" s="3"/>
      <c r="O296" s="3"/>
      <c r="P296" s="3"/>
      <c r="Q296" s="3"/>
      <c r="R296" s="3"/>
      <c r="S296" s="3"/>
    </row>
    <row r="297" spans="2:19" x14ac:dyDescent="0.3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18"/>
      <c r="N297" s="3"/>
      <c r="O297" s="3"/>
      <c r="P297" s="3"/>
      <c r="Q297" s="3"/>
      <c r="R297" s="3"/>
      <c r="S297" s="3"/>
    </row>
    <row r="298" spans="2:19" x14ac:dyDescent="0.3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18"/>
      <c r="N298" s="3"/>
      <c r="O298" s="3"/>
      <c r="P298" s="3"/>
      <c r="Q298" s="3"/>
      <c r="R298" s="3"/>
      <c r="S298" s="3"/>
    </row>
    <row r="299" spans="2:19" x14ac:dyDescent="0.3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18"/>
      <c r="N299" s="3"/>
      <c r="O299" s="3"/>
      <c r="P299" s="3"/>
      <c r="Q299" s="3"/>
      <c r="R299" s="3"/>
      <c r="S299" s="3"/>
    </row>
    <row r="300" spans="2:19" x14ac:dyDescent="0.3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18"/>
      <c r="N300" s="3"/>
      <c r="O300" s="3"/>
      <c r="P300" s="3"/>
      <c r="Q300" s="3"/>
      <c r="R300" s="3"/>
      <c r="S300" s="3"/>
    </row>
    <row r="301" spans="2:19" x14ac:dyDescent="0.3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18"/>
      <c r="N301" s="3"/>
      <c r="O301" s="3"/>
      <c r="P301" s="3"/>
      <c r="Q301" s="3"/>
      <c r="R301" s="3"/>
      <c r="S301" s="3"/>
    </row>
    <row r="302" spans="2:19" x14ac:dyDescent="0.3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18"/>
      <c r="N302" s="3"/>
      <c r="O302" s="3"/>
      <c r="P302" s="3"/>
      <c r="Q302" s="3"/>
      <c r="R302" s="3"/>
      <c r="S302" s="3"/>
    </row>
    <row r="303" spans="2:19" x14ac:dyDescent="0.3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18"/>
      <c r="N303" s="3"/>
      <c r="O303" s="3"/>
      <c r="P303" s="3"/>
      <c r="Q303" s="3"/>
      <c r="R303" s="3"/>
      <c r="S303" s="3"/>
    </row>
    <row r="304" spans="2:19" x14ac:dyDescent="0.3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18"/>
      <c r="N304" s="3"/>
      <c r="O304" s="3"/>
      <c r="P304" s="3"/>
      <c r="Q304" s="3"/>
      <c r="R304" s="3"/>
      <c r="S304" s="3"/>
    </row>
    <row r="305" spans="2:19" x14ac:dyDescent="0.3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18"/>
      <c r="N305" s="3"/>
      <c r="O305" s="3"/>
      <c r="P305" s="3"/>
      <c r="Q305" s="3"/>
      <c r="R305" s="3"/>
      <c r="S305" s="3"/>
    </row>
    <row r="306" spans="2:19" x14ac:dyDescent="0.3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18"/>
      <c r="N306" s="3"/>
      <c r="O306" s="3"/>
      <c r="P306" s="3"/>
      <c r="Q306" s="3"/>
      <c r="R306" s="3"/>
      <c r="S306" s="3"/>
    </row>
    <row r="307" spans="2:19" x14ac:dyDescent="0.3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18"/>
      <c r="N307" s="3"/>
      <c r="O307" s="3"/>
      <c r="P307" s="3"/>
      <c r="Q307" s="3"/>
      <c r="R307" s="3"/>
      <c r="S307" s="3"/>
    </row>
    <row r="308" spans="2:19" x14ac:dyDescent="0.3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18"/>
      <c r="N308" s="3"/>
      <c r="O308" s="3"/>
      <c r="P308" s="3"/>
      <c r="Q308" s="3"/>
      <c r="R308" s="3"/>
      <c r="S308" s="3"/>
    </row>
    <row r="309" spans="2:19" x14ac:dyDescent="0.3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18"/>
      <c r="N309" s="3"/>
      <c r="O309" s="3"/>
      <c r="P309" s="3"/>
      <c r="Q309" s="3"/>
      <c r="R309" s="3"/>
      <c r="S309" s="3"/>
    </row>
    <row r="310" spans="2:19" x14ac:dyDescent="0.3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18"/>
      <c r="N310" s="3"/>
      <c r="O310" s="3"/>
      <c r="P310" s="3"/>
      <c r="Q310" s="3"/>
      <c r="R310" s="3"/>
      <c r="S310" s="3"/>
    </row>
    <row r="311" spans="2:19" x14ac:dyDescent="0.3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18"/>
      <c r="N311" s="3"/>
      <c r="O311" s="3"/>
      <c r="P311" s="3"/>
      <c r="Q311" s="3"/>
      <c r="R311" s="3"/>
      <c r="S311" s="3"/>
    </row>
    <row r="312" spans="2:19" x14ac:dyDescent="0.3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18"/>
      <c r="N312" s="3"/>
      <c r="O312" s="3"/>
      <c r="P312" s="3"/>
      <c r="Q312" s="3"/>
      <c r="R312" s="3"/>
      <c r="S312" s="3"/>
    </row>
    <row r="313" spans="2:19" x14ac:dyDescent="0.3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18"/>
      <c r="N313" s="3"/>
      <c r="O313" s="3"/>
      <c r="P313" s="3"/>
      <c r="Q313" s="3"/>
      <c r="R313" s="3"/>
      <c r="S313" s="3"/>
    </row>
    <row r="314" spans="2:19" x14ac:dyDescent="0.3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18"/>
      <c r="N314" s="3"/>
      <c r="O314" s="3"/>
      <c r="P314" s="3"/>
      <c r="Q314" s="3"/>
      <c r="R314" s="3"/>
      <c r="S314" s="3"/>
    </row>
    <row r="315" spans="2:19" x14ac:dyDescent="0.3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18"/>
      <c r="N315" s="3"/>
      <c r="O315" s="3"/>
      <c r="P315" s="3"/>
      <c r="Q315" s="3"/>
      <c r="R315" s="3"/>
      <c r="S315" s="3"/>
    </row>
    <row r="316" spans="2:19" x14ac:dyDescent="0.3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18"/>
      <c r="N316" s="3"/>
      <c r="O316" s="3"/>
      <c r="P316" s="3"/>
      <c r="Q316" s="3"/>
      <c r="R316" s="3"/>
      <c r="S316" s="3"/>
    </row>
    <row r="317" spans="2:19" x14ac:dyDescent="0.3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18"/>
      <c r="N317" s="3"/>
      <c r="O317" s="3"/>
      <c r="P317" s="3"/>
      <c r="Q317" s="3"/>
      <c r="R317" s="3"/>
      <c r="S317" s="3"/>
    </row>
    <row r="318" spans="2:19" x14ac:dyDescent="0.3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18"/>
      <c r="N318" s="3"/>
      <c r="O318" s="3"/>
      <c r="P318" s="3"/>
      <c r="Q318" s="3"/>
      <c r="R318" s="3"/>
      <c r="S318" s="3"/>
    </row>
    <row r="319" spans="2:19" x14ac:dyDescent="0.3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18"/>
      <c r="N319" s="3"/>
      <c r="O319" s="3"/>
      <c r="P319" s="3"/>
      <c r="Q319" s="3"/>
      <c r="R319" s="3"/>
      <c r="S319" s="3"/>
    </row>
    <row r="320" spans="2:19" x14ac:dyDescent="0.3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18"/>
      <c r="N320" s="3"/>
      <c r="O320" s="3"/>
      <c r="P320" s="3"/>
      <c r="Q320" s="3"/>
      <c r="R320" s="3"/>
      <c r="S320" s="3"/>
    </row>
    <row r="321" spans="2:19" x14ac:dyDescent="0.3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18"/>
      <c r="N321" s="3"/>
      <c r="O321" s="3"/>
      <c r="P321" s="3"/>
      <c r="Q321" s="3"/>
      <c r="R321" s="3"/>
      <c r="S321" s="3"/>
    </row>
    <row r="322" spans="2:19" x14ac:dyDescent="0.3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18"/>
      <c r="N322" s="3"/>
      <c r="O322" s="3"/>
      <c r="P322" s="3"/>
      <c r="Q322" s="3"/>
      <c r="R322" s="3"/>
      <c r="S322" s="3"/>
    </row>
    <row r="323" spans="2:19" x14ac:dyDescent="0.3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18"/>
      <c r="N323" s="3"/>
      <c r="O323" s="3"/>
      <c r="P323" s="3"/>
      <c r="Q323" s="3"/>
      <c r="R323" s="3"/>
      <c r="S323" s="3"/>
    </row>
    <row r="324" spans="2:19" x14ac:dyDescent="0.3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18"/>
      <c r="N324" s="3"/>
      <c r="O324" s="3"/>
      <c r="P324" s="3"/>
      <c r="Q324" s="3"/>
      <c r="R324" s="3"/>
      <c r="S324" s="3"/>
    </row>
    <row r="325" spans="2:19" x14ac:dyDescent="0.3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18"/>
      <c r="N325" s="3"/>
      <c r="O325" s="3"/>
      <c r="P325" s="3"/>
      <c r="Q325" s="3"/>
      <c r="R325" s="3"/>
      <c r="S325" s="3"/>
    </row>
    <row r="326" spans="2:19" x14ac:dyDescent="0.3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18"/>
      <c r="N326" s="3"/>
      <c r="O326" s="3"/>
      <c r="P326" s="3"/>
      <c r="Q326" s="3"/>
      <c r="R326" s="3"/>
      <c r="S326" s="3"/>
    </row>
    <row r="327" spans="2:19" x14ac:dyDescent="0.3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18"/>
      <c r="N327" s="3"/>
      <c r="O327" s="3"/>
      <c r="P327" s="3"/>
      <c r="Q327" s="3"/>
      <c r="R327" s="3"/>
      <c r="S327" s="3"/>
    </row>
    <row r="328" spans="2:19" x14ac:dyDescent="0.3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18"/>
      <c r="N328" s="3"/>
      <c r="O328" s="3"/>
      <c r="P328" s="3"/>
      <c r="Q328" s="3"/>
      <c r="R328" s="3"/>
      <c r="S328" s="3"/>
    </row>
    <row r="329" spans="2:19" x14ac:dyDescent="0.3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18"/>
      <c r="N329" s="3"/>
      <c r="O329" s="3"/>
      <c r="P329" s="3"/>
      <c r="Q329" s="3"/>
      <c r="R329" s="3"/>
      <c r="S329" s="3"/>
    </row>
    <row r="330" spans="2:19" x14ac:dyDescent="0.3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18"/>
      <c r="N330" s="3"/>
      <c r="O330" s="3"/>
      <c r="P330" s="3"/>
      <c r="Q330" s="3"/>
      <c r="R330" s="3"/>
      <c r="S330" s="3"/>
    </row>
    <row r="331" spans="2:19" x14ac:dyDescent="0.3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18"/>
      <c r="N331" s="3"/>
      <c r="O331" s="3"/>
      <c r="P331" s="3"/>
      <c r="Q331" s="3"/>
      <c r="R331" s="3"/>
      <c r="S331" s="3"/>
    </row>
    <row r="332" spans="2:19" x14ac:dyDescent="0.3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18"/>
      <c r="N332" s="3"/>
      <c r="O332" s="3"/>
      <c r="P332" s="3"/>
      <c r="Q332" s="3"/>
      <c r="R332" s="3"/>
      <c r="S332" s="3"/>
    </row>
    <row r="333" spans="2:19" x14ac:dyDescent="0.3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18"/>
      <c r="N333" s="3"/>
      <c r="O333" s="3"/>
      <c r="P333" s="3"/>
      <c r="Q333" s="3"/>
      <c r="R333" s="3"/>
      <c r="S333" s="3"/>
    </row>
    <row r="334" spans="2:19" x14ac:dyDescent="0.3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18"/>
      <c r="N334" s="3"/>
      <c r="O334" s="3"/>
      <c r="P334" s="3"/>
      <c r="Q334" s="3"/>
      <c r="R334" s="3"/>
      <c r="S334" s="3"/>
    </row>
    <row r="335" spans="2:19" x14ac:dyDescent="0.3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18"/>
      <c r="N335" s="3"/>
      <c r="O335" s="3"/>
      <c r="P335" s="3"/>
      <c r="Q335" s="3"/>
      <c r="R335" s="3"/>
      <c r="S335" s="3"/>
    </row>
    <row r="336" spans="2:19" x14ac:dyDescent="0.3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18"/>
      <c r="N336" s="3"/>
      <c r="O336" s="3"/>
      <c r="P336" s="3"/>
      <c r="Q336" s="3"/>
      <c r="R336" s="3"/>
      <c r="S336" s="3"/>
    </row>
    <row r="337" spans="2:19" x14ac:dyDescent="0.3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18"/>
      <c r="N337" s="3"/>
      <c r="O337" s="3"/>
      <c r="P337" s="3"/>
      <c r="Q337" s="3"/>
      <c r="R337" s="3"/>
      <c r="S337" s="3"/>
    </row>
    <row r="338" spans="2:19" x14ac:dyDescent="0.3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18"/>
      <c r="N338" s="3"/>
      <c r="O338" s="3"/>
      <c r="P338" s="3"/>
      <c r="Q338" s="3"/>
      <c r="R338" s="3"/>
      <c r="S338" s="3"/>
    </row>
    <row r="339" spans="2:19" x14ac:dyDescent="0.3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18"/>
      <c r="N339" s="3"/>
      <c r="O339" s="3"/>
      <c r="P339" s="3"/>
      <c r="Q339" s="3"/>
      <c r="R339" s="3"/>
      <c r="S339" s="3"/>
    </row>
    <row r="340" spans="2:19" x14ac:dyDescent="0.3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18"/>
      <c r="N340" s="3"/>
      <c r="O340" s="3"/>
      <c r="P340" s="3"/>
      <c r="Q340" s="3"/>
      <c r="R340" s="3"/>
      <c r="S340" s="3"/>
    </row>
    <row r="341" spans="2:19" x14ac:dyDescent="0.3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18"/>
      <c r="N341" s="3"/>
      <c r="O341" s="3"/>
      <c r="P341" s="3"/>
      <c r="Q341" s="3"/>
      <c r="R341" s="3"/>
      <c r="S341" s="3"/>
    </row>
    <row r="342" spans="2:19" x14ac:dyDescent="0.3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18"/>
      <c r="N342" s="3"/>
      <c r="O342" s="3"/>
      <c r="P342" s="3"/>
      <c r="Q342" s="3"/>
      <c r="R342" s="3"/>
      <c r="S342" s="3"/>
    </row>
    <row r="343" spans="2:19" x14ac:dyDescent="0.3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18"/>
      <c r="N343" s="3"/>
      <c r="O343" s="3"/>
      <c r="P343" s="3"/>
      <c r="Q343" s="3"/>
      <c r="R343" s="3"/>
      <c r="S343" s="3"/>
    </row>
    <row r="344" spans="2:19" x14ac:dyDescent="0.3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18"/>
      <c r="N344" s="3"/>
      <c r="O344" s="3"/>
      <c r="P344" s="3"/>
      <c r="Q344" s="3"/>
      <c r="R344" s="3"/>
      <c r="S344" s="3"/>
    </row>
    <row r="345" spans="2:19" x14ac:dyDescent="0.3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18"/>
      <c r="N345" s="3"/>
      <c r="O345" s="3"/>
      <c r="P345" s="3"/>
      <c r="Q345" s="3"/>
      <c r="R345" s="3"/>
      <c r="S345" s="3"/>
    </row>
    <row r="346" spans="2:19" x14ac:dyDescent="0.3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18"/>
      <c r="N346" s="3"/>
      <c r="O346" s="3"/>
      <c r="P346" s="3"/>
      <c r="Q346" s="3"/>
      <c r="R346" s="3"/>
      <c r="S346" s="3"/>
    </row>
    <row r="347" spans="2:19" x14ac:dyDescent="0.3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18"/>
      <c r="N347" s="3"/>
      <c r="O347" s="3"/>
      <c r="P347" s="3"/>
      <c r="Q347" s="3"/>
      <c r="R347" s="3"/>
      <c r="S347" s="3"/>
    </row>
    <row r="348" spans="2:19" x14ac:dyDescent="0.3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18"/>
      <c r="N348" s="3"/>
      <c r="O348" s="3"/>
      <c r="P348" s="3"/>
      <c r="Q348" s="3"/>
      <c r="R348" s="3"/>
      <c r="S348" s="3"/>
    </row>
    <row r="349" spans="2:19" x14ac:dyDescent="0.3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18"/>
      <c r="N349" s="3"/>
      <c r="O349" s="3"/>
      <c r="P349" s="3"/>
      <c r="Q349" s="3"/>
      <c r="R349" s="3"/>
      <c r="S349" s="3"/>
    </row>
    <row r="350" spans="2:19" x14ac:dyDescent="0.3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18"/>
      <c r="N350" s="3"/>
      <c r="O350" s="3"/>
      <c r="P350" s="3"/>
      <c r="Q350" s="3"/>
      <c r="R350" s="3"/>
      <c r="S350" s="3"/>
    </row>
    <row r="351" spans="2:19" x14ac:dyDescent="0.3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18"/>
      <c r="N351" s="3"/>
      <c r="O351" s="3"/>
      <c r="P351" s="3"/>
      <c r="Q351" s="3"/>
      <c r="R351" s="3"/>
      <c r="S351" s="3"/>
    </row>
    <row r="352" spans="2:19" x14ac:dyDescent="0.3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18"/>
      <c r="N352" s="3"/>
      <c r="O352" s="3"/>
      <c r="P352" s="3"/>
      <c r="Q352" s="3"/>
      <c r="R352" s="3"/>
      <c r="S352" s="3"/>
    </row>
    <row r="353" spans="2:19" x14ac:dyDescent="0.3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18"/>
      <c r="N353" s="3"/>
      <c r="O353" s="3"/>
      <c r="P353" s="3"/>
      <c r="Q353" s="3"/>
      <c r="R353" s="3"/>
      <c r="S353" s="3"/>
    </row>
    <row r="354" spans="2:19" x14ac:dyDescent="0.3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18"/>
      <c r="N354" s="3"/>
      <c r="O354" s="3"/>
      <c r="P354" s="3"/>
      <c r="Q354" s="3"/>
      <c r="R354" s="3"/>
      <c r="S354" s="3"/>
    </row>
    <row r="355" spans="2:19" x14ac:dyDescent="0.3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18"/>
      <c r="N355" s="3"/>
      <c r="O355" s="3"/>
      <c r="P355" s="3"/>
      <c r="Q355" s="3"/>
      <c r="R355" s="3"/>
      <c r="S355" s="3"/>
    </row>
    <row r="356" spans="2:19" x14ac:dyDescent="0.3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18"/>
      <c r="N356" s="3"/>
      <c r="O356" s="3"/>
      <c r="P356" s="3"/>
      <c r="Q356" s="3"/>
      <c r="R356" s="3"/>
      <c r="S356" s="3"/>
    </row>
    <row r="357" spans="2:19" x14ac:dyDescent="0.3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18"/>
      <c r="N357" s="3"/>
      <c r="O357" s="3"/>
      <c r="P357" s="3"/>
      <c r="Q357" s="3"/>
      <c r="R357" s="3"/>
      <c r="S357" s="3"/>
    </row>
    <row r="358" spans="2:19" x14ac:dyDescent="0.3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18"/>
      <c r="N358" s="3"/>
      <c r="O358" s="3"/>
      <c r="P358" s="3"/>
      <c r="Q358" s="3"/>
      <c r="R358" s="3"/>
      <c r="S358" s="3"/>
    </row>
    <row r="359" spans="2:19" x14ac:dyDescent="0.3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18"/>
      <c r="N359" s="3"/>
      <c r="O359" s="3"/>
      <c r="P359" s="3"/>
      <c r="Q359" s="3"/>
      <c r="R359" s="3"/>
      <c r="S359" s="3"/>
    </row>
    <row r="360" spans="2:19" x14ac:dyDescent="0.3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18"/>
      <c r="N360" s="3"/>
      <c r="O360" s="3"/>
      <c r="P360" s="3"/>
      <c r="Q360" s="3"/>
      <c r="R360" s="3"/>
      <c r="S360" s="3"/>
    </row>
    <row r="361" spans="2:19" x14ac:dyDescent="0.3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18"/>
      <c r="N361" s="3"/>
      <c r="O361" s="3"/>
      <c r="P361" s="3"/>
      <c r="Q361" s="3"/>
      <c r="R361" s="3"/>
      <c r="S361" s="3"/>
    </row>
    <row r="362" spans="2:19" x14ac:dyDescent="0.3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18"/>
      <c r="N362" s="3"/>
      <c r="O362" s="3"/>
      <c r="P362" s="3"/>
      <c r="Q362" s="3"/>
      <c r="R362" s="3"/>
      <c r="S362" s="3"/>
    </row>
    <row r="363" spans="2:19" x14ac:dyDescent="0.3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18"/>
      <c r="N363" s="3"/>
      <c r="O363" s="3"/>
      <c r="P363" s="3"/>
      <c r="Q363" s="3"/>
      <c r="R363" s="3"/>
      <c r="S363" s="3"/>
    </row>
    <row r="364" spans="2:19" x14ac:dyDescent="0.3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18"/>
      <c r="N364" s="3"/>
      <c r="O364" s="3"/>
      <c r="P364" s="3"/>
      <c r="Q364" s="3"/>
      <c r="R364" s="3"/>
      <c r="S364" s="3"/>
    </row>
    <row r="365" spans="2:19" x14ac:dyDescent="0.3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18"/>
      <c r="N365" s="3"/>
      <c r="O365" s="3"/>
      <c r="P365" s="3"/>
      <c r="Q365" s="3"/>
      <c r="R365" s="3"/>
      <c r="S365" s="3"/>
    </row>
    <row r="366" spans="2:19" x14ac:dyDescent="0.3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18"/>
      <c r="N366" s="3"/>
      <c r="O366" s="3"/>
      <c r="P366" s="3"/>
      <c r="Q366" s="3"/>
      <c r="R366" s="3"/>
      <c r="S366" s="3"/>
    </row>
    <row r="367" spans="2:19" x14ac:dyDescent="0.3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18"/>
      <c r="N367" s="3"/>
      <c r="O367" s="3"/>
      <c r="P367" s="3"/>
      <c r="Q367" s="3"/>
      <c r="R367" s="3"/>
      <c r="S367" s="3"/>
    </row>
    <row r="368" spans="2:19" x14ac:dyDescent="0.3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18"/>
      <c r="N368" s="3"/>
      <c r="O368" s="3"/>
      <c r="P368" s="3"/>
      <c r="Q368" s="3"/>
      <c r="R368" s="3"/>
      <c r="S368" s="3"/>
    </row>
    <row r="369" spans="2:19" x14ac:dyDescent="0.3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18"/>
      <c r="N369" s="3"/>
      <c r="O369" s="3"/>
      <c r="P369" s="3"/>
      <c r="Q369" s="3"/>
      <c r="R369" s="3"/>
      <c r="S369" s="3"/>
    </row>
    <row r="370" spans="2:19" x14ac:dyDescent="0.3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18"/>
      <c r="N370" s="3"/>
      <c r="O370" s="3"/>
      <c r="P370" s="3"/>
      <c r="Q370" s="3"/>
      <c r="R370" s="3"/>
      <c r="S370" s="3"/>
    </row>
    <row r="371" spans="2:19" x14ac:dyDescent="0.3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18"/>
      <c r="N371" s="3"/>
      <c r="O371" s="3"/>
      <c r="P371" s="3"/>
      <c r="Q371" s="3"/>
      <c r="R371" s="3"/>
      <c r="S371" s="3"/>
    </row>
    <row r="372" spans="2:19" x14ac:dyDescent="0.3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18"/>
      <c r="N372" s="3"/>
      <c r="O372" s="3"/>
      <c r="P372" s="3"/>
      <c r="Q372" s="3"/>
      <c r="R372" s="3"/>
      <c r="S372" s="3"/>
    </row>
    <row r="373" spans="2:19" x14ac:dyDescent="0.3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18"/>
      <c r="N373" s="3"/>
      <c r="O373" s="3"/>
      <c r="P373" s="3"/>
      <c r="Q373" s="3"/>
      <c r="R373" s="3"/>
      <c r="S373" s="3"/>
    </row>
    <row r="374" spans="2:19" x14ac:dyDescent="0.3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18"/>
      <c r="N374" s="3"/>
      <c r="O374" s="3"/>
      <c r="P374" s="3"/>
      <c r="Q374" s="3"/>
      <c r="R374" s="3"/>
      <c r="S374" s="3"/>
    </row>
    <row r="375" spans="2:19" x14ac:dyDescent="0.3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18"/>
      <c r="N375" s="3"/>
      <c r="O375" s="3"/>
      <c r="P375" s="3"/>
      <c r="Q375" s="3"/>
      <c r="R375" s="3"/>
      <c r="S375" s="3"/>
    </row>
    <row r="376" spans="2:19" x14ac:dyDescent="0.3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18"/>
      <c r="N376" s="3"/>
      <c r="O376" s="3"/>
      <c r="P376" s="3"/>
      <c r="Q376" s="3"/>
      <c r="R376" s="3"/>
      <c r="S376" s="3"/>
    </row>
    <row r="377" spans="2:19" x14ac:dyDescent="0.3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18"/>
      <c r="N377" s="3"/>
      <c r="O377" s="3"/>
      <c r="P377" s="3"/>
      <c r="Q377" s="3"/>
      <c r="R377" s="3"/>
      <c r="S377" s="3"/>
    </row>
    <row r="378" spans="2:19" x14ac:dyDescent="0.3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18"/>
      <c r="N378" s="3"/>
      <c r="O378" s="3"/>
      <c r="P378" s="3"/>
      <c r="Q378" s="3"/>
      <c r="R378" s="3"/>
      <c r="S378" s="3"/>
    </row>
    <row r="379" spans="2:19" x14ac:dyDescent="0.3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18"/>
      <c r="N379" s="3"/>
      <c r="O379" s="3"/>
      <c r="P379" s="3"/>
      <c r="Q379" s="3"/>
      <c r="R379" s="3"/>
      <c r="S379" s="3"/>
    </row>
    <row r="380" spans="2:19" x14ac:dyDescent="0.3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18"/>
      <c r="N380" s="3"/>
      <c r="O380" s="3"/>
      <c r="P380" s="3"/>
      <c r="Q380" s="3"/>
      <c r="R380" s="3"/>
      <c r="S380" s="3"/>
    </row>
    <row r="381" spans="2:19" x14ac:dyDescent="0.3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18"/>
      <c r="N381" s="3"/>
      <c r="O381" s="3"/>
      <c r="P381" s="3"/>
      <c r="Q381" s="3"/>
      <c r="R381" s="3"/>
      <c r="S381" s="3"/>
    </row>
    <row r="382" spans="2:19" x14ac:dyDescent="0.3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18"/>
      <c r="N382" s="3"/>
      <c r="O382" s="3"/>
      <c r="P382" s="3"/>
      <c r="Q382" s="3"/>
      <c r="R382" s="3"/>
      <c r="S382" s="3"/>
    </row>
    <row r="383" spans="2:19" x14ac:dyDescent="0.3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18"/>
      <c r="N383" s="3"/>
      <c r="O383" s="3"/>
      <c r="P383" s="3"/>
      <c r="Q383" s="3"/>
      <c r="R383" s="3"/>
      <c r="S383" s="3"/>
    </row>
    <row r="384" spans="2:19" x14ac:dyDescent="0.3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18"/>
      <c r="N384" s="3"/>
      <c r="O384" s="3"/>
      <c r="P384" s="3"/>
      <c r="Q384" s="3"/>
      <c r="R384" s="3"/>
      <c r="S384" s="3"/>
    </row>
    <row r="385" spans="2:19" x14ac:dyDescent="0.3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18"/>
      <c r="N385" s="3"/>
      <c r="O385" s="3"/>
      <c r="P385" s="3"/>
      <c r="Q385" s="3"/>
      <c r="R385" s="3"/>
      <c r="S385" s="3"/>
    </row>
    <row r="386" spans="2:19" x14ac:dyDescent="0.3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18"/>
      <c r="N386" s="3"/>
      <c r="O386" s="3"/>
      <c r="P386" s="3"/>
      <c r="Q386" s="3"/>
      <c r="R386" s="3"/>
      <c r="S386" s="3"/>
    </row>
    <row r="387" spans="2:19" x14ac:dyDescent="0.3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18"/>
      <c r="N387" s="3"/>
      <c r="O387" s="3"/>
      <c r="P387" s="3"/>
      <c r="Q387" s="3"/>
      <c r="R387" s="3"/>
      <c r="S387" s="3"/>
    </row>
    <row r="388" spans="2:19" x14ac:dyDescent="0.3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18"/>
      <c r="N388" s="3"/>
      <c r="O388" s="3"/>
      <c r="P388" s="3"/>
      <c r="Q388" s="3"/>
      <c r="R388" s="3"/>
      <c r="S388" s="3"/>
    </row>
    <row r="389" spans="2:19" x14ac:dyDescent="0.3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18"/>
      <c r="N389" s="3"/>
      <c r="O389" s="3"/>
      <c r="P389" s="3"/>
      <c r="Q389" s="3"/>
      <c r="R389" s="3"/>
      <c r="S389" s="3"/>
    </row>
    <row r="390" spans="2:19" x14ac:dyDescent="0.3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18"/>
      <c r="N390" s="3"/>
      <c r="O390" s="3"/>
      <c r="P390" s="3"/>
      <c r="Q390" s="3"/>
      <c r="R390" s="3"/>
      <c r="S390" s="3"/>
    </row>
    <row r="391" spans="2:19" x14ac:dyDescent="0.3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18"/>
      <c r="N391" s="3"/>
      <c r="O391" s="3"/>
      <c r="P391" s="3"/>
      <c r="Q391" s="3"/>
      <c r="R391" s="3"/>
      <c r="S391" s="3"/>
    </row>
    <row r="392" spans="2:19" x14ac:dyDescent="0.3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18"/>
      <c r="N392" s="3"/>
      <c r="O392" s="3"/>
      <c r="P392" s="3"/>
      <c r="Q392" s="3"/>
      <c r="R392" s="3"/>
      <c r="S392" s="3"/>
    </row>
    <row r="393" spans="2:19" x14ac:dyDescent="0.3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18"/>
      <c r="N393" s="3"/>
      <c r="O393" s="3"/>
      <c r="P393" s="3"/>
      <c r="Q393" s="3"/>
      <c r="R393" s="3"/>
      <c r="S393" s="3"/>
    </row>
    <row r="394" spans="2:19" x14ac:dyDescent="0.3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18"/>
      <c r="N394" s="3"/>
      <c r="O394" s="3"/>
      <c r="P394" s="3"/>
      <c r="Q394" s="3"/>
      <c r="R394" s="3"/>
      <c r="S394" s="3"/>
    </row>
    <row r="395" spans="2:19" x14ac:dyDescent="0.3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18"/>
      <c r="N395" s="3"/>
      <c r="O395" s="3"/>
      <c r="P395" s="3"/>
      <c r="Q395" s="3"/>
      <c r="R395" s="3"/>
      <c r="S395" s="3"/>
    </row>
    <row r="396" spans="2:19" x14ac:dyDescent="0.3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18"/>
      <c r="N396" s="3"/>
      <c r="O396" s="3"/>
      <c r="P396" s="3"/>
      <c r="Q396" s="3"/>
      <c r="R396" s="3"/>
      <c r="S396" s="3"/>
    </row>
    <row r="397" spans="2:19" x14ac:dyDescent="0.3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18"/>
      <c r="N397" s="3"/>
      <c r="O397" s="3"/>
      <c r="P397" s="3"/>
      <c r="Q397" s="3"/>
      <c r="R397" s="3"/>
      <c r="S397" s="3"/>
    </row>
    <row r="398" spans="2:19" x14ac:dyDescent="0.3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18"/>
      <c r="N398" s="3"/>
      <c r="O398" s="3"/>
      <c r="P398" s="3"/>
      <c r="Q398" s="3"/>
      <c r="R398" s="3"/>
      <c r="S398" s="3"/>
    </row>
    <row r="399" spans="2:19" x14ac:dyDescent="0.3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18"/>
      <c r="N399" s="3"/>
      <c r="O399" s="3"/>
      <c r="P399" s="3"/>
      <c r="Q399" s="3"/>
      <c r="R399" s="3"/>
      <c r="S399" s="3"/>
    </row>
    <row r="400" spans="2:19" x14ac:dyDescent="0.3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18"/>
      <c r="N400" s="3"/>
      <c r="O400" s="3"/>
      <c r="P400" s="3"/>
      <c r="Q400" s="3"/>
      <c r="R400" s="3"/>
      <c r="S400" s="3"/>
    </row>
    <row r="401" spans="2:19" x14ac:dyDescent="0.3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18"/>
      <c r="N401" s="3"/>
      <c r="O401" s="3"/>
      <c r="P401" s="3"/>
      <c r="Q401" s="3"/>
      <c r="R401" s="3"/>
      <c r="S401" s="3"/>
    </row>
    <row r="402" spans="2:19" x14ac:dyDescent="0.3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18"/>
      <c r="N402" s="3"/>
      <c r="O402" s="3"/>
      <c r="P402" s="3"/>
      <c r="Q402" s="3"/>
      <c r="R402" s="3"/>
      <c r="S402" s="3"/>
    </row>
    <row r="403" spans="2:19" x14ac:dyDescent="0.3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18"/>
      <c r="N403" s="3"/>
      <c r="O403" s="3"/>
      <c r="P403" s="3"/>
      <c r="Q403" s="3"/>
      <c r="R403" s="3"/>
      <c r="S403" s="3"/>
    </row>
    <row r="404" spans="2:19" x14ac:dyDescent="0.3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18"/>
      <c r="N404" s="3"/>
      <c r="O404" s="3"/>
      <c r="P404" s="3"/>
      <c r="Q404" s="3"/>
      <c r="R404" s="3"/>
      <c r="S404" s="3"/>
    </row>
    <row r="405" spans="2:19" x14ac:dyDescent="0.3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18"/>
      <c r="N405" s="3"/>
      <c r="O405" s="3"/>
      <c r="P405" s="3"/>
      <c r="Q405" s="3"/>
      <c r="R405" s="3"/>
      <c r="S405" s="3"/>
    </row>
    <row r="406" spans="2:19" x14ac:dyDescent="0.3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18"/>
      <c r="N406" s="3"/>
      <c r="O406" s="3"/>
      <c r="P406" s="3"/>
      <c r="Q406" s="3"/>
      <c r="R406" s="3"/>
      <c r="S406" s="3"/>
    </row>
    <row r="407" spans="2:19" x14ac:dyDescent="0.3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18"/>
      <c r="N407" s="3"/>
      <c r="O407" s="3"/>
      <c r="P407" s="3"/>
      <c r="Q407" s="3"/>
      <c r="R407" s="3"/>
      <c r="S407" s="3"/>
    </row>
    <row r="408" spans="2:19" x14ac:dyDescent="0.3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18"/>
      <c r="N408" s="3"/>
      <c r="O408" s="3"/>
      <c r="P408" s="3"/>
      <c r="Q408" s="3"/>
      <c r="R408" s="3"/>
      <c r="S408" s="3"/>
    </row>
    <row r="409" spans="2:19" x14ac:dyDescent="0.3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18"/>
      <c r="N409" s="3"/>
      <c r="O409" s="3"/>
      <c r="P409" s="3"/>
      <c r="Q409" s="3"/>
      <c r="R409" s="3"/>
      <c r="S409" s="3"/>
    </row>
    <row r="410" spans="2:19" x14ac:dyDescent="0.3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18"/>
      <c r="N410" s="3"/>
      <c r="O410" s="3"/>
      <c r="P410" s="3"/>
      <c r="Q410" s="3"/>
      <c r="R410" s="3"/>
      <c r="S410" s="3"/>
    </row>
    <row r="411" spans="2:19" x14ac:dyDescent="0.3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18"/>
      <c r="N411" s="3"/>
      <c r="O411" s="3"/>
      <c r="P411" s="3"/>
      <c r="Q411" s="3"/>
      <c r="R411" s="3"/>
      <c r="S411" s="3"/>
    </row>
    <row r="412" spans="2:19" x14ac:dyDescent="0.3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18"/>
      <c r="N412" s="3"/>
      <c r="O412" s="3"/>
      <c r="P412" s="3"/>
      <c r="Q412" s="3"/>
      <c r="R412" s="3"/>
      <c r="S412" s="3"/>
    </row>
    <row r="413" spans="2:19" x14ac:dyDescent="0.3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18"/>
      <c r="N413" s="3"/>
      <c r="O413" s="3"/>
      <c r="P413" s="3"/>
      <c r="Q413" s="3"/>
      <c r="R413" s="3"/>
      <c r="S413" s="3"/>
    </row>
    <row r="414" spans="2:19" x14ac:dyDescent="0.3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18"/>
      <c r="N414" s="3"/>
      <c r="O414" s="3"/>
      <c r="P414" s="3"/>
      <c r="Q414" s="3"/>
      <c r="R414" s="3"/>
      <c r="S414" s="3"/>
    </row>
    <row r="415" spans="2:19" x14ac:dyDescent="0.3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18"/>
      <c r="N415" s="3"/>
      <c r="O415" s="3"/>
      <c r="P415" s="3"/>
      <c r="Q415" s="3"/>
      <c r="R415" s="3"/>
      <c r="S415" s="3"/>
    </row>
    <row r="416" spans="2:19" x14ac:dyDescent="0.3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18"/>
      <c r="N416" s="3"/>
      <c r="O416" s="3"/>
      <c r="P416" s="3"/>
      <c r="Q416" s="3"/>
      <c r="R416" s="3"/>
      <c r="S416" s="3"/>
    </row>
    <row r="417" spans="2:19" x14ac:dyDescent="0.3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18"/>
      <c r="N417" s="3"/>
      <c r="O417" s="3"/>
      <c r="P417" s="3"/>
      <c r="Q417" s="3"/>
      <c r="R417" s="3"/>
      <c r="S417" s="3"/>
    </row>
    <row r="418" spans="2:19" x14ac:dyDescent="0.3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18"/>
      <c r="N418" s="3"/>
      <c r="O418" s="3"/>
      <c r="P418" s="3"/>
      <c r="Q418" s="3"/>
      <c r="R418" s="3"/>
      <c r="S418" s="3"/>
    </row>
    <row r="419" spans="2:19" x14ac:dyDescent="0.3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18"/>
      <c r="N419" s="3"/>
      <c r="O419" s="3"/>
      <c r="P419" s="3"/>
      <c r="Q419" s="3"/>
      <c r="R419" s="3"/>
      <c r="S419" s="3"/>
    </row>
    <row r="420" spans="2:19" x14ac:dyDescent="0.3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18"/>
      <c r="N420" s="3"/>
      <c r="O420" s="3"/>
      <c r="P420" s="3"/>
      <c r="Q420" s="3"/>
      <c r="R420" s="3"/>
      <c r="S420" s="3"/>
    </row>
    <row r="421" spans="2:19" x14ac:dyDescent="0.3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18"/>
      <c r="N421" s="3"/>
      <c r="O421" s="3"/>
      <c r="P421" s="3"/>
      <c r="Q421" s="3"/>
      <c r="R421" s="3"/>
      <c r="S421" s="3"/>
    </row>
    <row r="422" spans="2:19" x14ac:dyDescent="0.3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18"/>
      <c r="N422" s="3"/>
      <c r="O422" s="3"/>
      <c r="P422" s="3"/>
      <c r="Q422" s="3"/>
      <c r="R422" s="3"/>
      <c r="S422" s="3"/>
    </row>
    <row r="423" spans="2:19" x14ac:dyDescent="0.3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18"/>
      <c r="N423" s="3"/>
      <c r="O423" s="3"/>
      <c r="P423" s="3"/>
      <c r="Q423" s="3"/>
      <c r="R423" s="3"/>
      <c r="S423" s="3"/>
    </row>
    <row r="424" spans="2:19" x14ac:dyDescent="0.3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18"/>
      <c r="N424" s="3"/>
      <c r="O424" s="3"/>
      <c r="P424" s="3"/>
      <c r="Q424" s="3"/>
      <c r="R424" s="3"/>
      <c r="S424" s="3"/>
    </row>
    <row r="425" spans="2:19" x14ac:dyDescent="0.3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18"/>
      <c r="N425" s="3"/>
      <c r="O425" s="3"/>
      <c r="P425" s="3"/>
      <c r="Q425" s="3"/>
      <c r="R425" s="3"/>
      <c r="S425" s="3"/>
    </row>
    <row r="426" spans="2:19" x14ac:dyDescent="0.3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18"/>
      <c r="N426" s="3"/>
      <c r="O426" s="3"/>
      <c r="P426" s="3"/>
      <c r="Q426" s="3"/>
      <c r="R426" s="3"/>
      <c r="S426" s="3"/>
    </row>
    <row r="427" spans="2:19" x14ac:dyDescent="0.3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18"/>
      <c r="N427" s="3"/>
      <c r="O427" s="3"/>
      <c r="P427" s="3"/>
      <c r="Q427" s="3"/>
      <c r="R427" s="3"/>
      <c r="S427" s="3"/>
    </row>
    <row r="428" spans="2:19" x14ac:dyDescent="0.3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18"/>
      <c r="N428" s="3"/>
      <c r="O428" s="3"/>
      <c r="P428" s="3"/>
      <c r="Q428" s="3"/>
      <c r="R428" s="3"/>
      <c r="S428" s="3"/>
    </row>
    <row r="429" spans="2:19" x14ac:dyDescent="0.3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18"/>
      <c r="N429" s="3"/>
      <c r="O429" s="3"/>
      <c r="P429" s="3"/>
      <c r="Q429" s="3"/>
      <c r="R429" s="3"/>
      <c r="S429" s="3"/>
    </row>
    <row r="430" spans="2:19" x14ac:dyDescent="0.3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18"/>
      <c r="N430" s="3"/>
      <c r="O430" s="3"/>
      <c r="P430" s="3"/>
      <c r="Q430" s="3"/>
      <c r="R430" s="3"/>
      <c r="S430" s="3"/>
    </row>
    <row r="431" spans="2:19" x14ac:dyDescent="0.3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18"/>
      <c r="N431" s="3"/>
      <c r="O431" s="3"/>
      <c r="P431" s="3"/>
      <c r="Q431" s="3"/>
      <c r="R431" s="3"/>
      <c r="S431" s="3"/>
    </row>
    <row r="432" spans="2:19" x14ac:dyDescent="0.3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18"/>
      <c r="N432" s="3"/>
      <c r="O432" s="3"/>
      <c r="P432" s="3"/>
      <c r="Q432" s="3"/>
      <c r="R432" s="3"/>
      <c r="S432" s="3"/>
    </row>
    <row r="433" spans="2:19" x14ac:dyDescent="0.3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18"/>
      <c r="N433" s="3"/>
      <c r="O433" s="3"/>
      <c r="P433" s="3"/>
      <c r="Q433" s="3"/>
      <c r="R433" s="3"/>
      <c r="S433" s="3"/>
    </row>
    <row r="434" spans="2:19" x14ac:dyDescent="0.3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18"/>
      <c r="N434" s="3"/>
      <c r="O434" s="3"/>
      <c r="P434" s="3"/>
      <c r="Q434" s="3"/>
      <c r="R434" s="3"/>
      <c r="S434" s="3"/>
    </row>
    <row r="435" spans="2:19" x14ac:dyDescent="0.3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18"/>
      <c r="N435" s="3"/>
      <c r="O435" s="3"/>
      <c r="P435" s="3"/>
      <c r="Q435" s="3"/>
      <c r="R435" s="3"/>
      <c r="S435" s="3"/>
    </row>
    <row r="436" spans="2:19" x14ac:dyDescent="0.3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18"/>
      <c r="N436" s="3"/>
      <c r="O436" s="3"/>
      <c r="P436" s="3"/>
      <c r="Q436" s="3"/>
      <c r="R436" s="3"/>
      <c r="S436" s="3"/>
    </row>
    <row r="437" spans="2:19" x14ac:dyDescent="0.3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18"/>
      <c r="N437" s="3"/>
      <c r="O437" s="3"/>
      <c r="P437" s="3"/>
      <c r="Q437" s="3"/>
      <c r="R437" s="3"/>
      <c r="S437" s="3"/>
    </row>
    <row r="438" spans="2:19" x14ac:dyDescent="0.3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18"/>
      <c r="N438" s="3"/>
      <c r="O438" s="3"/>
      <c r="P438" s="3"/>
      <c r="Q438" s="3"/>
      <c r="R438" s="3"/>
      <c r="S438" s="3"/>
    </row>
    <row r="439" spans="2:19" x14ac:dyDescent="0.3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18"/>
      <c r="N439" s="3"/>
      <c r="O439" s="3"/>
      <c r="P439" s="3"/>
      <c r="Q439" s="3"/>
      <c r="R439" s="3"/>
      <c r="S439" s="3"/>
    </row>
    <row r="440" spans="2:19" x14ac:dyDescent="0.3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18"/>
      <c r="N440" s="3"/>
      <c r="O440" s="3"/>
      <c r="P440" s="3"/>
      <c r="Q440" s="3"/>
      <c r="R440" s="3"/>
      <c r="S440" s="3"/>
    </row>
    <row r="441" spans="2:19" x14ac:dyDescent="0.3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18"/>
      <c r="N441" s="3"/>
      <c r="O441" s="3"/>
      <c r="P441" s="3"/>
      <c r="Q441" s="3"/>
      <c r="R441" s="3"/>
      <c r="S441" s="3"/>
    </row>
    <row r="442" spans="2:19" x14ac:dyDescent="0.3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18"/>
      <c r="N442" s="3"/>
      <c r="O442" s="3"/>
      <c r="P442" s="3"/>
      <c r="Q442" s="3"/>
      <c r="R442" s="3"/>
      <c r="S442" s="3"/>
    </row>
    <row r="443" spans="2:19" x14ac:dyDescent="0.3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18"/>
      <c r="N443" s="3"/>
      <c r="O443" s="3"/>
      <c r="P443" s="3"/>
      <c r="Q443" s="3"/>
      <c r="R443" s="3"/>
      <c r="S443" s="3"/>
    </row>
    <row r="444" spans="2:19" x14ac:dyDescent="0.3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18"/>
      <c r="N444" s="3"/>
      <c r="O444" s="3"/>
      <c r="P444" s="3"/>
      <c r="Q444" s="3"/>
      <c r="R444" s="3"/>
      <c r="S444" s="3"/>
    </row>
    <row r="445" spans="2:19" x14ac:dyDescent="0.3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18"/>
      <c r="N445" s="3"/>
      <c r="O445" s="3"/>
      <c r="P445" s="3"/>
      <c r="Q445" s="3"/>
      <c r="R445" s="3"/>
      <c r="S445" s="3"/>
    </row>
    <row r="446" spans="2:19" x14ac:dyDescent="0.3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18"/>
      <c r="N446" s="3"/>
      <c r="O446" s="3"/>
      <c r="P446" s="3"/>
      <c r="Q446" s="3"/>
      <c r="R446" s="3"/>
      <c r="S446" s="3"/>
    </row>
    <row r="447" spans="2:19" x14ac:dyDescent="0.3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18"/>
      <c r="N447" s="3"/>
      <c r="O447" s="3"/>
      <c r="P447" s="3"/>
      <c r="Q447" s="3"/>
      <c r="R447" s="3"/>
      <c r="S447" s="3"/>
    </row>
    <row r="448" spans="2:19" x14ac:dyDescent="0.3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18"/>
      <c r="N448" s="3"/>
      <c r="O448" s="3"/>
      <c r="P448" s="3"/>
      <c r="Q448" s="3"/>
      <c r="R448" s="3"/>
      <c r="S448" s="3"/>
    </row>
    <row r="449" spans="2:19" x14ac:dyDescent="0.3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18"/>
      <c r="N449" s="3"/>
      <c r="O449" s="3"/>
      <c r="P449" s="3"/>
      <c r="Q449" s="3"/>
      <c r="R449" s="3"/>
      <c r="S449" s="3"/>
    </row>
    <row r="450" spans="2:19" x14ac:dyDescent="0.3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18"/>
      <c r="N450" s="3"/>
      <c r="O450" s="3"/>
      <c r="P450" s="3"/>
      <c r="Q450" s="3"/>
      <c r="R450" s="3"/>
      <c r="S450" s="3"/>
    </row>
    <row r="451" spans="2:19" x14ac:dyDescent="0.3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18"/>
      <c r="N451" s="3"/>
      <c r="O451" s="3"/>
      <c r="P451" s="3"/>
      <c r="Q451" s="3"/>
      <c r="R451" s="3"/>
      <c r="S451" s="3"/>
    </row>
    <row r="452" spans="2:19" x14ac:dyDescent="0.3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18"/>
      <c r="N452" s="3"/>
      <c r="O452" s="3"/>
      <c r="P452" s="3"/>
      <c r="Q452" s="3"/>
      <c r="R452" s="3"/>
      <c r="S452" s="3"/>
    </row>
    <row r="453" spans="2:19" x14ac:dyDescent="0.3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18"/>
      <c r="N453" s="3"/>
      <c r="O453" s="3"/>
      <c r="P453" s="3"/>
      <c r="Q453" s="3"/>
      <c r="R453" s="3"/>
      <c r="S453" s="3"/>
    </row>
    <row r="454" spans="2:19" x14ac:dyDescent="0.3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18"/>
      <c r="N454" s="3"/>
      <c r="O454" s="3"/>
      <c r="P454" s="3"/>
      <c r="Q454" s="3"/>
      <c r="R454" s="3"/>
      <c r="S454" s="3"/>
    </row>
    <row r="455" spans="2:19" x14ac:dyDescent="0.3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18"/>
      <c r="N455" s="3"/>
      <c r="O455" s="3"/>
      <c r="P455" s="3"/>
      <c r="Q455" s="3"/>
      <c r="R455" s="3"/>
      <c r="S455" s="3"/>
    </row>
    <row r="456" spans="2:19" x14ac:dyDescent="0.3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18"/>
      <c r="N456" s="3"/>
      <c r="O456" s="3"/>
      <c r="P456" s="3"/>
      <c r="Q456" s="3"/>
      <c r="R456" s="3"/>
      <c r="S456" s="3"/>
    </row>
    <row r="457" spans="2:19" x14ac:dyDescent="0.3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18"/>
      <c r="N457" s="3"/>
      <c r="O457" s="3"/>
      <c r="P457" s="3"/>
      <c r="Q457" s="3"/>
      <c r="R457" s="3"/>
      <c r="S457" s="3"/>
    </row>
    <row r="458" spans="2:19" x14ac:dyDescent="0.3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18"/>
      <c r="N458" s="3"/>
      <c r="O458" s="3"/>
      <c r="P458" s="3"/>
      <c r="Q458" s="3"/>
      <c r="R458" s="3"/>
      <c r="S458" s="3"/>
    </row>
    <row r="459" spans="2:19" x14ac:dyDescent="0.3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18"/>
      <c r="N459" s="3"/>
      <c r="O459" s="3"/>
      <c r="P459" s="3"/>
      <c r="Q459" s="3"/>
      <c r="R459" s="3"/>
      <c r="S459" s="3"/>
    </row>
    <row r="460" spans="2:19" x14ac:dyDescent="0.3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18"/>
      <c r="N460" s="3"/>
      <c r="O460" s="3"/>
      <c r="P460" s="3"/>
      <c r="Q460" s="3"/>
      <c r="R460" s="3"/>
      <c r="S460" s="3"/>
    </row>
    <row r="461" spans="2:19" x14ac:dyDescent="0.3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18"/>
      <c r="N461" s="3"/>
      <c r="O461" s="3"/>
      <c r="P461" s="3"/>
      <c r="Q461" s="3"/>
      <c r="R461" s="3"/>
      <c r="S461" s="3"/>
    </row>
    <row r="462" spans="2:19" x14ac:dyDescent="0.3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18"/>
      <c r="N462" s="3"/>
      <c r="O462" s="3"/>
      <c r="P462" s="3"/>
      <c r="Q462" s="3"/>
      <c r="R462" s="3"/>
      <c r="S462" s="3"/>
    </row>
    <row r="463" spans="2:19" x14ac:dyDescent="0.3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18"/>
      <c r="N463" s="3"/>
      <c r="O463" s="3"/>
      <c r="P463" s="3"/>
      <c r="Q463" s="3"/>
      <c r="R463" s="3"/>
      <c r="S463" s="3"/>
    </row>
    <row r="464" spans="2:19" x14ac:dyDescent="0.3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18"/>
      <c r="N464" s="3"/>
      <c r="O464" s="3"/>
      <c r="P464" s="3"/>
      <c r="Q464" s="3"/>
      <c r="R464" s="3"/>
      <c r="S464" s="3"/>
    </row>
    <row r="465" spans="2:19" x14ac:dyDescent="0.3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18"/>
      <c r="N465" s="3"/>
      <c r="O465" s="3"/>
      <c r="P465" s="3"/>
      <c r="Q465" s="3"/>
      <c r="R465" s="3"/>
      <c r="S465" s="3"/>
    </row>
    <row r="466" spans="2:19" x14ac:dyDescent="0.3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18"/>
      <c r="N466" s="3"/>
      <c r="O466" s="3"/>
      <c r="P466" s="3"/>
      <c r="Q466" s="3"/>
      <c r="R466" s="3"/>
      <c r="S466" s="3"/>
    </row>
    <row r="467" spans="2:19" x14ac:dyDescent="0.3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18"/>
      <c r="N467" s="3"/>
      <c r="O467" s="3"/>
      <c r="P467" s="3"/>
      <c r="Q467" s="3"/>
      <c r="R467" s="3"/>
      <c r="S467" s="3"/>
    </row>
    <row r="468" spans="2:19" x14ac:dyDescent="0.3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18"/>
      <c r="N468" s="3"/>
      <c r="O468" s="3"/>
      <c r="P468" s="3"/>
      <c r="Q468" s="3"/>
      <c r="R468" s="3"/>
      <c r="S468" s="3"/>
    </row>
    <row r="469" spans="2:19" x14ac:dyDescent="0.3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18"/>
      <c r="N469" s="3"/>
      <c r="O469" s="3"/>
      <c r="P469" s="3"/>
      <c r="Q469" s="3"/>
      <c r="R469" s="3"/>
      <c r="S469" s="3"/>
    </row>
    <row r="470" spans="2:19" x14ac:dyDescent="0.3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18"/>
      <c r="N470" s="3"/>
      <c r="O470" s="3"/>
      <c r="P470" s="3"/>
      <c r="Q470" s="3"/>
      <c r="R470" s="3"/>
      <c r="S470" s="3"/>
    </row>
    <row r="471" spans="2:19" x14ac:dyDescent="0.3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18"/>
      <c r="N471" s="3"/>
      <c r="O471" s="3"/>
      <c r="P471" s="3"/>
      <c r="Q471" s="3"/>
      <c r="R471" s="3"/>
      <c r="S471" s="3"/>
    </row>
    <row r="472" spans="2:19" x14ac:dyDescent="0.3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18"/>
      <c r="N472" s="3"/>
      <c r="O472" s="3"/>
      <c r="P472" s="3"/>
      <c r="Q472" s="3"/>
      <c r="R472" s="3"/>
      <c r="S472" s="3"/>
    </row>
    <row r="473" spans="2:19" x14ac:dyDescent="0.3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18"/>
      <c r="N473" s="3"/>
      <c r="O473" s="3"/>
      <c r="P473" s="3"/>
      <c r="Q473" s="3"/>
      <c r="R473" s="3"/>
      <c r="S473" s="3"/>
    </row>
    <row r="474" spans="2:19" x14ac:dyDescent="0.3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18"/>
      <c r="N474" s="3"/>
      <c r="O474" s="3"/>
      <c r="P474" s="3"/>
      <c r="Q474" s="3"/>
      <c r="R474" s="3"/>
      <c r="S474" s="3"/>
    </row>
    <row r="475" spans="2:19" x14ac:dyDescent="0.3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18"/>
      <c r="N475" s="3"/>
      <c r="O475" s="3"/>
      <c r="P475" s="3"/>
      <c r="Q475" s="3"/>
      <c r="R475" s="3"/>
      <c r="S475" s="3"/>
    </row>
    <row r="476" spans="2:19" x14ac:dyDescent="0.3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18"/>
      <c r="N476" s="3"/>
      <c r="O476" s="3"/>
      <c r="P476" s="3"/>
      <c r="Q476" s="3"/>
      <c r="R476" s="3"/>
      <c r="S476" s="3"/>
    </row>
    <row r="477" spans="2:19" x14ac:dyDescent="0.3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18"/>
      <c r="N477" s="3"/>
      <c r="O477" s="3"/>
      <c r="P477" s="3"/>
      <c r="Q477" s="3"/>
      <c r="R477" s="3"/>
      <c r="S477" s="3"/>
    </row>
    <row r="478" spans="2:19" x14ac:dyDescent="0.3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18"/>
      <c r="N478" s="3"/>
      <c r="O478" s="3"/>
      <c r="P478" s="3"/>
      <c r="Q478" s="3"/>
      <c r="R478" s="3"/>
      <c r="S478" s="3"/>
    </row>
    <row r="479" spans="2:19" x14ac:dyDescent="0.3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18"/>
      <c r="N479" s="3"/>
      <c r="O479" s="3"/>
      <c r="P479" s="3"/>
      <c r="Q479" s="3"/>
      <c r="R479" s="3"/>
      <c r="S479" s="3"/>
    </row>
    <row r="480" spans="2:19" x14ac:dyDescent="0.3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18"/>
      <c r="N480" s="3"/>
      <c r="O480" s="3"/>
      <c r="P480" s="3"/>
      <c r="Q480" s="3"/>
      <c r="R480" s="3"/>
      <c r="S480" s="3"/>
    </row>
    <row r="481" spans="2:19" x14ac:dyDescent="0.3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18"/>
      <c r="N481" s="3"/>
      <c r="O481" s="3"/>
      <c r="P481" s="3"/>
      <c r="Q481" s="3"/>
      <c r="R481" s="3"/>
      <c r="S481" s="3"/>
    </row>
    <row r="482" spans="2:19" x14ac:dyDescent="0.3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18"/>
      <c r="N482" s="3"/>
      <c r="O482" s="3"/>
      <c r="P482" s="3"/>
      <c r="Q482" s="3"/>
      <c r="R482" s="3"/>
      <c r="S482" s="3"/>
    </row>
    <row r="483" spans="2:19" x14ac:dyDescent="0.3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18"/>
      <c r="N483" s="3"/>
      <c r="O483" s="3"/>
      <c r="P483" s="3"/>
      <c r="Q483" s="3"/>
      <c r="R483" s="3"/>
      <c r="S483" s="3"/>
    </row>
    <row r="484" spans="2:19" x14ac:dyDescent="0.3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18"/>
      <c r="N484" s="3"/>
      <c r="O484" s="3"/>
      <c r="P484" s="3"/>
      <c r="Q484" s="3"/>
      <c r="R484" s="3"/>
      <c r="S484" s="3"/>
    </row>
    <row r="485" spans="2:19" x14ac:dyDescent="0.3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18"/>
      <c r="N485" s="3"/>
      <c r="O485" s="3"/>
      <c r="P485" s="3"/>
      <c r="Q485" s="3"/>
      <c r="R485" s="3"/>
      <c r="S485" s="3"/>
    </row>
    <row r="486" spans="2:19" x14ac:dyDescent="0.3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18"/>
      <c r="N486" s="3"/>
      <c r="O486" s="3"/>
      <c r="P486" s="3"/>
      <c r="Q486" s="3"/>
      <c r="R486" s="3"/>
      <c r="S486" s="3"/>
    </row>
    <row r="487" spans="2:19" x14ac:dyDescent="0.3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18"/>
      <c r="N487" s="3"/>
      <c r="O487" s="3"/>
      <c r="P487" s="3"/>
      <c r="Q487" s="3"/>
      <c r="R487" s="3"/>
      <c r="S487" s="3"/>
    </row>
    <row r="488" spans="2:19" x14ac:dyDescent="0.3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18"/>
      <c r="N488" s="3"/>
      <c r="O488" s="3"/>
      <c r="P488" s="3"/>
      <c r="Q488" s="3"/>
      <c r="R488" s="3"/>
      <c r="S488" s="3"/>
    </row>
    <row r="489" spans="2:19" x14ac:dyDescent="0.3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18"/>
      <c r="N489" s="3"/>
      <c r="O489" s="3"/>
      <c r="P489" s="3"/>
      <c r="Q489" s="3"/>
      <c r="R489" s="3"/>
      <c r="S489" s="3"/>
    </row>
    <row r="490" spans="2:19" x14ac:dyDescent="0.3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18"/>
      <c r="N490" s="3"/>
      <c r="O490" s="3"/>
      <c r="P490" s="3"/>
      <c r="Q490" s="3"/>
      <c r="R490" s="3"/>
      <c r="S490" s="3"/>
    </row>
    <row r="491" spans="2:19" x14ac:dyDescent="0.3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18"/>
      <c r="N491" s="3"/>
      <c r="O491" s="3"/>
      <c r="P491" s="3"/>
      <c r="Q491" s="3"/>
      <c r="R491" s="3"/>
      <c r="S491" s="3"/>
    </row>
    <row r="492" spans="2:19" x14ac:dyDescent="0.3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18"/>
      <c r="N492" s="3"/>
      <c r="O492" s="3"/>
      <c r="P492" s="3"/>
      <c r="Q492" s="3"/>
      <c r="R492" s="3"/>
      <c r="S492" s="3"/>
    </row>
    <row r="493" spans="2:19" x14ac:dyDescent="0.3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18"/>
      <c r="N493" s="3"/>
      <c r="O493" s="3"/>
      <c r="P493" s="3"/>
      <c r="Q493" s="3"/>
      <c r="R493" s="3"/>
      <c r="S493" s="3"/>
    </row>
    <row r="494" spans="2:19" x14ac:dyDescent="0.3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18"/>
      <c r="N494" s="3"/>
      <c r="O494" s="3"/>
      <c r="P494" s="3"/>
      <c r="Q494" s="3"/>
      <c r="R494" s="3"/>
      <c r="S494" s="3"/>
    </row>
    <row r="495" spans="2:19" x14ac:dyDescent="0.3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18"/>
      <c r="N495" s="3"/>
      <c r="O495" s="3"/>
      <c r="P495" s="3"/>
      <c r="Q495" s="3"/>
      <c r="R495" s="3"/>
      <c r="S495" s="3"/>
    </row>
    <row r="496" spans="2:19" x14ac:dyDescent="0.3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18"/>
      <c r="N496" s="3"/>
      <c r="O496" s="3"/>
      <c r="P496" s="3"/>
      <c r="Q496" s="3"/>
      <c r="R496" s="3"/>
      <c r="S496" s="3"/>
    </row>
    <row r="497" spans="2:19" x14ac:dyDescent="0.3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18"/>
      <c r="N497" s="3"/>
      <c r="O497" s="3"/>
      <c r="P497" s="3"/>
      <c r="Q497" s="3"/>
      <c r="R497" s="3"/>
      <c r="S497" s="3"/>
    </row>
    <row r="498" spans="2:19" x14ac:dyDescent="0.3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18"/>
      <c r="N498" s="3"/>
      <c r="O498" s="3"/>
      <c r="P498" s="3"/>
      <c r="Q498" s="3"/>
      <c r="R498" s="3"/>
      <c r="S498" s="3"/>
    </row>
    <row r="499" spans="2:19" x14ac:dyDescent="0.3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18"/>
      <c r="N499" s="3"/>
      <c r="O499" s="3"/>
      <c r="P499" s="3"/>
      <c r="Q499" s="3"/>
      <c r="R499" s="3"/>
      <c r="S499" s="3"/>
    </row>
    <row r="500" spans="2:19" x14ac:dyDescent="0.3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18"/>
      <c r="N500" s="3"/>
      <c r="O500" s="3"/>
      <c r="P500" s="3"/>
      <c r="Q500" s="3"/>
      <c r="R500" s="3"/>
      <c r="S500" s="3"/>
    </row>
    <row r="501" spans="2:19" x14ac:dyDescent="0.3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18"/>
      <c r="N501" s="3"/>
      <c r="O501" s="3"/>
      <c r="P501" s="3"/>
      <c r="Q501" s="3"/>
      <c r="R501" s="3"/>
      <c r="S501" s="3"/>
    </row>
    <row r="502" spans="2:19" x14ac:dyDescent="0.3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18"/>
      <c r="N502" s="3"/>
      <c r="O502" s="3"/>
      <c r="P502" s="3"/>
      <c r="Q502" s="3"/>
      <c r="R502" s="3"/>
      <c r="S502" s="3"/>
    </row>
    <row r="503" spans="2:19" x14ac:dyDescent="0.3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18"/>
      <c r="N503" s="3"/>
      <c r="O503" s="3"/>
      <c r="P503" s="3"/>
      <c r="Q503" s="3"/>
      <c r="R503" s="3"/>
      <c r="S503" s="3"/>
    </row>
    <row r="504" spans="2:19" x14ac:dyDescent="0.3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18"/>
      <c r="N504" s="3"/>
      <c r="O504" s="3"/>
      <c r="P504" s="3"/>
      <c r="Q504" s="3"/>
      <c r="R504" s="3"/>
      <c r="S504" s="3"/>
    </row>
    <row r="505" spans="2:19" x14ac:dyDescent="0.3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18"/>
      <c r="N505" s="3"/>
      <c r="O505" s="3"/>
      <c r="P505" s="3"/>
      <c r="Q505" s="3"/>
      <c r="R505" s="3"/>
      <c r="S505" s="3"/>
    </row>
    <row r="506" spans="2:19" x14ac:dyDescent="0.3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18"/>
      <c r="N506" s="3"/>
      <c r="O506" s="3"/>
      <c r="P506" s="3"/>
      <c r="Q506" s="3"/>
      <c r="R506" s="3"/>
      <c r="S506" s="3"/>
    </row>
    <row r="507" spans="2:19" x14ac:dyDescent="0.3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18"/>
      <c r="N507" s="3"/>
      <c r="O507" s="3"/>
      <c r="P507" s="3"/>
      <c r="Q507" s="3"/>
      <c r="R507" s="3"/>
      <c r="S507" s="3"/>
    </row>
    <row r="508" spans="2:19" x14ac:dyDescent="0.3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18"/>
      <c r="N508" s="3"/>
      <c r="O508" s="3"/>
      <c r="P508" s="3"/>
      <c r="Q508" s="3"/>
      <c r="R508" s="3"/>
      <c r="S508" s="3"/>
    </row>
    <row r="509" spans="2:19" x14ac:dyDescent="0.3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18"/>
      <c r="N509" s="3"/>
      <c r="O509" s="3"/>
      <c r="P509" s="3"/>
      <c r="Q509" s="3"/>
      <c r="R509" s="3"/>
      <c r="S509" s="3"/>
    </row>
    <row r="510" spans="2:19" x14ac:dyDescent="0.3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18"/>
      <c r="N510" s="3"/>
      <c r="O510" s="3"/>
      <c r="P510" s="3"/>
      <c r="Q510" s="3"/>
      <c r="R510" s="3"/>
      <c r="S510" s="3"/>
    </row>
    <row r="511" spans="2:19" x14ac:dyDescent="0.3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18"/>
      <c r="N511" s="3"/>
      <c r="O511" s="3"/>
      <c r="P511" s="3"/>
      <c r="Q511" s="3"/>
      <c r="R511" s="3"/>
      <c r="S511" s="3"/>
    </row>
    <row r="512" spans="2:19" x14ac:dyDescent="0.3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18"/>
      <c r="N512" s="3"/>
      <c r="O512" s="3"/>
      <c r="P512" s="3"/>
      <c r="Q512" s="3"/>
      <c r="R512" s="3"/>
      <c r="S512" s="3"/>
    </row>
    <row r="513" spans="2:19" x14ac:dyDescent="0.3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18"/>
      <c r="N513" s="3"/>
      <c r="O513" s="3"/>
      <c r="P513" s="3"/>
      <c r="Q513" s="3"/>
      <c r="R513" s="3"/>
      <c r="S513" s="3"/>
    </row>
    <row r="514" spans="2:19" x14ac:dyDescent="0.3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18"/>
      <c r="N514" s="3"/>
      <c r="O514" s="3"/>
      <c r="P514" s="3"/>
      <c r="Q514" s="3"/>
      <c r="R514" s="3"/>
      <c r="S514" s="3"/>
    </row>
    <row r="515" spans="2:19" x14ac:dyDescent="0.3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18"/>
      <c r="N515" s="3"/>
      <c r="O515" s="3"/>
      <c r="P515" s="3"/>
      <c r="Q515" s="3"/>
      <c r="R515" s="3"/>
      <c r="S515" s="3"/>
    </row>
    <row r="516" spans="2:19" x14ac:dyDescent="0.3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18"/>
      <c r="N516" s="3"/>
      <c r="O516" s="3"/>
      <c r="P516" s="3"/>
      <c r="Q516" s="3"/>
      <c r="R516" s="3"/>
      <c r="S516" s="3"/>
    </row>
    <row r="517" spans="2:19" x14ac:dyDescent="0.3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18"/>
      <c r="N517" s="3"/>
      <c r="O517" s="3"/>
      <c r="P517" s="3"/>
      <c r="Q517" s="3"/>
      <c r="R517" s="3"/>
      <c r="S517" s="3"/>
    </row>
    <row r="518" spans="2:19" x14ac:dyDescent="0.3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18"/>
      <c r="N518" s="3"/>
      <c r="O518" s="3"/>
      <c r="P518" s="3"/>
      <c r="Q518" s="3"/>
      <c r="R518" s="3"/>
      <c r="S518" s="3"/>
    </row>
    <row r="519" spans="2:19" x14ac:dyDescent="0.3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18"/>
      <c r="N519" s="3"/>
      <c r="O519" s="3"/>
      <c r="P519" s="3"/>
      <c r="Q519" s="3"/>
      <c r="R519" s="3"/>
      <c r="S519" s="3"/>
    </row>
    <row r="520" spans="2:19" x14ac:dyDescent="0.3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18"/>
      <c r="N520" s="3"/>
      <c r="O520" s="3"/>
      <c r="P520" s="3"/>
      <c r="Q520" s="3"/>
      <c r="R520" s="3"/>
      <c r="S520" s="3"/>
    </row>
    <row r="521" spans="2:19" x14ac:dyDescent="0.3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18"/>
      <c r="N521" s="3"/>
      <c r="O521" s="3"/>
      <c r="P521" s="3"/>
      <c r="Q521" s="3"/>
      <c r="R521" s="3"/>
      <c r="S521" s="3"/>
    </row>
    <row r="522" spans="2:19" x14ac:dyDescent="0.3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18"/>
      <c r="N522" s="3"/>
      <c r="O522" s="3"/>
      <c r="P522" s="3"/>
      <c r="Q522" s="3"/>
      <c r="R522" s="3"/>
      <c r="S522" s="3"/>
    </row>
    <row r="523" spans="2:19" x14ac:dyDescent="0.3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18"/>
      <c r="N523" s="3"/>
      <c r="O523" s="3"/>
      <c r="P523" s="3"/>
      <c r="Q523" s="3"/>
      <c r="R523" s="3"/>
      <c r="S523" s="3"/>
    </row>
    <row r="524" spans="2:19" x14ac:dyDescent="0.3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18"/>
      <c r="N524" s="3"/>
      <c r="O524" s="3"/>
      <c r="P524" s="3"/>
      <c r="Q524" s="3"/>
      <c r="R524" s="3"/>
      <c r="S524" s="3"/>
    </row>
    <row r="525" spans="2:19" x14ac:dyDescent="0.3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18"/>
      <c r="N525" s="3"/>
      <c r="O525" s="3"/>
      <c r="P525" s="3"/>
      <c r="Q525" s="3"/>
      <c r="R525" s="3"/>
      <c r="S525" s="3"/>
    </row>
    <row r="526" spans="2:19" x14ac:dyDescent="0.3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18"/>
      <c r="N526" s="3"/>
      <c r="O526" s="3"/>
      <c r="P526" s="3"/>
      <c r="Q526" s="3"/>
      <c r="R526" s="3"/>
      <c r="S526" s="3"/>
    </row>
    <row r="527" spans="2:19" x14ac:dyDescent="0.3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18"/>
      <c r="N527" s="3"/>
      <c r="O527" s="3"/>
      <c r="P527" s="3"/>
      <c r="Q527" s="3"/>
      <c r="R527" s="3"/>
      <c r="S527" s="3"/>
    </row>
    <row r="528" spans="2:19" x14ac:dyDescent="0.3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18"/>
      <c r="N528" s="3"/>
      <c r="O528" s="3"/>
      <c r="P528" s="3"/>
      <c r="Q528" s="3"/>
      <c r="R528" s="3"/>
      <c r="S528" s="3"/>
    </row>
    <row r="529" spans="2:19" x14ac:dyDescent="0.3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18"/>
      <c r="N529" s="3"/>
      <c r="O529" s="3"/>
      <c r="P529" s="3"/>
      <c r="Q529" s="3"/>
      <c r="R529" s="3"/>
      <c r="S529" s="3"/>
    </row>
    <row r="530" spans="2:19" x14ac:dyDescent="0.3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18"/>
      <c r="N530" s="3"/>
      <c r="O530" s="3"/>
      <c r="P530" s="3"/>
      <c r="Q530" s="3"/>
      <c r="R530" s="3"/>
      <c r="S530" s="3"/>
    </row>
    <row r="531" spans="2:19" x14ac:dyDescent="0.3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18"/>
      <c r="N531" s="3"/>
      <c r="O531" s="3"/>
      <c r="P531" s="3"/>
      <c r="Q531" s="3"/>
      <c r="R531" s="3"/>
      <c r="S531" s="3"/>
    </row>
    <row r="532" spans="2:19" x14ac:dyDescent="0.3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18"/>
      <c r="N532" s="3"/>
      <c r="O532" s="3"/>
      <c r="P532" s="3"/>
      <c r="Q532" s="3"/>
      <c r="R532" s="3"/>
      <c r="S532" s="3"/>
    </row>
    <row r="533" spans="2:19" x14ac:dyDescent="0.3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18"/>
      <c r="N533" s="3"/>
      <c r="O533" s="3"/>
      <c r="P533" s="3"/>
      <c r="Q533" s="3"/>
      <c r="R533" s="3"/>
      <c r="S533" s="3"/>
    </row>
    <row r="534" spans="2:19" x14ac:dyDescent="0.3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18"/>
      <c r="N534" s="3"/>
      <c r="O534" s="3"/>
      <c r="P534" s="3"/>
      <c r="Q534" s="3"/>
      <c r="R534" s="3"/>
      <c r="S534" s="3"/>
    </row>
    <row r="535" spans="2:19" x14ac:dyDescent="0.3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18"/>
      <c r="N535" s="3"/>
      <c r="O535" s="3"/>
      <c r="P535" s="3"/>
      <c r="Q535" s="3"/>
      <c r="R535" s="3"/>
      <c r="S535" s="3"/>
    </row>
    <row r="536" spans="2:19" x14ac:dyDescent="0.3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18"/>
      <c r="N536" s="3"/>
      <c r="O536" s="3"/>
      <c r="P536" s="3"/>
      <c r="Q536" s="3"/>
      <c r="R536" s="3"/>
      <c r="S536" s="3"/>
    </row>
    <row r="537" spans="2:19" x14ac:dyDescent="0.3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18"/>
      <c r="N537" s="3"/>
      <c r="O537" s="3"/>
      <c r="P537" s="3"/>
      <c r="Q537" s="3"/>
      <c r="R537" s="3"/>
      <c r="S537" s="3"/>
    </row>
    <row r="538" spans="2:19" x14ac:dyDescent="0.3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18"/>
      <c r="N538" s="3"/>
      <c r="O538" s="3"/>
      <c r="P538" s="3"/>
      <c r="Q538" s="3"/>
      <c r="R538" s="3"/>
      <c r="S538" s="3"/>
    </row>
    <row r="539" spans="2:19" x14ac:dyDescent="0.3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18"/>
      <c r="N539" s="3"/>
      <c r="O539" s="3"/>
      <c r="P539" s="3"/>
      <c r="Q539" s="3"/>
      <c r="R539" s="3"/>
      <c r="S539" s="3"/>
    </row>
    <row r="540" spans="2:19" x14ac:dyDescent="0.3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18"/>
      <c r="N540" s="3"/>
      <c r="O540" s="3"/>
      <c r="P540" s="3"/>
      <c r="Q540" s="3"/>
      <c r="R540" s="3"/>
      <c r="S540" s="3"/>
    </row>
    <row r="541" spans="2:19" x14ac:dyDescent="0.3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18"/>
      <c r="N541" s="3"/>
      <c r="O541" s="3"/>
      <c r="P541" s="3"/>
      <c r="Q541" s="3"/>
      <c r="R541" s="3"/>
      <c r="S541" s="3"/>
    </row>
    <row r="542" spans="2:19" x14ac:dyDescent="0.3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18"/>
      <c r="N542" s="3"/>
      <c r="O542" s="3"/>
      <c r="P542" s="3"/>
      <c r="Q542" s="3"/>
      <c r="R542" s="3"/>
      <c r="S542" s="3"/>
    </row>
    <row r="543" spans="2:19" x14ac:dyDescent="0.3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18"/>
      <c r="N543" s="3"/>
      <c r="O543" s="3"/>
      <c r="P543" s="3"/>
      <c r="Q543" s="3"/>
      <c r="R543" s="3"/>
      <c r="S543" s="3"/>
    </row>
    <row r="544" spans="2:19" x14ac:dyDescent="0.3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18"/>
      <c r="N544" s="3"/>
      <c r="O544" s="3"/>
      <c r="P544" s="3"/>
      <c r="Q544" s="3"/>
      <c r="R544" s="3"/>
      <c r="S544" s="3"/>
    </row>
    <row r="545" spans="2:19" x14ac:dyDescent="0.3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18"/>
      <c r="N545" s="3"/>
      <c r="O545" s="3"/>
      <c r="P545" s="3"/>
      <c r="Q545" s="3"/>
      <c r="R545" s="3"/>
      <c r="S545" s="3"/>
    </row>
    <row r="546" spans="2:19" x14ac:dyDescent="0.3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18"/>
      <c r="N546" s="3"/>
      <c r="O546" s="3"/>
      <c r="P546" s="3"/>
      <c r="Q546" s="3"/>
      <c r="R546" s="3"/>
      <c r="S546" s="3"/>
    </row>
    <row r="547" spans="2:19" x14ac:dyDescent="0.3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18"/>
      <c r="N547" s="3"/>
      <c r="O547" s="3"/>
      <c r="P547" s="3"/>
      <c r="Q547" s="3"/>
      <c r="R547" s="3"/>
      <c r="S547" s="3"/>
    </row>
    <row r="548" spans="2:19" x14ac:dyDescent="0.3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18"/>
      <c r="N548" s="3"/>
      <c r="O548" s="3"/>
      <c r="P548" s="3"/>
      <c r="Q548" s="3"/>
      <c r="R548" s="3"/>
      <c r="S548" s="3"/>
    </row>
    <row r="549" spans="2:19" x14ac:dyDescent="0.3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18"/>
      <c r="N549" s="3"/>
      <c r="O549" s="3"/>
      <c r="P549" s="3"/>
      <c r="Q549" s="3"/>
      <c r="R549" s="3"/>
      <c r="S549" s="3"/>
    </row>
    <row r="550" spans="2:19" x14ac:dyDescent="0.3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18"/>
      <c r="N550" s="3"/>
      <c r="O550" s="3"/>
      <c r="P550" s="3"/>
      <c r="Q550" s="3"/>
      <c r="R550" s="3"/>
      <c r="S550" s="3"/>
    </row>
    <row r="551" spans="2:19" x14ac:dyDescent="0.3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18"/>
      <c r="N551" s="3"/>
      <c r="O551" s="3"/>
      <c r="P551" s="3"/>
      <c r="Q551" s="3"/>
      <c r="R551" s="3"/>
      <c r="S551" s="3"/>
    </row>
    <row r="552" spans="2:19" x14ac:dyDescent="0.3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18"/>
      <c r="N552" s="3"/>
      <c r="O552" s="3"/>
      <c r="P552" s="3"/>
      <c r="Q552" s="3"/>
      <c r="R552" s="3"/>
      <c r="S552" s="3"/>
    </row>
    <row r="553" spans="2:19" x14ac:dyDescent="0.3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18"/>
      <c r="N553" s="3"/>
      <c r="O553" s="3"/>
      <c r="P553" s="3"/>
      <c r="Q553" s="3"/>
      <c r="R553" s="3"/>
      <c r="S553" s="3"/>
    </row>
    <row r="554" spans="2:19" x14ac:dyDescent="0.3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18"/>
      <c r="N554" s="3"/>
      <c r="O554" s="3"/>
      <c r="P554" s="3"/>
      <c r="Q554" s="3"/>
      <c r="R554" s="3"/>
      <c r="S554" s="3"/>
    </row>
    <row r="555" spans="2:19" x14ac:dyDescent="0.3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18"/>
      <c r="N555" s="3"/>
      <c r="O555" s="3"/>
      <c r="P555" s="3"/>
      <c r="Q555" s="3"/>
      <c r="R555" s="3"/>
      <c r="S555" s="3"/>
    </row>
    <row r="556" spans="2:19" x14ac:dyDescent="0.3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18"/>
      <c r="N556" s="3"/>
      <c r="O556" s="3"/>
      <c r="P556" s="3"/>
      <c r="Q556" s="3"/>
      <c r="R556" s="3"/>
      <c r="S556" s="3"/>
    </row>
    <row r="557" spans="2:19" x14ac:dyDescent="0.3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18"/>
      <c r="N557" s="3"/>
      <c r="O557" s="3"/>
      <c r="P557" s="3"/>
      <c r="Q557" s="3"/>
      <c r="R557" s="3"/>
      <c r="S557" s="3"/>
    </row>
    <row r="558" spans="2:19" x14ac:dyDescent="0.3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18"/>
      <c r="N558" s="3"/>
      <c r="O558" s="3"/>
      <c r="P558" s="3"/>
      <c r="Q558" s="3"/>
      <c r="R558" s="3"/>
      <c r="S558" s="3"/>
    </row>
    <row r="559" spans="2:19" x14ac:dyDescent="0.3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18"/>
      <c r="N559" s="3"/>
      <c r="O559" s="3"/>
      <c r="P559" s="3"/>
      <c r="Q559" s="3"/>
      <c r="R559" s="3"/>
      <c r="S559" s="3"/>
    </row>
    <row r="560" spans="2:19" x14ac:dyDescent="0.3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18"/>
      <c r="N560" s="3"/>
      <c r="O560" s="3"/>
      <c r="P560" s="3"/>
      <c r="Q560" s="3"/>
      <c r="R560" s="3"/>
      <c r="S560" s="3"/>
    </row>
    <row r="561" spans="2:19" x14ac:dyDescent="0.3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18"/>
      <c r="N561" s="3"/>
      <c r="O561" s="3"/>
      <c r="P561" s="3"/>
      <c r="Q561" s="3"/>
      <c r="R561" s="3"/>
      <c r="S561" s="3"/>
    </row>
    <row r="562" spans="2:19" x14ac:dyDescent="0.3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18"/>
      <c r="N562" s="3"/>
      <c r="O562" s="3"/>
      <c r="P562" s="3"/>
      <c r="Q562" s="3"/>
      <c r="R562" s="3"/>
      <c r="S562" s="3"/>
    </row>
    <row r="563" spans="2:19" x14ac:dyDescent="0.3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18"/>
      <c r="N563" s="3"/>
      <c r="O563" s="3"/>
      <c r="P563" s="3"/>
      <c r="Q563" s="3"/>
      <c r="R563" s="3"/>
      <c r="S563" s="3"/>
    </row>
    <row r="564" spans="2:19" x14ac:dyDescent="0.3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18"/>
      <c r="N564" s="3"/>
      <c r="O564" s="3"/>
      <c r="P564" s="3"/>
      <c r="Q564" s="3"/>
      <c r="R564" s="3"/>
      <c r="S564" s="3"/>
    </row>
    <row r="565" spans="2:19" x14ac:dyDescent="0.3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18"/>
      <c r="N565" s="3"/>
      <c r="O565" s="3"/>
      <c r="P565" s="3"/>
      <c r="Q565" s="3"/>
      <c r="R565" s="3"/>
      <c r="S565" s="3"/>
    </row>
    <row r="566" spans="2:19" x14ac:dyDescent="0.3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18"/>
      <c r="N566" s="3"/>
      <c r="O566" s="3"/>
      <c r="P566" s="3"/>
      <c r="Q566" s="3"/>
      <c r="R566" s="3"/>
      <c r="S566" s="3"/>
    </row>
    <row r="567" spans="2:19" x14ac:dyDescent="0.3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18"/>
      <c r="N567" s="3"/>
      <c r="O567" s="3"/>
      <c r="P567" s="3"/>
      <c r="Q567" s="3"/>
      <c r="R567" s="3"/>
      <c r="S567" s="3"/>
    </row>
    <row r="568" spans="2:19" x14ac:dyDescent="0.3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18"/>
      <c r="N568" s="3"/>
      <c r="O568" s="3"/>
      <c r="P568" s="3"/>
      <c r="Q568" s="3"/>
      <c r="R568" s="3"/>
      <c r="S568" s="3"/>
    </row>
    <row r="569" spans="2:19" x14ac:dyDescent="0.3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18"/>
      <c r="N569" s="3"/>
      <c r="O569" s="3"/>
      <c r="P569" s="3"/>
      <c r="Q569" s="3"/>
      <c r="R569" s="3"/>
      <c r="S569" s="3"/>
    </row>
    <row r="570" spans="2:19" x14ac:dyDescent="0.3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18"/>
      <c r="N570" s="3"/>
      <c r="O570" s="3"/>
      <c r="P570" s="3"/>
      <c r="Q570" s="3"/>
      <c r="R570" s="3"/>
      <c r="S570" s="3"/>
    </row>
    <row r="571" spans="2:19" x14ac:dyDescent="0.3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18"/>
      <c r="N571" s="3"/>
      <c r="O571" s="3"/>
      <c r="P571" s="3"/>
      <c r="Q571" s="3"/>
      <c r="R571" s="3"/>
      <c r="S571" s="3"/>
    </row>
    <row r="572" spans="2:19" x14ac:dyDescent="0.3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18"/>
      <c r="N572" s="3"/>
      <c r="O572" s="3"/>
      <c r="P572" s="3"/>
      <c r="Q572" s="3"/>
      <c r="R572" s="3"/>
      <c r="S572" s="3"/>
    </row>
    <row r="573" spans="2:19" x14ac:dyDescent="0.3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18"/>
      <c r="N573" s="3"/>
      <c r="O573" s="3"/>
      <c r="P573" s="3"/>
      <c r="Q573" s="3"/>
      <c r="R573" s="3"/>
      <c r="S573" s="3"/>
    </row>
    <row r="574" spans="2:19" x14ac:dyDescent="0.3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18"/>
      <c r="N574" s="3"/>
      <c r="O574" s="3"/>
      <c r="P574" s="3"/>
      <c r="Q574" s="3"/>
      <c r="R574" s="3"/>
      <c r="S574" s="3"/>
    </row>
    <row r="575" spans="2:19" x14ac:dyDescent="0.3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18"/>
      <c r="N575" s="3"/>
      <c r="O575" s="3"/>
      <c r="P575" s="3"/>
      <c r="Q575" s="3"/>
      <c r="R575" s="3"/>
      <c r="S575" s="3"/>
    </row>
    <row r="576" spans="2:19" x14ac:dyDescent="0.3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18"/>
      <c r="N576" s="3"/>
      <c r="O576" s="3"/>
      <c r="P576" s="3"/>
      <c r="Q576" s="3"/>
      <c r="R576" s="3"/>
      <c r="S576" s="3"/>
    </row>
    <row r="577" spans="2:19" x14ac:dyDescent="0.3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18"/>
      <c r="N577" s="3"/>
      <c r="O577" s="3"/>
      <c r="P577" s="3"/>
      <c r="Q577" s="3"/>
      <c r="R577" s="3"/>
      <c r="S577" s="3"/>
    </row>
    <row r="578" spans="2:19" x14ac:dyDescent="0.3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18"/>
      <c r="N578" s="3"/>
      <c r="O578" s="3"/>
      <c r="P578" s="3"/>
      <c r="Q578" s="3"/>
      <c r="R578" s="3"/>
      <c r="S578" s="3"/>
    </row>
    <row r="579" spans="2:19" x14ac:dyDescent="0.3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18"/>
      <c r="N579" s="3"/>
      <c r="O579" s="3"/>
      <c r="P579" s="3"/>
      <c r="Q579" s="3"/>
      <c r="R579" s="3"/>
      <c r="S579" s="3"/>
    </row>
    <row r="580" spans="2:19" x14ac:dyDescent="0.3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18"/>
      <c r="N580" s="3"/>
      <c r="O580" s="3"/>
      <c r="P580" s="3"/>
      <c r="Q580" s="3"/>
      <c r="R580" s="3"/>
      <c r="S580" s="3"/>
    </row>
    <row r="581" spans="2:19" x14ac:dyDescent="0.3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18"/>
      <c r="N581" s="3"/>
      <c r="O581" s="3"/>
      <c r="P581" s="3"/>
      <c r="Q581" s="3"/>
      <c r="R581" s="3"/>
      <c r="S581" s="3"/>
    </row>
    <row r="582" spans="2:19" x14ac:dyDescent="0.3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18"/>
      <c r="N582" s="3"/>
      <c r="O582" s="3"/>
      <c r="P582" s="3"/>
      <c r="Q582" s="3"/>
      <c r="R582" s="3"/>
      <c r="S582" s="3"/>
    </row>
    <row r="583" spans="2:19" x14ac:dyDescent="0.3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18"/>
      <c r="N583" s="3"/>
      <c r="O583" s="3"/>
      <c r="P583" s="3"/>
      <c r="Q583" s="3"/>
      <c r="R583" s="3"/>
      <c r="S583" s="3"/>
    </row>
    <row r="584" spans="2:19" x14ac:dyDescent="0.3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18"/>
      <c r="N584" s="3"/>
      <c r="O584" s="3"/>
      <c r="P584" s="3"/>
      <c r="Q584" s="3"/>
      <c r="R584" s="3"/>
      <c r="S584" s="3"/>
    </row>
    <row r="585" spans="2:19" x14ac:dyDescent="0.3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18"/>
      <c r="N585" s="3"/>
      <c r="O585" s="3"/>
      <c r="P585" s="3"/>
      <c r="Q585" s="3"/>
      <c r="R585" s="3"/>
      <c r="S585" s="3"/>
    </row>
    <row r="586" spans="2:19" x14ac:dyDescent="0.3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18"/>
      <c r="N586" s="3"/>
      <c r="O586" s="3"/>
      <c r="P586" s="3"/>
      <c r="Q586" s="3"/>
      <c r="R586" s="3"/>
      <c r="S586" s="3"/>
    </row>
    <row r="587" spans="2:19" x14ac:dyDescent="0.3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18"/>
      <c r="N587" s="3"/>
      <c r="O587" s="3"/>
      <c r="P587" s="3"/>
      <c r="Q587" s="3"/>
      <c r="R587" s="3"/>
      <c r="S587" s="3"/>
    </row>
    <row r="588" spans="2:19" x14ac:dyDescent="0.3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18"/>
      <c r="N588" s="3"/>
      <c r="O588" s="3"/>
      <c r="P588" s="3"/>
      <c r="Q588" s="3"/>
      <c r="R588" s="3"/>
      <c r="S588" s="3"/>
    </row>
    <row r="589" spans="2:19" x14ac:dyDescent="0.3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18"/>
      <c r="N589" s="3"/>
      <c r="O589" s="3"/>
      <c r="P589" s="3"/>
      <c r="Q589" s="3"/>
      <c r="R589" s="3"/>
      <c r="S589" s="3"/>
    </row>
    <row r="590" spans="2:19" x14ac:dyDescent="0.3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18"/>
      <c r="N590" s="3"/>
      <c r="O590" s="3"/>
      <c r="P590" s="3"/>
      <c r="Q590" s="3"/>
      <c r="R590" s="3"/>
      <c r="S590" s="3"/>
    </row>
    <row r="591" spans="2:19" x14ac:dyDescent="0.3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18"/>
      <c r="N591" s="3"/>
      <c r="O591" s="3"/>
      <c r="P591" s="3"/>
      <c r="Q591" s="3"/>
      <c r="R591" s="3"/>
      <c r="S591" s="3"/>
    </row>
    <row r="592" spans="2:19" x14ac:dyDescent="0.3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18"/>
      <c r="N592" s="3"/>
      <c r="O592" s="3"/>
      <c r="P592" s="3"/>
      <c r="Q592" s="3"/>
      <c r="R592" s="3"/>
      <c r="S592" s="3"/>
    </row>
    <row r="593" spans="2:19" x14ac:dyDescent="0.3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18"/>
      <c r="N593" s="3"/>
      <c r="O593" s="3"/>
      <c r="P593" s="3"/>
      <c r="Q593" s="3"/>
      <c r="R593" s="3"/>
      <c r="S593" s="3"/>
    </row>
    <row r="594" spans="2:19" x14ac:dyDescent="0.3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18"/>
      <c r="N594" s="3"/>
      <c r="O594" s="3"/>
      <c r="P594" s="3"/>
      <c r="Q594" s="3"/>
      <c r="R594" s="3"/>
      <c r="S594" s="3"/>
    </row>
    <row r="595" spans="2:19" x14ac:dyDescent="0.3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18"/>
      <c r="N595" s="3"/>
      <c r="O595" s="3"/>
      <c r="P595" s="3"/>
      <c r="Q595" s="3"/>
      <c r="R595" s="3"/>
      <c r="S595" s="3"/>
    </row>
    <row r="596" spans="2:19" x14ac:dyDescent="0.3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18"/>
      <c r="N596" s="3"/>
      <c r="O596" s="3"/>
      <c r="P596" s="3"/>
      <c r="Q596" s="3"/>
      <c r="R596" s="3"/>
      <c r="S596" s="3"/>
    </row>
    <row r="597" spans="2:19" x14ac:dyDescent="0.3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18"/>
      <c r="N597" s="3"/>
      <c r="O597" s="3"/>
      <c r="P597" s="3"/>
      <c r="Q597" s="3"/>
      <c r="R597" s="3"/>
      <c r="S597" s="3"/>
    </row>
    <row r="598" spans="2:19" x14ac:dyDescent="0.3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18"/>
      <c r="N598" s="3"/>
      <c r="O598" s="3"/>
      <c r="P598" s="3"/>
      <c r="Q598" s="3"/>
      <c r="R598" s="3"/>
      <c r="S598" s="3"/>
    </row>
    <row r="599" spans="2:19" x14ac:dyDescent="0.3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18"/>
      <c r="N599" s="3"/>
      <c r="O599" s="3"/>
      <c r="P599" s="3"/>
      <c r="Q599" s="3"/>
      <c r="R599" s="3"/>
      <c r="S599" s="3"/>
    </row>
    <row r="600" spans="2:19" x14ac:dyDescent="0.3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18"/>
      <c r="N600" s="3"/>
      <c r="O600" s="3"/>
      <c r="P600" s="3"/>
      <c r="Q600" s="3"/>
      <c r="R600" s="3"/>
      <c r="S600" s="3"/>
    </row>
    <row r="601" spans="2:19" x14ac:dyDescent="0.3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18"/>
      <c r="N601" s="3"/>
      <c r="O601" s="3"/>
      <c r="P601" s="3"/>
      <c r="Q601" s="3"/>
      <c r="R601" s="3"/>
      <c r="S601" s="3"/>
    </row>
    <row r="602" spans="2:19" x14ac:dyDescent="0.3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18"/>
      <c r="N602" s="3"/>
      <c r="O602" s="3"/>
      <c r="P602" s="3"/>
      <c r="Q602" s="3"/>
      <c r="R602" s="3"/>
      <c r="S602" s="3"/>
    </row>
    <row r="603" spans="2:19" x14ac:dyDescent="0.3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18"/>
      <c r="N603" s="3"/>
      <c r="O603" s="3"/>
      <c r="P603" s="3"/>
      <c r="Q603" s="3"/>
      <c r="R603" s="3"/>
      <c r="S603" s="3"/>
    </row>
    <row r="604" spans="2:19" x14ac:dyDescent="0.3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18"/>
      <c r="N604" s="3"/>
      <c r="O604" s="3"/>
      <c r="P604" s="3"/>
      <c r="Q604" s="3"/>
      <c r="R604" s="3"/>
      <c r="S604" s="3"/>
    </row>
    <row r="605" spans="2:19" x14ac:dyDescent="0.3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18"/>
      <c r="N605" s="3"/>
      <c r="O605" s="3"/>
      <c r="P605" s="3"/>
      <c r="Q605" s="3"/>
      <c r="R605" s="3"/>
      <c r="S605" s="3"/>
    </row>
    <row r="606" spans="2:19" x14ac:dyDescent="0.3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18"/>
      <c r="N606" s="3"/>
      <c r="O606" s="3"/>
      <c r="P606" s="3"/>
      <c r="Q606" s="3"/>
      <c r="R606" s="3"/>
      <c r="S606" s="3"/>
    </row>
    <row r="607" spans="2:19" x14ac:dyDescent="0.3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18"/>
      <c r="N607" s="3"/>
      <c r="O607" s="3"/>
      <c r="P607" s="3"/>
      <c r="Q607" s="3"/>
      <c r="R607" s="3"/>
      <c r="S607" s="3"/>
    </row>
    <row r="608" spans="2:19" x14ac:dyDescent="0.3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18"/>
      <c r="N608" s="3"/>
      <c r="O608" s="3"/>
      <c r="P608" s="3"/>
      <c r="Q608" s="3"/>
      <c r="R608" s="3"/>
      <c r="S608" s="3"/>
    </row>
    <row r="609" spans="2:19" x14ac:dyDescent="0.3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18"/>
      <c r="N609" s="3"/>
      <c r="O609" s="3"/>
      <c r="P609" s="3"/>
      <c r="Q609" s="3"/>
      <c r="R609" s="3"/>
      <c r="S609" s="3"/>
    </row>
    <row r="610" spans="2:19" x14ac:dyDescent="0.3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18"/>
      <c r="N610" s="3"/>
      <c r="O610" s="3"/>
      <c r="P610" s="3"/>
      <c r="Q610" s="3"/>
      <c r="R610" s="3"/>
      <c r="S610" s="3"/>
    </row>
    <row r="611" spans="2:19" x14ac:dyDescent="0.3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18"/>
      <c r="N611" s="3"/>
      <c r="O611" s="3"/>
      <c r="P611" s="3"/>
      <c r="Q611" s="3"/>
      <c r="R611" s="3"/>
      <c r="S611" s="3"/>
    </row>
    <row r="612" spans="2:19" x14ac:dyDescent="0.3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18"/>
      <c r="N612" s="3"/>
      <c r="O612" s="3"/>
      <c r="P612" s="3"/>
      <c r="Q612" s="3"/>
      <c r="R612" s="3"/>
      <c r="S612" s="3"/>
    </row>
    <row r="613" spans="2:19" x14ac:dyDescent="0.3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18"/>
      <c r="N613" s="3"/>
      <c r="O613" s="3"/>
      <c r="P613" s="3"/>
      <c r="Q613" s="3"/>
      <c r="R613" s="3"/>
      <c r="S613" s="3"/>
    </row>
    <row r="614" spans="2:19" x14ac:dyDescent="0.3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18"/>
      <c r="N614" s="3"/>
      <c r="O614" s="3"/>
      <c r="P614" s="3"/>
      <c r="Q614" s="3"/>
      <c r="R614" s="3"/>
      <c r="S614" s="3"/>
    </row>
    <row r="615" spans="2:19" x14ac:dyDescent="0.3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18"/>
      <c r="N615" s="3"/>
      <c r="O615" s="3"/>
      <c r="P615" s="3"/>
      <c r="Q615" s="3"/>
      <c r="R615" s="3"/>
      <c r="S615" s="3"/>
    </row>
    <row r="616" spans="2:19" x14ac:dyDescent="0.3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18"/>
      <c r="N616" s="3"/>
      <c r="O616" s="3"/>
      <c r="P616" s="3"/>
      <c r="Q616" s="3"/>
      <c r="R616" s="3"/>
      <c r="S616" s="3"/>
    </row>
    <row r="617" spans="2:19" x14ac:dyDescent="0.3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18"/>
      <c r="N617" s="3"/>
      <c r="O617" s="3"/>
      <c r="P617" s="3"/>
      <c r="Q617" s="3"/>
      <c r="R617" s="3"/>
      <c r="S617" s="3"/>
    </row>
    <row r="618" spans="2:19" x14ac:dyDescent="0.3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18"/>
      <c r="N618" s="3"/>
      <c r="O618" s="3"/>
      <c r="P618" s="3"/>
      <c r="Q618" s="3"/>
      <c r="R618" s="3"/>
      <c r="S618" s="3"/>
    </row>
    <row r="619" spans="2:19" x14ac:dyDescent="0.3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18"/>
      <c r="N619" s="3"/>
      <c r="O619" s="3"/>
      <c r="P619" s="3"/>
      <c r="Q619" s="3"/>
      <c r="R619" s="3"/>
      <c r="S619" s="3"/>
    </row>
    <row r="620" spans="2:19" x14ac:dyDescent="0.3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18"/>
      <c r="N620" s="3"/>
      <c r="O620" s="3"/>
      <c r="P620" s="3"/>
      <c r="Q620" s="3"/>
      <c r="R620" s="3"/>
      <c r="S620" s="3"/>
    </row>
    <row r="621" spans="2:19" x14ac:dyDescent="0.3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18"/>
      <c r="N621" s="3"/>
      <c r="O621" s="3"/>
      <c r="P621" s="3"/>
      <c r="Q621" s="3"/>
      <c r="R621" s="3"/>
      <c r="S621" s="3"/>
    </row>
    <row r="622" spans="2:19" x14ac:dyDescent="0.3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18"/>
      <c r="N622" s="3"/>
      <c r="O622" s="3"/>
      <c r="P622" s="3"/>
      <c r="Q622" s="3"/>
      <c r="R622" s="3"/>
      <c r="S622" s="3"/>
    </row>
    <row r="623" spans="2:19" x14ac:dyDescent="0.3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18"/>
      <c r="N623" s="3"/>
      <c r="O623" s="3"/>
      <c r="P623" s="3"/>
      <c r="Q623" s="3"/>
      <c r="R623" s="3"/>
      <c r="S623" s="3"/>
    </row>
    <row r="624" spans="2:19" x14ac:dyDescent="0.3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18"/>
      <c r="N624" s="3"/>
      <c r="O624" s="3"/>
      <c r="P624" s="3"/>
      <c r="Q624" s="3"/>
      <c r="R624" s="3"/>
      <c r="S624" s="3"/>
    </row>
    <row r="625" spans="2:19" x14ac:dyDescent="0.3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18"/>
      <c r="N625" s="3"/>
      <c r="O625" s="3"/>
      <c r="P625" s="3"/>
      <c r="Q625" s="3"/>
      <c r="R625" s="3"/>
      <c r="S625" s="3"/>
    </row>
    <row r="626" spans="2:19" x14ac:dyDescent="0.3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18"/>
      <c r="N626" s="3"/>
      <c r="O626" s="3"/>
      <c r="P626" s="3"/>
      <c r="Q626" s="3"/>
      <c r="R626" s="3"/>
      <c r="S626" s="3"/>
    </row>
    <row r="627" spans="2:19" x14ac:dyDescent="0.3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18"/>
      <c r="N627" s="3"/>
      <c r="O627" s="3"/>
      <c r="P627" s="3"/>
      <c r="Q627" s="3"/>
      <c r="R627" s="3"/>
      <c r="S627" s="3"/>
    </row>
    <row r="628" spans="2:19" x14ac:dyDescent="0.3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18"/>
      <c r="N628" s="3"/>
      <c r="O628" s="3"/>
      <c r="P628" s="3"/>
      <c r="Q628" s="3"/>
      <c r="R628" s="3"/>
      <c r="S628" s="3"/>
    </row>
    <row r="629" spans="2:19" x14ac:dyDescent="0.3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18"/>
      <c r="N629" s="3"/>
      <c r="O629" s="3"/>
      <c r="P629" s="3"/>
      <c r="Q629" s="3"/>
      <c r="R629" s="3"/>
      <c r="S629" s="3"/>
    </row>
    <row r="630" spans="2:19" x14ac:dyDescent="0.3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18"/>
      <c r="N630" s="3"/>
      <c r="O630" s="3"/>
      <c r="P630" s="3"/>
      <c r="Q630" s="3"/>
      <c r="R630" s="3"/>
      <c r="S630" s="3"/>
    </row>
    <row r="631" spans="2:19" x14ac:dyDescent="0.3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18"/>
      <c r="N631" s="3"/>
      <c r="O631" s="3"/>
      <c r="P631" s="3"/>
      <c r="Q631" s="3"/>
      <c r="R631" s="3"/>
      <c r="S631" s="3"/>
    </row>
    <row r="632" spans="2:19" x14ac:dyDescent="0.3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18"/>
      <c r="N632" s="3"/>
      <c r="O632" s="3"/>
      <c r="P632" s="3"/>
      <c r="Q632" s="3"/>
      <c r="R632" s="3"/>
      <c r="S632" s="3"/>
    </row>
    <row r="633" spans="2:19" x14ac:dyDescent="0.3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18"/>
      <c r="N633" s="3"/>
      <c r="O633" s="3"/>
      <c r="P633" s="3"/>
      <c r="Q633" s="3"/>
      <c r="R633" s="3"/>
      <c r="S633" s="3"/>
    </row>
    <row r="634" spans="2:19" x14ac:dyDescent="0.3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18"/>
      <c r="N634" s="3"/>
      <c r="O634" s="3"/>
      <c r="P634" s="3"/>
      <c r="Q634" s="3"/>
      <c r="R634" s="3"/>
      <c r="S634" s="3"/>
    </row>
    <row r="635" spans="2:19" x14ac:dyDescent="0.3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18"/>
      <c r="N635" s="3"/>
      <c r="O635" s="3"/>
      <c r="P635" s="3"/>
      <c r="Q635" s="3"/>
      <c r="R635" s="3"/>
      <c r="S635" s="3"/>
    </row>
    <row r="636" spans="2:19" x14ac:dyDescent="0.3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18"/>
      <c r="N636" s="3"/>
      <c r="O636" s="3"/>
      <c r="P636" s="3"/>
      <c r="Q636" s="3"/>
      <c r="R636" s="3"/>
      <c r="S636" s="3"/>
    </row>
    <row r="637" spans="2:19" x14ac:dyDescent="0.3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18"/>
      <c r="N637" s="3"/>
      <c r="O637" s="3"/>
      <c r="P637" s="3"/>
      <c r="Q637" s="3"/>
      <c r="R637" s="3"/>
      <c r="S637" s="3"/>
    </row>
    <row r="638" spans="2:19" x14ac:dyDescent="0.3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18"/>
      <c r="N638" s="3"/>
      <c r="O638" s="3"/>
      <c r="P638" s="3"/>
      <c r="Q638" s="3"/>
      <c r="R638" s="3"/>
      <c r="S638" s="3"/>
    </row>
    <row r="639" spans="2:19" x14ac:dyDescent="0.3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18"/>
      <c r="N639" s="3"/>
      <c r="O639" s="3"/>
      <c r="P639" s="3"/>
      <c r="Q639" s="3"/>
      <c r="R639" s="3"/>
      <c r="S639" s="3"/>
    </row>
    <row r="640" spans="2:19" x14ac:dyDescent="0.3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18"/>
      <c r="N640" s="3"/>
      <c r="O640" s="3"/>
      <c r="P640" s="3"/>
      <c r="Q640" s="3"/>
      <c r="R640" s="3"/>
      <c r="S640" s="3"/>
    </row>
    <row r="641" spans="2:19" x14ac:dyDescent="0.3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18"/>
      <c r="N641" s="3"/>
      <c r="O641" s="3"/>
      <c r="P641" s="3"/>
      <c r="Q641" s="3"/>
      <c r="R641" s="3"/>
      <c r="S641" s="3"/>
    </row>
    <row r="642" spans="2:19" x14ac:dyDescent="0.3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18"/>
      <c r="N642" s="3"/>
      <c r="O642" s="3"/>
      <c r="P642" s="3"/>
      <c r="Q642" s="3"/>
      <c r="R642" s="3"/>
      <c r="S642" s="3"/>
    </row>
    <row r="643" spans="2:19" x14ac:dyDescent="0.3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18"/>
      <c r="N643" s="3"/>
      <c r="O643" s="3"/>
      <c r="P643" s="3"/>
      <c r="Q643" s="3"/>
      <c r="R643" s="3"/>
      <c r="S643" s="3"/>
    </row>
    <row r="644" spans="2:19" x14ac:dyDescent="0.3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18"/>
      <c r="N644" s="3"/>
      <c r="O644" s="3"/>
      <c r="P644" s="3"/>
      <c r="Q644" s="3"/>
      <c r="R644" s="3"/>
      <c r="S644" s="3"/>
    </row>
    <row r="645" spans="2:19" x14ac:dyDescent="0.3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18"/>
      <c r="N645" s="3"/>
      <c r="O645" s="3"/>
      <c r="P645" s="3"/>
      <c r="Q645" s="3"/>
      <c r="R645" s="3"/>
      <c r="S645" s="3"/>
    </row>
    <row r="646" spans="2:19" x14ac:dyDescent="0.3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18"/>
      <c r="N646" s="3"/>
      <c r="O646" s="3"/>
      <c r="P646" s="3"/>
      <c r="Q646" s="3"/>
      <c r="R646" s="3"/>
      <c r="S646" s="3"/>
    </row>
    <row r="647" spans="2:19" x14ac:dyDescent="0.3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18"/>
      <c r="N647" s="3"/>
      <c r="O647" s="3"/>
      <c r="P647" s="3"/>
      <c r="Q647" s="3"/>
      <c r="R647" s="3"/>
      <c r="S647" s="3"/>
    </row>
    <row r="648" spans="2:19" x14ac:dyDescent="0.3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18"/>
      <c r="N648" s="3"/>
      <c r="O648" s="3"/>
      <c r="P648" s="3"/>
      <c r="Q648" s="3"/>
      <c r="R648" s="3"/>
      <c r="S648" s="3"/>
    </row>
    <row r="649" spans="2:19" x14ac:dyDescent="0.3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18"/>
      <c r="N649" s="3"/>
      <c r="O649" s="3"/>
      <c r="P649" s="3"/>
      <c r="Q649" s="3"/>
      <c r="R649" s="3"/>
      <c r="S649" s="3"/>
    </row>
    <row r="650" spans="2:19" x14ac:dyDescent="0.3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18"/>
      <c r="N650" s="3"/>
      <c r="O650" s="3"/>
      <c r="P650" s="3"/>
      <c r="Q650" s="3"/>
      <c r="R650" s="3"/>
      <c r="S650" s="3"/>
    </row>
    <row r="651" spans="2:19" x14ac:dyDescent="0.3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18"/>
      <c r="N651" s="3"/>
      <c r="O651" s="3"/>
      <c r="P651" s="3"/>
      <c r="Q651" s="3"/>
      <c r="R651" s="3"/>
      <c r="S651" s="3"/>
    </row>
    <row r="652" spans="2:19" x14ac:dyDescent="0.3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18"/>
      <c r="N652" s="3"/>
      <c r="O652" s="3"/>
      <c r="P652" s="3"/>
      <c r="Q652" s="3"/>
      <c r="R652" s="3"/>
      <c r="S652" s="3"/>
    </row>
    <row r="653" spans="2:19" x14ac:dyDescent="0.3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18"/>
      <c r="N653" s="3"/>
      <c r="O653" s="3"/>
      <c r="P653" s="3"/>
      <c r="Q653" s="3"/>
      <c r="R653" s="3"/>
      <c r="S653" s="3"/>
    </row>
    <row r="654" spans="2:19" x14ac:dyDescent="0.3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18"/>
      <c r="N654" s="3"/>
      <c r="O654" s="3"/>
      <c r="P654" s="3"/>
      <c r="Q654" s="3"/>
      <c r="R654" s="3"/>
      <c r="S654" s="3"/>
    </row>
    <row r="655" spans="2:19" x14ac:dyDescent="0.3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18"/>
      <c r="N655" s="3"/>
      <c r="O655" s="3"/>
      <c r="P655" s="3"/>
      <c r="Q655" s="3"/>
      <c r="R655" s="3"/>
      <c r="S655" s="3"/>
    </row>
    <row r="656" spans="2:19" x14ac:dyDescent="0.3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18"/>
      <c r="N656" s="3"/>
      <c r="O656" s="3"/>
      <c r="P656" s="3"/>
      <c r="Q656" s="3"/>
      <c r="R656" s="3"/>
      <c r="S656" s="3"/>
    </row>
    <row r="657" spans="2:19" x14ac:dyDescent="0.3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18"/>
      <c r="N657" s="3"/>
      <c r="O657" s="3"/>
      <c r="P657" s="3"/>
      <c r="Q657" s="3"/>
      <c r="R657" s="3"/>
      <c r="S657" s="3"/>
    </row>
    <row r="658" spans="2:19" x14ac:dyDescent="0.3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18"/>
      <c r="N658" s="3"/>
      <c r="O658" s="3"/>
      <c r="P658" s="3"/>
      <c r="Q658" s="3"/>
      <c r="R658" s="3"/>
      <c r="S658" s="3"/>
    </row>
    <row r="659" spans="2:19" x14ac:dyDescent="0.3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18"/>
      <c r="N659" s="3"/>
      <c r="O659" s="3"/>
      <c r="P659" s="3"/>
      <c r="Q659" s="3"/>
      <c r="R659" s="3"/>
      <c r="S659" s="3"/>
    </row>
    <row r="660" spans="2:19" x14ac:dyDescent="0.3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18"/>
      <c r="N660" s="3"/>
      <c r="O660" s="3"/>
      <c r="P660" s="3"/>
      <c r="Q660" s="3"/>
      <c r="R660" s="3"/>
      <c r="S660" s="3"/>
    </row>
    <row r="661" spans="2:19" x14ac:dyDescent="0.3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18"/>
      <c r="N661" s="3"/>
      <c r="O661" s="3"/>
      <c r="P661" s="3"/>
      <c r="Q661" s="3"/>
      <c r="R661" s="3"/>
      <c r="S661" s="3"/>
    </row>
    <row r="662" spans="2:19" x14ac:dyDescent="0.3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18"/>
      <c r="N662" s="3"/>
      <c r="O662" s="3"/>
      <c r="P662" s="3"/>
      <c r="Q662" s="3"/>
      <c r="R662" s="3"/>
      <c r="S662" s="3"/>
    </row>
    <row r="663" spans="2:19" x14ac:dyDescent="0.3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18"/>
      <c r="N663" s="3"/>
      <c r="O663" s="3"/>
      <c r="P663" s="3"/>
      <c r="Q663" s="3"/>
      <c r="R663" s="3"/>
      <c r="S663" s="3"/>
    </row>
    <row r="664" spans="2:19" x14ac:dyDescent="0.3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18"/>
      <c r="N664" s="3"/>
      <c r="O664" s="3"/>
      <c r="P664" s="3"/>
      <c r="Q664" s="3"/>
      <c r="R664" s="3"/>
      <c r="S664" s="3"/>
    </row>
    <row r="665" spans="2:19" x14ac:dyDescent="0.3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18"/>
      <c r="N665" s="3"/>
      <c r="O665" s="3"/>
      <c r="P665" s="3"/>
      <c r="Q665" s="3"/>
      <c r="R665" s="3"/>
      <c r="S665" s="3"/>
    </row>
    <row r="666" spans="2:19" x14ac:dyDescent="0.3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18"/>
      <c r="N666" s="3"/>
      <c r="O666" s="3"/>
      <c r="P666" s="3"/>
      <c r="Q666" s="3"/>
      <c r="R666" s="3"/>
      <c r="S666" s="3"/>
    </row>
    <row r="667" spans="2:19" x14ac:dyDescent="0.3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18"/>
      <c r="N667" s="3"/>
      <c r="O667" s="3"/>
      <c r="P667" s="3"/>
      <c r="Q667" s="3"/>
      <c r="R667" s="3"/>
      <c r="S667" s="3"/>
    </row>
    <row r="668" spans="2:19" x14ac:dyDescent="0.3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18"/>
      <c r="N668" s="3"/>
      <c r="O668" s="3"/>
      <c r="P668" s="3"/>
      <c r="Q668" s="3"/>
      <c r="R668" s="3"/>
      <c r="S668" s="3"/>
    </row>
    <row r="669" spans="2:19" x14ac:dyDescent="0.3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18"/>
      <c r="N669" s="3"/>
      <c r="O669" s="3"/>
      <c r="P669" s="3"/>
      <c r="Q669" s="3"/>
      <c r="R669" s="3"/>
      <c r="S669" s="3"/>
    </row>
    <row r="670" spans="2:19" x14ac:dyDescent="0.3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18"/>
      <c r="N670" s="3"/>
      <c r="O670" s="3"/>
      <c r="P670" s="3"/>
      <c r="Q670" s="3"/>
      <c r="R670" s="3"/>
      <c r="S670" s="3"/>
    </row>
    <row r="671" spans="2:19" x14ac:dyDescent="0.3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18"/>
      <c r="N671" s="3"/>
      <c r="O671" s="3"/>
      <c r="P671" s="3"/>
      <c r="Q671" s="3"/>
      <c r="R671" s="3"/>
      <c r="S671" s="3"/>
    </row>
    <row r="672" spans="2:19" x14ac:dyDescent="0.3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18"/>
      <c r="N672" s="3"/>
      <c r="O672" s="3"/>
      <c r="P672" s="3"/>
      <c r="Q672" s="3"/>
      <c r="R672" s="3"/>
      <c r="S672" s="3"/>
    </row>
    <row r="673" spans="2:19" x14ac:dyDescent="0.3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18"/>
      <c r="N673" s="3"/>
      <c r="O673" s="3"/>
      <c r="P673" s="3"/>
      <c r="Q673" s="3"/>
      <c r="R673" s="3"/>
      <c r="S673" s="3"/>
    </row>
    <row r="674" spans="2:19" x14ac:dyDescent="0.3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18"/>
      <c r="N674" s="3"/>
      <c r="O674" s="3"/>
      <c r="P674" s="3"/>
      <c r="Q674" s="3"/>
      <c r="R674" s="3"/>
      <c r="S674" s="3"/>
    </row>
    <row r="675" spans="2:19" x14ac:dyDescent="0.3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18"/>
      <c r="N675" s="3"/>
      <c r="O675" s="3"/>
      <c r="P675" s="3"/>
      <c r="Q675" s="3"/>
      <c r="R675" s="3"/>
      <c r="S675" s="3"/>
    </row>
    <row r="676" spans="2:19" x14ac:dyDescent="0.3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18"/>
      <c r="N676" s="3"/>
      <c r="O676" s="3"/>
      <c r="P676" s="3"/>
      <c r="Q676" s="3"/>
      <c r="R676" s="3"/>
      <c r="S676" s="3"/>
    </row>
    <row r="677" spans="2:19" x14ac:dyDescent="0.3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18"/>
      <c r="N677" s="3"/>
      <c r="O677" s="3"/>
      <c r="P677" s="3"/>
      <c r="Q677" s="3"/>
      <c r="R677" s="3"/>
      <c r="S677" s="3"/>
    </row>
    <row r="678" spans="2:19" x14ac:dyDescent="0.3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18"/>
      <c r="N678" s="3"/>
      <c r="O678" s="3"/>
      <c r="P678" s="3"/>
      <c r="Q678" s="3"/>
      <c r="R678" s="3"/>
      <c r="S678" s="3"/>
    </row>
    <row r="679" spans="2:19" x14ac:dyDescent="0.3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18"/>
      <c r="N679" s="3"/>
      <c r="O679" s="3"/>
      <c r="P679" s="3"/>
      <c r="Q679" s="3"/>
      <c r="R679" s="3"/>
      <c r="S679" s="3"/>
    </row>
    <row r="680" spans="2:19" x14ac:dyDescent="0.3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18"/>
      <c r="N680" s="3"/>
      <c r="O680" s="3"/>
      <c r="P680" s="3"/>
      <c r="Q680" s="3"/>
      <c r="R680" s="3"/>
      <c r="S680" s="3"/>
    </row>
    <row r="681" spans="2:19" x14ac:dyDescent="0.3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18"/>
      <c r="N681" s="3"/>
      <c r="O681" s="3"/>
      <c r="P681" s="3"/>
      <c r="Q681" s="3"/>
      <c r="R681" s="3"/>
      <c r="S681" s="3"/>
    </row>
    <row r="682" spans="2:19" x14ac:dyDescent="0.3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18"/>
      <c r="N682" s="3"/>
      <c r="O682" s="3"/>
      <c r="P682" s="3"/>
      <c r="Q682" s="3"/>
      <c r="R682" s="3"/>
      <c r="S682" s="3"/>
    </row>
    <row r="683" spans="2:19" x14ac:dyDescent="0.3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18"/>
      <c r="N683" s="3"/>
      <c r="O683" s="3"/>
      <c r="P683" s="3"/>
      <c r="Q683" s="3"/>
      <c r="R683" s="3"/>
      <c r="S683" s="3"/>
    </row>
    <row r="684" spans="2:19" x14ac:dyDescent="0.3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18"/>
      <c r="N684" s="3"/>
      <c r="O684" s="3"/>
      <c r="P684" s="3"/>
      <c r="Q684" s="3"/>
      <c r="R684" s="3"/>
      <c r="S684" s="3"/>
    </row>
    <row r="685" spans="2:19" x14ac:dyDescent="0.3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18"/>
      <c r="N685" s="3"/>
      <c r="O685" s="3"/>
      <c r="P685" s="3"/>
      <c r="Q685" s="3"/>
      <c r="R685" s="3"/>
      <c r="S685" s="3"/>
    </row>
    <row r="686" spans="2:19" x14ac:dyDescent="0.3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18"/>
      <c r="N686" s="3"/>
      <c r="O686" s="3"/>
      <c r="P686" s="3"/>
      <c r="Q686" s="3"/>
      <c r="R686" s="3"/>
      <c r="S686" s="3"/>
    </row>
    <row r="687" spans="2:19" x14ac:dyDescent="0.3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18"/>
      <c r="N687" s="3"/>
      <c r="O687" s="3"/>
      <c r="P687" s="3"/>
      <c r="Q687" s="3"/>
      <c r="R687" s="3"/>
      <c r="S687" s="3"/>
    </row>
    <row r="688" spans="2:19" x14ac:dyDescent="0.3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18"/>
      <c r="N688" s="3"/>
      <c r="O688" s="3"/>
      <c r="P688" s="3"/>
      <c r="Q688" s="3"/>
      <c r="R688" s="3"/>
      <c r="S688" s="3"/>
    </row>
    <row r="689" spans="2:19" x14ac:dyDescent="0.3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18"/>
      <c r="N689" s="3"/>
      <c r="O689" s="3"/>
      <c r="P689" s="3"/>
      <c r="Q689" s="3"/>
      <c r="R689" s="3"/>
      <c r="S689" s="3"/>
    </row>
    <row r="690" spans="2:19" x14ac:dyDescent="0.3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18"/>
      <c r="N690" s="3"/>
      <c r="O690" s="3"/>
      <c r="P690" s="3"/>
      <c r="Q690" s="3"/>
      <c r="R690" s="3"/>
      <c r="S690" s="3"/>
    </row>
    <row r="691" spans="2:19" x14ac:dyDescent="0.3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18"/>
      <c r="N691" s="3"/>
      <c r="O691" s="3"/>
      <c r="P691" s="3"/>
      <c r="Q691" s="3"/>
      <c r="R691" s="3"/>
      <c r="S691" s="3"/>
    </row>
    <row r="692" spans="2:19" x14ac:dyDescent="0.3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18"/>
      <c r="N692" s="3"/>
      <c r="O692" s="3"/>
      <c r="P692" s="3"/>
      <c r="Q692" s="3"/>
      <c r="R692" s="3"/>
      <c r="S692" s="3"/>
    </row>
    <row r="693" spans="2:19" x14ac:dyDescent="0.3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18"/>
      <c r="N693" s="3"/>
      <c r="O693" s="3"/>
      <c r="P693" s="3"/>
      <c r="Q693" s="3"/>
      <c r="R693" s="3"/>
      <c r="S693" s="3"/>
    </row>
    <row r="694" spans="2:19" x14ac:dyDescent="0.3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18"/>
      <c r="N694" s="3"/>
      <c r="O694" s="3"/>
      <c r="P694" s="3"/>
      <c r="Q694" s="3"/>
      <c r="R694" s="3"/>
      <c r="S694" s="3"/>
    </row>
    <row r="695" spans="2:19" x14ac:dyDescent="0.3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18"/>
      <c r="N695" s="3"/>
      <c r="O695" s="3"/>
      <c r="P695" s="3"/>
      <c r="Q695" s="3"/>
      <c r="R695" s="3"/>
      <c r="S695" s="3"/>
    </row>
    <row r="696" spans="2:19" x14ac:dyDescent="0.3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18"/>
      <c r="N696" s="3"/>
      <c r="O696" s="3"/>
      <c r="P696" s="3"/>
      <c r="Q696" s="3"/>
      <c r="R696" s="3"/>
      <c r="S696" s="3"/>
    </row>
    <row r="697" spans="2:19" x14ac:dyDescent="0.3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18"/>
      <c r="N697" s="3"/>
      <c r="O697" s="3"/>
      <c r="P697" s="3"/>
      <c r="Q697" s="3"/>
      <c r="R697" s="3"/>
      <c r="S697" s="3"/>
    </row>
    <row r="698" spans="2:19" x14ac:dyDescent="0.3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18"/>
      <c r="N698" s="3"/>
      <c r="O698" s="3"/>
      <c r="P698" s="3"/>
      <c r="Q698" s="3"/>
      <c r="R698" s="3"/>
      <c r="S698" s="3"/>
    </row>
    <row r="699" spans="2:19" x14ac:dyDescent="0.3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18"/>
      <c r="N699" s="3"/>
      <c r="O699" s="3"/>
      <c r="P699" s="3"/>
      <c r="Q699" s="3"/>
      <c r="R699" s="3"/>
      <c r="S699" s="3"/>
    </row>
    <row r="700" spans="2:19" x14ac:dyDescent="0.3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18"/>
      <c r="N700" s="3"/>
      <c r="O700" s="3"/>
      <c r="P700" s="3"/>
      <c r="Q700" s="3"/>
      <c r="R700" s="3"/>
      <c r="S700" s="3"/>
    </row>
    <row r="701" spans="2:19" x14ac:dyDescent="0.3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18"/>
      <c r="N701" s="3"/>
      <c r="O701" s="3"/>
      <c r="P701" s="3"/>
      <c r="Q701" s="3"/>
      <c r="R701" s="3"/>
      <c r="S701" s="3"/>
    </row>
    <row r="702" spans="2:19" x14ac:dyDescent="0.3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18"/>
      <c r="N702" s="3"/>
      <c r="O702" s="3"/>
      <c r="P702" s="3"/>
      <c r="Q702" s="3"/>
      <c r="R702" s="3"/>
      <c r="S702" s="3"/>
    </row>
    <row r="703" spans="2:19" x14ac:dyDescent="0.3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18"/>
      <c r="N703" s="3"/>
      <c r="O703" s="3"/>
      <c r="P703" s="3"/>
      <c r="Q703" s="3"/>
      <c r="R703" s="3"/>
      <c r="S703" s="3"/>
    </row>
    <row r="704" spans="2:19" x14ac:dyDescent="0.3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18"/>
      <c r="N704" s="3"/>
      <c r="O704" s="3"/>
      <c r="P704" s="3"/>
      <c r="Q704" s="3"/>
      <c r="R704" s="3"/>
      <c r="S704" s="3"/>
    </row>
    <row r="705" spans="2:19" x14ac:dyDescent="0.3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18"/>
      <c r="N705" s="3"/>
      <c r="O705" s="3"/>
      <c r="P705" s="3"/>
      <c r="Q705" s="3"/>
      <c r="R705" s="3"/>
      <c r="S705" s="3"/>
    </row>
    <row r="706" spans="2:19" x14ac:dyDescent="0.3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18"/>
      <c r="N706" s="3"/>
      <c r="O706" s="3"/>
      <c r="P706" s="3"/>
      <c r="Q706" s="3"/>
      <c r="R706" s="3"/>
      <c r="S706" s="3"/>
    </row>
    <row r="707" spans="2:19" x14ac:dyDescent="0.3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18"/>
      <c r="N707" s="3"/>
      <c r="O707" s="3"/>
      <c r="P707" s="3"/>
      <c r="Q707" s="3"/>
      <c r="R707" s="3"/>
      <c r="S707" s="3"/>
    </row>
    <row r="708" spans="2:19" x14ac:dyDescent="0.3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18"/>
      <c r="N708" s="3"/>
      <c r="O708" s="3"/>
      <c r="P708" s="3"/>
      <c r="Q708" s="3"/>
      <c r="R708" s="3"/>
      <c r="S708" s="3"/>
    </row>
    <row r="709" spans="2:19" x14ac:dyDescent="0.3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18"/>
      <c r="N709" s="3"/>
      <c r="O709" s="3"/>
      <c r="P709" s="3"/>
      <c r="Q709" s="3"/>
      <c r="R709" s="3"/>
      <c r="S709" s="3"/>
    </row>
    <row r="710" spans="2:19" x14ac:dyDescent="0.3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18"/>
      <c r="N710" s="3"/>
      <c r="O710" s="3"/>
      <c r="P710" s="3"/>
      <c r="Q710" s="3"/>
      <c r="R710" s="3"/>
      <c r="S710" s="3"/>
    </row>
    <row r="711" spans="2:19" x14ac:dyDescent="0.3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18"/>
      <c r="N711" s="3"/>
      <c r="O711" s="3"/>
      <c r="P711" s="3"/>
      <c r="Q711" s="3"/>
      <c r="R711" s="3"/>
      <c r="S711" s="3"/>
    </row>
    <row r="712" spans="2:19" x14ac:dyDescent="0.3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18"/>
      <c r="N712" s="3"/>
      <c r="O712" s="3"/>
      <c r="P712" s="3"/>
      <c r="Q712" s="3"/>
      <c r="R712" s="3"/>
      <c r="S712" s="3"/>
    </row>
    <row r="713" spans="2:19" x14ac:dyDescent="0.3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18"/>
      <c r="N713" s="3"/>
      <c r="O713" s="3"/>
      <c r="P713" s="3"/>
      <c r="Q713" s="3"/>
      <c r="R713" s="3"/>
      <c r="S713" s="3"/>
    </row>
    <row r="714" spans="2:19" x14ac:dyDescent="0.3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18"/>
      <c r="N714" s="3"/>
      <c r="O714" s="3"/>
      <c r="P714" s="3"/>
      <c r="Q714" s="3"/>
      <c r="R714" s="3"/>
      <c r="S714" s="3"/>
    </row>
    <row r="715" spans="2:19" x14ac:dyDescent="0.3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18"/>
      <c r="N715" s="3"/>
      <c r="O715" s="3"/>
      <c r="P715" s="3"/>
      <c r="Q715" s="3"/>
      <c r="R715" s="3"/>
      <c r="S715" s="3"/>
    </row>
    <row r="716" spans="2:19" x14ac:dyDescent="0.3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18"/>
      <c r="N716" s="3"/>
      <c r="O716" s="3"/>
      <c r="P716" s="3"/>
      <c r="Q716" s="3"/>
      <c r="R716" s="3"/>
      <c r="S716" s="3"/>
    </row>
    <row r="717" spans="2:19" x14ac:dyDescent="0.3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18"/>
      <c r="N717" s="3"/>
      <c r="O717" s="3"/>
      <c r="P717" s="3"/>
      <c r="Q717" s="3"/>
      <c r="R717" s="3"/>
      <c r="S717" s="3"/>
    </row>
    <row r="718" spans="2:19" x14ac:dyDescent="0.3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18"/>
      <c r="N718" s="3"/>
      <c r="O718" s="3"/>
      <c r="P718" s="3"/>
      <c r="Q718" s="3"/>
      <c r="R718" s="3"/>
      <c r="S718" s="3"/>
    </row>
    <row r="719" spans="2:19" x14ac:dyDescent="0.3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18"/>
      <c r="N719" s="3"/>
      <c r="O719" s="3"/>
      <c r="P719" s="3"/>
      <c r="Q719" s="3"/>
      <c r="R719" s="3"/>
      <c r="S719" s="3"/>
    </row>
    <row r="720" spans="2:19" x14ac:dyDescent="0.3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18"/>
      <c r="N720" s="3"/>
      <c r="O720" s="3"/>
      <c r="P720" s="3"/>
      <c r="Q720" s="3"/>
      <c r="R720" s="3"/>
      <c r="S720" s="3"/>
    </row>
    <row r="721" spans="2:19" x14ac:dyDescent="0.3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18"/>
      <c r="N721" s="3"/>
      <c r="O721" s="3"/>
      <c r="P721" s="3"/>
      <c r="Q721" s="3"/>
      <c r="R721" s="3"/>
      <c r="S721" s="3"/>
    </row>
    <row r="722" spans="2:19" x14ac:dyDescent="0.3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18"/>
      <c r="N722" s="3"/>
      <c r="O722" s="3"/>
      <c r="P722" s="3"/>
      <c r="Q722" s="3"/>
      <c r="R722" s="3"/>
      <c r="S722" s="3"/>
    </row>
    <row r="723" spans="2:19" x14ac:dyDescent="0.3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18"/>
      <c r="N723" s="3"/>
      <c r="O723" s="3"/>
      <c r="P723" s="3"/>
      <c r="Q723" s="3"/>
      <c r="R723" s="3"/>
      <c r="S723" s="3"/>
    </row>
    <row r="724" spans="2:19" x14ac:dyDescent="0.3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18"/>
      <c r="N724" s="3"/>
      <c r="O724" s="3"/>
      <c r="P724" s="3"/>
      <c r="Q724" s="3"/>
      <c r="R724" s="3"/>
      <c r="S724" s="3"/>
    </row>
    <row r="725" spans="2:19" x14ac:dyDescent="0.3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18"/>
      <c r="N725" s="3"/>
      <c r="O725" s="3"/>
      <c r="P725" s="3"/>
      <c r="Q725" s="3"/>
      <c r="R725" s="3"/>
      <c r="S725" s="3"/>
    </row>
    <row r="726" spans="2:19" x14ac:dyDescent="0.3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18"/>
      <c r="N726" s="3"/>
      <c r="O726" s="3"/>
      <c r="P726" s="3"/>
      <c r="Q726" s="3"/>
      <c r="R726" s="3"/>
      <c r="S726" s="3"/>
    </row>
    <row r="727" spans="2:19" x14ac:dyDescent="0.3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18"/>
      <c r="N727" s="3"/>
      <c r="O727" s="3"/>
      <c r="P727" s="3"/>
      <c r="Q727" s="3"/>
      <c r="R727" s="3"/>
      <c r="S727" s="3"/>
    </row>
    <row r="728" spans="2:19" x14ac:dyDescent="0.3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18"/>
      <c r="N728" s="3"/>
      <c r="O728" s="3"/>
      <c r="P728" s="3"/>
      <c r="Q728" s="3"/>
      <c r="R728" s="3"/>
      <c r="S728" s="3"/>
    </row>
    <row r="729" spans="2:19" x14ac:dyDescent="0.3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18"/>
      <c r="N729" s="3"/>
      <c r="O729" s="3"/>
      <c r="P729" s="3"/>
      <c r="Q729" s="3"/>
      <c r="R729" s="3"/>
      <c r="S729" s="3"/>
    </row>
    <row r="730" spans="2:19" x14ac:dyDescent="0.3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18"/>
      <c r="N730" s="3"/>
      <c r="O730" s="3"/>
      <c r="P730" s="3"/>
      <c r="Q730" s="3"/>
      <c r="R730" s="3"/>
      <c r="S730" s="3"/>
    </row>
    <row r="731" spans="2:19" x14ac:dyDescent="0.3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18"/>
      <c r="N731" s="3"/>
      <c r="O731" s="3"/>
      <c r="P731" s="3"/>
      <c r="Q731" s="3"/>
      <c r="R731" s="3"/>
      <c r="S731" s="3"/>
    </row>
    <row r="732" spans="2:19" x14ac:dyDescent="0.3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18"/>
      <c r="N732" s="3"/>
      <c r="O732" s="3"/>
      <c r="P732" s="3"/>
      <c r="Q732" s="3"/>
      <c r="R732" s="3"/>
      <c r="S732" s="3"/>
    </row>
    <row r="733" spans="2:19" x14ac:dyDescent="0.3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18"/>
      <c r="N733" s="3"/>
      <c r="O733" s="3"/>
      <c r="P733" s="3"/>
      <c r="Q733" s="3"/>
      <c r="R733" s="3"/>
      <c r="S733" s="3"/>
    </row>
    <row r="734" spans="2:19" x14ac:dyDescent="0.3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18"/>
      <c r="N734" s="3"/>
      <c r="O734" s="3"/>
      <c r="P734" s="3"/>
      <c r="Q734" s="3"/>
      <c r="R734" s="3"/>
      <c r="S734" s="3"/>
    </row>
    <row r="735" spans="2:19" x14ac:dyDescent="0.3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18"/>
      <c r="N735" s="3"/>
      <c r="O735" s="3"/>
      <c r="P735" s="3"/>
      <c r="Q735" s="3"/>
      <c r="R735" s="3"/>
      <c r="S735" s="3"/>
    </row>
    <row r="736" spans="2:19" x14ac:dyDescent="0.3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18"/>
      <c r="N736" s="3"/>
      <c r="O736" s="3"/>
      <c r="P736" s="3"/>
      <c r="Q736" s="3"/>
      <c r="R736" s="3"/>
      <c r="S736" s="3"/>
    </row>
    <row r="737" spans="2:19" x14ac:dyDescent="0.3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18"/>
      <c r="N737" s="3"/>
      <c r="O737" s="3"/>
      <c r="P737" s="3"/>
      <c r="Q737" s="3"/>
      <c r="R737" s="3"/>
      <c r="S737" s="3"/>
    </row>
    <row r="738" spans="2:19" x14ac:dyDescent="0.3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18"/>
      <c r="N738" s="3"/>
      <c r="O738" s="3"/>
      <c r="P738" s="3"/>
      <c r="Q738" s="3"/>
      <c r="R738" s="3"/>
      <c r="S738" s="3"/>
    </row>
    <row r="739" spans="2:19" x14ac:dyDescent="0.3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18"/>
      <c r="N739" s="3"/>
      <c r="O739" s="3"/>
      <c r="P739" s="3"/>
      <c r="Q739" s="3"/>
      <c r="R739" s="3"/>
      <c r="S739" s="3"/>
    </row>
    <row r="740" spans="2:19" x14ac:dyDescent="0.3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18"/>
      <c r="N740" s="3"/>
      <c r="O740" s="3"/>
      <c r="P740" s="3"/>
      <c r="Q740" s="3"/>
      <c r="R740" s="3"/>
      <c r="S740" s="3"/>
    </row>
    <row r="741" spans="2:19" x14ac:dyDescent="0.3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18"/>
      <c r="N741" s="3"/>
      <c r="O741" s="3"/>
      <c r="P741" s="3"/>
      <c r="Q741" s="3"/>
      <c r="R741" s="3"/>
      <c r="S741" s="3"/>
    </row>
    <row r="742" spans="2:19" x14ac:dyDescent="0.3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18"/>
      <c r="N742" s="3"/>
      <c r="O742" s="3"/>
      <c r="P742" s="3"/>
      <c r="Q742" s="3"/>
      <c r="R742" s="3"/>
      <c r="S742" s="3"/>
    </row>
    <row r="743" spans="2:19" x14ac:dyDescent="0.3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18"/>
      <c r="N743" s="3"/>
      <c r="O743" s="3"/>
      <c r="P743" s="3"/>
      <c r="Q743" s="3"/>
      <c r="R743" s="3"/>
      <c r="S743" s="3"/>
    </row>
    <row r="744" spans="2:19" x14ac:dyDescent="0.3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18"/>
      <c r="N744" s="3"/>
      <c r="O744" s="3"/>
      <c r="P744" s="3"/>
      <c r="Q744" s="3"/>
      <c r="R744" s="3"/>
      <c r="S744" s="3"/>
    </row>
    <row r="745" spans="2:19" x14ac:dyDescent="0.3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18"/>
      <c r="N745" s="3"/>
      <c r="O745" s="3"/>
      <c r="P745" s="3"/>
      <c r="Q745" s="3"/>
      <c r="R745" s="3"/>
      <c r="S745" s="3"/>
    </row>
    <row r="746" spans="2:19" x14ac:dyDescent="0.3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18"/>
      <c r="N746" s="3"/>
      <c r="O746" s="3"/>
      <c r="P746" s="3"/>
      <c r="Q746" s="3"/>
      <c r="R746" s="3"/>
      <c r="S746" s="3"/>
    </row>
    <row r="747" spans="2:19" x14ac:dyDescent="0.3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18"/>
      <c r="N747" s="3"/>
      <c r="O747" s="3"/>
      <c r="P747" s="3"/>
      <c r="Q747" s="3"/>
      <c r="R747" s="3"/>
      <c r="S747" s="3"/>
    </row>
    <row r="748" spans="2:19" x14ac:dyDescent="0.3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18"/>
      <c r="N748" s="3"/>
      <c r="O748" s="3"/>
      <c r="P748" s="3"/>
      <c r="Q748" s="3"/>
      <c r="R748" s="3"/>
      <c r="S748" s="3"/>
    </row>
    <row r="749" spans="2:19" x14ac:dyDescent="0.3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18"/>
      <c r="N749" s="3"/>
      <c r="O749" s="3"/>
      <c r="P749" s="3"/>
      <c r="Q749" s="3"/>
      <c r="R749" s="3"/>
      <c r="S749" s="3"/>
    </row>
    <row r="750" spans="2:19" x14ac:dyDescent="0.3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18"/>
      <c r="N750" s="3"/>
      <c r="O750" s="3"/>
      <c r="P750" s="3"/>
      <c r="Q750" s="3"/>
      <c r="R750" s="3"/>
      <c r="S750" s="3"/>
    </row>
    <row r="751" spans="2:19" x14ac:dyDescent="0.3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18"/>
      <c r="N751" s="3"/>
      <c r="O751" s="3"/>
      <c r="P751" s="3"/>
      <c r="Q751" s="3"/>
      <c r="R751" s="3"/>
      <c r="S751" s="3"/>
    </row>
    <row r="752" spans="2:19" x14ac:dyDescent="0.3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18"/>
      <c r="N752" s="3"/>
      <c r="O752" s="3"/>
      <c r="P752" s="3"/>
      <c r="Q752" s="3"/>
      <c r="R752" s="3"/>
      <c r="S752" s="3"/>
    </row>
    <row r="753" spans="2:19" x14ac:dyDescent="0.3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18"/>
      <c r="N753" s="3"/>
      <c r="O753" s="3"/>
      <c r="P753" s="3"/>
      <c r="Q753" s="3"/>
      <c r="R753" s="3"/>
      <c r="S753" s="3"/>
    </row>
    <row r="754" spans="2:19" x14ac:dyDescent="0.3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18"/>
      <c r="N754" s="3"/>
      <c r="O754" s="3"/>
      <c r="P754" s="3"/>
      <c r="Q754" s="3"/>
      <c r="R754" s="3"/>
      <c r="S754" s="3"/>
    </row>
    <row r="755" spans="2:19" x14ac:dyDescent="0.3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18"/>
      <c r="N755" s="3"/>
      <c r="O755" s="3"/>
      <c r="P755" s="3"/>
      <c r="Q755" s="3"/>
      <c r="R755" s="3"/>
      <c r="S755" s="3"/>
    </row>
    <row r="756" spans="2:19" x14ac:dyDescent="0.3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18"/>
      <c r="N756" s="3"/>
      <c r="O756" s="3"/>
      <c r="P756" s="3"/>
      <c r="Q756" s="3"/>
      <c r="R756" s="3"/>
      <c r="S756" s="3"/>
    </row>
    <row r="757" spans="2:19" x14ac:dyDescent="0.3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18"/>
      <c r="N757" s="3"/>
      <c r="O757" s="3"/>
      <c r="P757" s="3"/>
      <c r="Q757" s="3"/>
      <c r="R757" s="3"/>
      <c r="S757" s="3"/>
    </row>
    <row r="758" spans="2:19" x14ac:dyDescent="0.3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18"/>
      <c r="N758" s="3"/>
      <c r="O758" s="3"/>
      <c r="P758" s="3"/>
      <c r="Q758" s="3"/>
      <c r="R758" s="3"/>
      <c r="S758" s="3"/>
    </row>
    <row r="759" spans="2:19" x14ac:dyDescent="0.3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18"/>
      <c r="N759" s="3"/>
      <c r="O759" s="3"/>
      <c r="P759" s="3"/>
      <c r="Q759" s="3"/>
      <c r="R759" s="3"/>
      <c r="S759" s="3"/>
    </row>
    <row r="760" spans="2:19" x14ac:dyDescent="0.3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18"/>
      <c r="N760" s="3"/>
      <c r="O760" s="3"/>
      <c r="P760" s="3"/>
      <c r="Q760" s="3"/>
      <c r="R760" s="3"/>
      <c r="S760" s="3"/>
    </row>
    <row r="761" spans="2:19" x14ac:dyDescent="0.3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18"/>
      <c r="N761" s="3"/>
      <c r="O761" s="3"/>
      <c r="P761" s="3"/>
      <c r="Q761" s="3"/>
      <c r="R761" s="3"/>
      <c r="S761" s="3"/>
    </row>
    <row r="762" spans="2:19" x14ac:dyDescent="0.3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18"/>
      <c r="N762" s="3"/>
      <c r="O762" s="3"/>
      <c r="P762" s="3"/>
      <c r="Q762" s="3"/>
      <c r="R762" s="3"/>
      <c r="S762" s="3"/>
    </row>
    <row r="763" spans="2:19" x14ac:dyDescent="0.3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18"/>
      <c r="N763" s="3"/>
      <c r="O763" s="3"/>
      <c r="P763" s="3"/>
      <c r="Q763" s="3"/>
      <c r="R763" s="3"/>
      <c r="S763" s="3"/>
    </row>
    <row r="764" spans="2:19" x14ac:dyDescent="0.3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18"/>
      <c r="N764" s="3"/>
      <c r="O764" s="3"/>
      <c r="P764" s="3"/>
      <c r="Q764" s="3"/>
      <c r="R764" s="3"/>
      <c r="S764" s="3"/>
    </row>
    <row r="765" spans="2:19" x14ac:dyDescent="0.3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18"/>
      <c r="N765" s="3"/>
      <c r="O765" s="3"/>
      <c r="P765" s="3"/>
      <c r="Q765" s="3"/>
      <c r="R765" s="3"/>
      <c r="S765" s="3"/>
    </row>
    <row r="766" spans="2:19" x14ac:dyDescent="0.3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18"/>
      <c r="N766" s="3"/>
      <c r="O766" s="3"/>
      <c r="P766" s="3"/>
      <c r="Q766" s="3"/>
      <c r="R766" s="3"/>
      <c r="S766" s="3"/>
    </row>
    <row r="767" spans="2:19" x14ac:dyDescent="0.3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18"/>
      <c r="N767" s="3"/>
      <c r="O767" s="3"/>
      <c r="P767" s="3"/>
      <c r="Q767" s="3"/>
      <c r="R767" s="3"/>
      <c r="S767" s="3"/>
    </row>
    <row r="768" spans="2:19" x14ac:dyDescent="0.3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18"/>
      <c r="N768" s="3"/>
      <c r="O768" s="3"/>
      <c r="P768" s="3"/>
      <c r="Q768" s="3"/>
      <c r="R768" s="3"/>
      <c r="S768" s="3"/>
    </row>
    <row r="769" spans="2:19" x14ac:dyDescent="0.3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18"/>
      <c r="N769" s="3"/>
      <c r="O769" s="3"/>
      <c r="P769" s="3"/>
      <c r="Q769" s="3"/>
      <c r="R769" s="3"/>
      <c r="S769" s="3"/>
    </row>
    <row r="770" spans="2:19" x14ac:dyDescent="0.3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18"/>
      <c r="N770" s="3"/>
      <c r="O770" s="3"/>
      <c r="P770" s="3"/>
      <c r="Q770" s="3"/>
      <c r="R770" s="3"/>
      <c r="S770" s="3"/>
    </row>
    <row r="771" spans="2:19" x14ac:dyDescent="0.3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18"/>
      <c r="N771" s="3"/>
      <c r="O771" s="3"/>
      <c r="P771" s="3"/>
      <c r="Q771" s="3"/>
      <c r="R771" s="3"/>
      <c r="S771" s="3"/>
    </row>
    <row r="772" spans="2:19" x14ac:dyDescent="0.3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18"/>
      <c r="N772" s="3"/>
      <c r="O772" s="3"/>
      <c r="P772" s="3"/>
      <c r="Q772" s="3"/>
      <c r="R772" s="3"/>
      <c r="S772" s="3"/>
    </row>
    <row r="773" spans="2:19" x14ac:dyDescent="0.3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18"/>
      <c r="N773" s="3"/>
      <c r="O773" s="3"/>
      <c r="P773" s="3"/>
      <c r="Q773" s="3"/>
      <c r="R773" s="3"/>
      <c r="S773" s="3"/>
    </row>
    <row r="774" spans="2:19" x14ac:dyDescent="0.3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18"/>
      <c r="N774" s="3"/>
      <c r="O774" s="3"/>
      <c r="P774" s="3"/>
      <c r="Q774" s="3"/>
      <c r="R774" s="3"/>
      <c r="S774" s="3"/>
    </row>
    <row r="775" spans="2:19" x14ac:dyDescent="0.3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18"/>
      <c r="N775" s="3"/>
      <c r="O775" s="3"/>
      <c r="P775" s="3"/>
      <c r="Q775" s="3"/>
      <c r="R775" s="3"/>
      <c r="S775" s="3"/>
    </row>
    <row r="776" spans="2:19" x14ac:dyDescent="0.3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18"/>
      <c r="N776" s="3"/>
      <c r="O776" s="3"/>
      <c r="P776" s="3"/>
      <c r="Q776" s="3"/>
      <c r="R776" s="3"/>
      <c r="S776" s="3"/>
    </row>
    <row r="777" spans="2:19" x14ac:dyDescent="0.3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18"/>
      <c r="N777" s="3"/>
      <c r="O777" s="3"/>
      <c r="P777" s="3"/>
      <c r="Q777" s="3"/>
      <c r="R777" s="3"/>
      <c r="S777" s="3"/>
    </row>
    <row r="778" spans="2:19" x14ac:dyDescent="0.3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18"/>
      <c r="N778" s="3"/>
      <c r="O778" s="3"/>
      <c r="P778" s="3"/>
      <c r="Q778" s="3"/>
      <c r="R778" s="3"/>
      <c r="S778" s="3"/>
    </row>
    <row r="779" spans="2:19" x14ac:dyDescent="0.3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18"/>
      <c r="N779" s="3"/>
      <c r="O779" s="3"/>
      <c r="P779" s="3"/>
      <c r="Q779" s="3"/>
      <c r="R779" s="3"/>
      <c r="S779" s="3"/>
    </row>
    <row r="780" spans="2:19" x14ac:dyDescent="0.3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18"/>
      <c r="N780" s="3"/>
      <c r="O780" s="3"/>
      <c r="P780" s="3"/>
      <c r="Q780" s="3"/>
      <c r="R780" s="3"/>
      <c r="S780" s="3"/>
    </row>
    <row r="781" spans="2:19" x14ac:dyDescent="0.3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18"/>
      <c r="N781" s="3"/>
      <c r="O781" s="3"/>
      <c r="P781" s="3"/>
      <c r="Q781" s="3"/>
      <c r="R781" s="3"/>
      <c r="S781" s="3"/>
    </row>
    <row r="782" spans="2:19" x14ac:dyDescent="0.3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18"/>
      <c r="N782" s="3"/>
      <c r="O782" s="3"/>
      <c r="P782" s="3"/>
      <c r="Q782" s="3"/>
      <c r="R782" s="3"/>
      <c r="S782" s="3"/>
    </row>
    <row r="783" spans="2:19" x14ac:dyDescent="0.3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18"/>
      <c r="N783" s="3"/>
      <c r="O783" s="3"/>
      <c r="P783" s="3"/>
      <c r="Q783" s="3"/>
      <c r="R783" s="3"/>
      <c r="S783" s="3"/>
    </row>
    <row r="784" spans="2:19" x14ac:dyDescent="0.3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18"/>
      <c r="N784" s="3"/>
      <c r="O784" s="3"/>
      <c r="P784" s="3"/>
      <c r="Q784" s="3"/>
      <c r="R784" s="3"/>
      <c r="S784" s="3"/>
    </row>
    <row r="785" spans="2:19" x14ac:dyDescent="0.3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18"/>
      <c r="N785" s="3"/>
      <c r="O785" s="3"/>
      <c r="P785" s="3"/>
      <c r="Q785" s="3"/>
      <c r="R785" s="3"/>
      <c r="S785" s="3"/>
    </row>
    <row r="786" spans="2:19" x14ac:dyDescent="0.3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18"/>
      <c r="N786" s="3"/>
      <c r="O786" s="3"/>
      <c r="P786" s="3"/>
      <c r="Q786" s="3"/>
      <c r="R786" s="3"/>
      <c r="S786" s="3"/>
    </row>
    <row r="787" spans="2:19" x14ac:dyDescent="0.3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18"/>
      <c r="N787" s="3"/>
      <c r="O787" s="3"/>
      <c r="P787" s="3"/>
      <c r="Q787" s="3"/>
      <c r="R787" s="3"/>
      <c r="S787" s="3"/>
    </row>
    <row r="788" spans="2:19" x14ac:dyDescent="0.3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18"/>
      <c r="N788" s="3"/>
      <c r="O788" s="3"/>
      <c r="P788" s="3"/>
      <c r="Q788" s="3"/>
      <c r="R788" s="3"/>
      <c r="S788" s="3"/>
    </row>
    <row r="789" spans="2:19" x14ac:dyDescent="0.3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18"/>
      <c r="N789" s="3"/>
      <c r="O789" s="3"/>
      <c r="P789" s="3"/>
      <c r="Q789" s="3"/>
      <c r="R789" s="3"/>
      <c r="S789" s="3"/>
    </row>
    <row r="790" spans="2:19" x14ac:dyDescent="0.3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18"/>
      <c r="N790" s="3"/>
      <c r="O790" s="3"/>
      <c r="P790" s="3"/>
      <c r="Q790" s="3"/>
      <c r="R790" s="3"/>
      <c r="S790" s="3"/>
    </row>
    <row r="791" spans="2:19" x14ac:dyDescent="0.3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18"/>
      <c r="N791" s="3"/>
      <c r="O791" s="3"/>
      <c r="P791" s="3"/>
      <c r="Q791" s="3"/>
      <c r="R791" s="3"/>
      <c r="S791" s="3"/>
    </row>
    <row r="792" spans="2:19" x14ac:dyDescent="0.3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18"/>
      <c r="N792" s="3"/>
      <c r="O792" s="3"/>
      <c r="P792" s="3"/>
      <c r="Q792" s="3"/>
      <c r="R792" s="3"/>
      <c r="S792" s="3"/>
    </row>
    <row r="793" spans="2:19" x14ac:dyDescent="0.3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18"/>
      <c r="N793" s="3"/>
      <c r="O793" s="3"/>
      <c r="P793" s="3"/>
      <c r="Q793" s="3"/>
      <c r="R793" s="3"/>
      <c r="S793" s="3"/>
    </row>
    <row r="794" spans="2:19" x14ac:dyDescent="0.3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18"/>
      <c r="N794" s="3"/>
      <c r="O794" s="3"/>
      <c r="P794" s="3"/>
      <c r="Q794" s="3"/>
      <c r="R794" s="3"/>
      <c r="S794" s="3"/>
    </row>
    <row r="795" spans="2:19" x14ac:dyDescent="0.3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18"/>
      <c r="N795" s="3"/>
      <c r="O795" s="3"/>
      <c r="P795" s="3"/>
      <c r="Q795" s="3"/>
      <c r="R795" s="3"/>
      <c r="S795" s="3"/>
    </row>
    <row r="796" spans="2:19" x14ac:dyDescent="0.3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18"/>
      <c r="N796" s="3"/>
      <c r="O796" s="3"/>
      <c r="P796" s="3"/>
      <c r="Q796" s="3"/>
      <c r="R796" s="3"/>
      <c r="S796" s="3"/>
    </row>
    <row r="797" spans="2:19" x14ac:dyDescent="0.3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18"/>
      <c r="N797" s="3"/>
      <c r="O797" s="3"/>
      <c r="P797" s="3"/>
      <c r="Q797" s="3"/>
      <c r="R797" s="3"/>
      <c r="S797" s="3"/>
    </row>
    <row r="798" spans="2:19" x14ac:dyDescent="0.3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18"/>
      <c r="N798" s="3"/>
      <c r="O798" s="3"/>
      <c r="P798" s="3"/>
      <c r="Q798" s="3"/>
      <c r="R798" s="3"/>
      <c r="S798" s="3"/>
    </row>
    <row r="799" spans="2:19" x14ac:dyDescent="0.3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18"/>
      <c r="N799" s="3"/>
      <c r="O799" s="3"/>
      <c r="P799" s="3"/>
      <c r="Q799" s="3"/>
      <c r="R799" s="3"/>
      <c r="S799" s="3"/>
    </row>
    <row r="800" spans="2:19" x14ac:dyDescent="0.3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18"/>
      <c r="N800" s="3"/>
      <c r="O800" s="3"/>
      <c r="P800" s="3"/>
      <c r="Q800" s="3"/>
      <c r="R800" s="3"/>
      <c r="S800" s="3"/>
    </row>
    <row r="801" spans="2:19" x14ac:dyDescent="0.3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18"/>
      <c r="N801" s="3"/>
      <c r="O801" s="3"/>
      <c r="P801" s="3"/>
      <c r="Q801" s="3"/>
      <c r="R801" s="3"/>
      <c r="S801" s="3"/>
    </row>
    <row r="802" spans="2:19" x14ac:dyDescent="0.3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18"/>
      <c r="N802" s="3"/>
      <c r="O802" s="3"/>
      <c r="P802" s="3"/>
      <c r="Q802" s="3"/>
      <c r="R802" s="3"/>
      <c r="S802" s="3"/>
    </row>
    <row r="803" spans="2:19" x14ac:dyDescent="0.3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18"/>
      <c r="N803" s="3"/>
      <c r="O803" s="3"/>
      <c r="P803" s="3"/>
      <c r="Q803" s="3"/>
      <c r="R803" s="3"/>
      <c r="S803" s="3"/>
    </row>
    <row r="804" spans="2:19" x14ac:dyDescent="0.3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18"/>
      <c r="N804" s="3"/>
      <c r="O804" s="3"/>
      <c r="P804" s="3"/>
      <c r="Q804" s="3"/>
      <c r="R804" s="3"/>
      <c r="S804" s="3"/>
    </row>
    <row r="805" spans="2:19" x14ac:dyDescent="0.3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18"/>
      <c r="N805" s="3"/>
      <c r="O805" s="3"/>
      <c r="P805" s="3"/>
      <c r="Q805" s="3"/>
      <c r="R805" s="3"/>
      <c r="S805" s="3"/>
    </row>
    <row r="806" spans="2:19" x14ac:dyDescent="0.3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18"/>
      <c r="N806" s="3"/>
      <c r="O806" s="3"/>
      <c r="P806" s="3"/>
      <c r="Q806" s="3"/>
      <c r="R806" s="3"/>
      <c r="S806" s="3"/>
    </row>
    <row r="807" spans="2:19" x14ac:dyDescent="0.3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18"/>
      <c r="N807" s="3"/>
      <c r="O807" s="3"/>
      <c r="P807" s="3"/>
      <c r="Q807" s="3"/>
      <c r="R807" s="3"/>
      <c r="S807" s="3"/>
    </row>
    <row r="808" spans="2:19" x14ac:dyDescent="0.3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18"/>
      <c r="N808" s="3"/>
      <c r="O808" s="3"/>
      <c r="P808" s="3"/>
      <c r="Q808" s="3"/>
      <c r="R808" s="3"/>
      <c r="S808" s="3"/>
    </row>
    <row r="809" spans="2:19" x14ac:dyDescent="0.3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18"/>
      <c r="N809" s="3"/>
      <c r="O809" s="3"/>
      <c r="P809" s="3"/>
      <c r="Q809" s="3"/>
      <c r="R809" s="3"/>
      <c r="S809" s="3"/>
    </row>
    <row r="810" spans="2:19" x14ac:dyDescent="0.3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18"/>
      <c r="N810" s="3"/>
      <c r="O810" s="3"/>
      <c r="P810" s="3"/>
      <c r="Q810" s="3"/>
      <c r="R810" s="3"/>
      <c r="S810" s="3"/>
    </row>
    <row r="811" spans="2:19" x14ac:dyDescent="0.3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18"/>
      <c r="N811" s="3"/>
      <c r="O811" s="3"/>
      <c r="P811" s="3"/>
      <c r="Q811" s="3"/>
      <c r="R811" s="3"/>
      <c r="S811" s="3"/>
    </row>
    <row r="812" spans="2:19" x14ac:dyDescent="0.3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18"/>
      <c r="N812" s="3"/>
      <c r="O812" s="3"/>
      <c r="P812" s="3"/>
      <c r="Q812" s="3"/>
      <c r="R812" s="3"/>
      <c r="S812" s="3"/>
    </row>
    <row r="813" spans="2:19" x14ac:dyDescent="0.3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18"/>
      <c r="N813" s="3"/>
      <c r="O813" s="3"/>
      <c r="P813" s="3"/>
      <c r="Q813" s="3"/>
      <c r="R813" s="3"/>
      <c r="S813" s="3"/>
    </row>
    <row r="814" spans="2:19" x14ac:dyDescent="0.3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18"/>
      <c r="N814" s="3"/>
      <c r="O814" s="3"/>
      <c r="P814" s="3"/>
      <c r="Q814" s="3"/>
      <c r="R814" s="3"/>
      <c r="S814" s="3"/>
    </row>
    <row r="815" spans="2:19" x14ac:dyDescent="0.3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18"/>
      <c r="N815" s="3"/>
      <c r="O815" s="3"/>
      <c r="P815" s="3"/>
      <c r="Q815" s="3"/>
      <c r="R815" s="3"/>
      <c r="S815" s="3"/>
    </row>
    <row r="816" spans="2:19" x14ac:dyDescent="0.3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18"/>
      <c r="N816" s="3"/>
      <c r="O816" s="3"/>
      <c r="P816" s="3"/>
      <c r="Q816" s="3"/>
      <c r="R816" s="3"/>
      <c r="S816" s="3"/>
    </row>
    <row r="817" spans="2:19" x14ac:dyDescent="0.3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18"/>
      <c r="N817" s="3"/>
      <c r="O817" s="3"/>
      <c r="P817" s="3"/>
      <c r="Q817" s="3"/>
      <c r="R817" s="3"/>
      <c r="S817" s="3"/>
    </row>
    <row r="818" spans="2:19" x14ac:dyDescent="0.3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18"/>
      <c r="N818" s="3"/>
      <c r="O818" s="3"/>
      <c r="P818" s="3"/>
      <c r="Q818" s="3"/>
      <c r="R818" s="3"/>
      <c r="S818" s="3"/>
    </row>
    <row r="819" spans="2:19" x14ac:dyDescent="0.3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18"/>
      <c r="N819" s="3"/>
      <c r="O819" s="3"/>
      <c r="P819" s="3"/>
      <c r="Q819" s="3"/>
      <c r="R819" s="3"/>
      <c r="S819" s="3"/>
    </row>
    <row r="820" spans="2:19" x14ac:dyDescent="0.3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18"/>
      <c r="N820" s="3"/>
      <c r="O820" s="3"/>
      <c r="P820" s="3"/>
      <c r="Q820" s="3"/>
      <c r="R820" s="3"/>
      <c r="S820" s="3"/>
    </row>
    <row r="821" spans="2:19" x14ac:dyDescent="0.3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18"/>
      <c r="N821" s="3"/>
      <c r="O821" s="3"/>
      <c r="P821" s="3"/>
      <c r="Q821" s="3"/>
      <c r="R821" s="3"/>
      <c r="S821" s="3"/>
    </row>
    <row r="822" spans="2:19" x14ac:dyDescent="0.3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18"/>
      <c r="N822" s="3"/>
      <c r="O822" s="3"/>
      <c r="P822" s="3"/>
      <c r="Q822" s="3"/>
      <c r="R822" s="3"/>
      <c r="S822" s="3"/>
    </row>
    <row r="823" spans="2:19" x14ac:dyDescent="0.3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18"/>
      <c r="N823" s="3"/>
      <c r="O823" s="3"/>
      <c r="P823" s="3"/>
      <c r="Q823" s="3"/>
      <c r="R823" s="3"/>
      <c r="S823" s="3"/>
    </row>
    <row r="824" spans="2:19" x14ac:dyDescent="0.3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18"/>
      <c r="N824" s="3"/>
      <c r="O824" s="3"/>
      <c r="P824" s="3"/>
      <c r="Q824" s="3"/>
      <c r="R824" s="3"/>
      <c r="S824" s="3"/>
    </row>
    <row r="825" spans="2:19" x14ac:dyDescent="0.3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18"/>
      <c r="N825" s="3"/>
      <c r="O825" s="3"/>
      <c r="P825" s="3"/>
      <c r="Q825" s="3"/>
      <c r="R825" s="3"/>
      <c r="S825" s="3"/>
    </row>
    <row r="826" spans="2:19" x14ac:dyDescent="0.3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18"/>
      <c r="N826" s="3"/>
      <c r="O826" s="3"/>
      <c r="P826" s="3"/>
      <c r="Q826" s="3"/>
      <c r="R826" s="3"/>
      <c r="S826" s="3"/>
    </row>
    <row r="827" spans="2:19" x14ac:dyDescent="0.3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18"/>
      <c r="N827" s="3"/>
      <c r="O827" s="3"/>
      <c r="P827" s="3"/>
      <c r="Q827" s="3"/>
      <c r="R827" s="3"/>
      <c r="S827" s="3"/>
    </row>
    <row r="828" spans="2:19" x14ac:dyDescent="0.3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18"/>
      <c r="N828" s="3"/>
      <c r="O828" s="3"/>
      <c r="P828" s="3"/>
      <c r="Q828" s="3"/>
      <c r="R828" s="3"/>
      <c r="S828" s="3"/>
    </row>
    <row r="829" spans="2:19" x14ac:dyDescent="0.3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18"/>
      <c r="N829" s="3"/>
      <c r="O829" s="3"/>
      <c r="P829" s="3"/>
      <c r="Q829" s="3"/>
      <c r="R829" s="3"/>
      <c r="S829" s="3"/>
    </row>
    <row r="830" spans="2:19" x14ac:dyDescent="0.3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18"/>
      <c r="N830" s="3"/>
      <c r="O830" s="3"/>
      <c r="P830" s="3"/>
      <c r="Q830" s="3"/>
      <c r="R830" s="3"/>
      <c r="S830" s="3"/>
    </row>
    <row r="831" spans="2:19" x14ac:dyDescent="0.3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18"/>
      <c r="N831" s="3"/>
      <c r="O831" s="3"/>
      <c r="P831" s="3"/>
      <c r="Q831" s="3"/>
      <c r="R831" s="3"/>
      <c r="S831" s="3"/>
    </row>
    <row r="832" spans="2:19" x14ac:dyDescent="0.3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18"/>
      <c r="N832" s="3"/>
      <c r="O832" s="3"/>
      <c r="P832" s="3"/>
      <c r="Q832" s="3"/>
      <c r="R832" s="3"/>
      <c r="S832" s="3"/>
    </row>
    <row r="833" spans="2:19" x14ac:dyDescent="0.3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18"/>
      <c r="N833" s="3"/>
      <c r="O833" s="3"/>
      <c r="P833" s="3"/>
      <c r="Q833" s="3"/>
      <c r="R833" s="3"/>
      <c r="S833" s="3"/>
    </row>
    <row r="834" spans="2:19" x14ac:dyDescent="0.3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18"/>
      <c r="N834" s="3"/>
      <c r="O834" s="3"/>
      <c r="P834" s="3"/>
      <c r="Q834" s="3"/>
      <c r="R834" s="3"/>
      <c r="S834" s="3"/>
    </row>
    <row r="835" spans="2:19" x14ac:dyDescent="0.3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18"/>
      <c r="N835" s="3"/>
      <c r="O835" s="3"/>
      <c r="P835" s="3"/>
      <c r="Q835" s="3"/>
      <c r="R835" s="3"/>
      <c r="S835" s="3"/>
    </row>
    <row r="836" spans="2:19" x14ac:dyDescent="0.3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18"/>
      <c r="N836" s="3"/>
      <c r="O836" s="3"/>
      <c r="P836" s="3"/>
      <c r="Q836" s="3"/>
      <c r="R836" s="3"/>
      <c r="S836" s="3"/>
    </row>
    <row r="837" spans="2:19" x14ac:dyDescent="0.3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18"/>
      <c r="N837" s="3"/>
      <c r="O837" s="3"/>
      <c r="P837" s="3"/>
      <c r="Q837" s="3"/>
      <c r="R837" s="3"/>
      <c r="S837" s="3"/>
    </row>
    <row r="838" spans="2:19" x14ac:dyDescent="0.3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18"/>
      <c r="N838" s="3"/>
      <c r="O838" s="3"/>
      <c r="P838" s="3"/>
      <c r="Q838" s="3"/>
      <c r="R838" s="3"/>
      <c r="S838" s="3"/>
    </row>
    <row r="839" spans="2:19" x14ac:dyDescent="0.3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18"/>
      <c r="N839" s="3"/>
      <c r="O839" s="3"/>
      <c r="P839" s="3"/>
      <c r="Q839" s="3"/>
      <c r="R839" s="3"/>
      <c r="S839" s="3"/>
    </row>
    <row r="840" spans="2:19" x14ac:dyDescent="0.3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18"/>
      <c r="N840" s="3"/>
      <c r="O840" s="3"/>
      <c r="P840" s="3"/>
      <c r="Q840" s="3"/>
      <c r="R840" s="3"/>
      <c r="S840" s="3"/>
    </row>
    <row r="841" spans="2:19" x14ac:dyDescent="0.3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18"/>
      <c r="N841" s="3"/>
      <c r="O841" s="3"/>
      <c r="P841" s="3"/>
      <c r="Q841" s="3"/>
      <c r="R841" s="3"/>
      <c r="S841" s="3"/>
    </row>
    <row r="842" spans="2:19" x14ac:dyDescent="0.3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18"/>
      <c r="N842" s="3"/>
      <c r="O842" s="3"/>
      <c r="P842" s="3"/>
      <c r="Q842" s="3"/>
      <c r="R842" s="3"/>
      <c r="S842" s="3"/>
    </row>
    <row r="843" spans="2:19" x14ac:dyDescent="0.3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18"/>
      <c r="N843" s="3"/>
      <c r="O843" s="3"/>
      <c r="P843" s="3"/>
      <c r="Q843" s="3"/>
      <c r="R843" s="3"/>
      <c r="S843" s="3"/>
    </row>
    <row r="844" spans="2:19" x14ac:dyDescent="0.3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18"/>
      <c r="N844" s="3"/>
      <c r="O844" s="3"/>
      <c r="P844" s="3"/>
      <c r="Q844" s="3"/>
      <c r="R844" s="3"/>
      <c r="S844" s="3"/>
    </row>
    <row r="845" spans="2:19" x14ac:dyDescent="0.3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18"/>
      <c r="N845" s="3"/>
      <c r="O845" s="3"/>
      <c r="P845" s="3"/>
      <c r="Q845" s="3"/>
      <c r="R845" s="3"/>
      <c r="S845" s="3"/>
    </row>
    <row r="846" spans="2:19" x14ac:dyDescent="0.3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18"/>
      <c r="N846" s="3"/>
      <c r="O846" s="3"/>
      <c r="P846" s="3"/>
      <c r="Q846" s="3"/>
      <c r="R846" s="3"/>
      <c r="S846" s="3"/>
    </row>
    <row r="847" spans="2:19" x14ac:dyDescent="0.3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18"/>
      <c r="N847" s="3"/>
      <c r="O847" s="3"/>
      <c r="P847" s="3"/>
      <c r="Q847" s="3"/>
      <c r="R847" s="3"/>
      <c r="S847" s="3"/>
    </row>
    <row r="848" spans="2:19" x14ac:dyDescent="0.3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18"/>
      <c r="N848" s="3"/>
      <c r="O848" s="3"/>
      <c r="P848" s="3"/>
      <c r="Q848" s="3"/>
      <c r="R848" s="3"/>
      <c r="S848" s="3"/>
    </row>
    <row r="849" spans="2:19" x14ac:dyDescent="0.3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18"/>
      <c r="N849" s="3"/>
      <c r="O849" s="3"/>
      <c r="P849" s="3"/>
      <c r="Q849" s="3"/>
      <c r="R849" s="3"/>
      <c r="S849" s="3"/>
    </row>
    <row r="850" spans="2:19" x14ac:dyDescent="0.3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18"/>
      <c r="N850" s="3"/>
      <c r="O850" s="3"/>
      <c r="P850" s="3"/>
      <c r="Q850" s="3"/>
      <c r="R850" s="3"/>
      <c r="S850" s="3"/>
    </row>
    <row r="851" spans="2:19" x14ac:dyDescent="0.3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18"/>
      <c r="N851" s="3"/>
      <c r="O851" s="3"/>
      <c r="P851" s="3"/>
      <c r="Q851" s="3"/>
      <c r="R851" s="3"/>
      <c r="S851" s="3"/>
    </row>
    <row r="852" spans="2:19" x14ac:dyDescent="0.3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18"/>
      <c r="N852" s="3"/>
      <c r="O852" s="3"/>
      <c r="P852" s="3"/>
      <c r="Q852" s="3"/>
      <c r="R852" s="3"/>
      <c r="S852" s="3"/>
    </row>
    <row r="853" spans="2:19" x14ac:dyDescent="0.3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18"/>
      <c r="N853" s="3"/>
      <c r="O853" s="3"/>
      <c r="P853" s="3"/>
      <c r="Q853" s="3"/>
      <c r="R853" s="3"/>
      <c r="S853" s="3"/>
    </row>
    <row r="854" spans="2:19" x14ac:dyDescent="0.3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18"/>
      <c r="N854" s="3"/>
      <c r="O854" s="3"/>
      <c r="P854" s="3"/>
      <c r="Q854" s="3"/>
      <c r="R854" s="3"/>
      <c r="S854" s="3"/>
    </row>
    <row r="855" spans="2:19" x14ac:dyDescent="0.3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18"/>
      <c r="N855" s="3"/>
      <c r="O855" s="3"/>
      <c r="P855" s="3"/>
      <c r="Q855" s="3"/>
      <c r="R855" s="3"/>
      <c r="S855" s="3"/>
    </row>
    <row r="856" spans="2:19" x14ac:dyDescent="0.3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18"/>
      <c r="N856" s="3"/>
      <c r="O856" s="3"/>
      <c r="P856" s="3"/>
      <c r="Q856" s="3"/>
      <c r="R856" s="3"/>
      <c r="S856" s="3"/>
    </row>
    <row r="857" spans="2:19" x14ac:dyDescent="0.3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18"/>
      <c r="N857" s="3"/>
      <c r="O857" s="3"/>
      <c r="P857" s="3"/>
      <c r="Q857" s="3"/>
      <c r="R857" s="3"/>
      <c r="S857" s="3"/>
    </row>
    <row r="858" spans="2:19" x14ac:dyDescent="0.3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18"/>
      <c r="N858" s="3"/>
      <c r="O858" s="3"/>
      <c r="P858" s="3"/>
      <c r="Q858" s="3"/>
      <c r="R858" s="3"/>
      <c r="S858" s="3"/>
    </row>
    <row r="859" spans="2:19" x14ac:dyDescent="0.3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18"/>
      <c r="N859" s="3"/>
      <c r="O859" s="3"/>
      <c r="P859" s="3"/>
      <c r="Q859" s="3"/>
      <c r="R859" s="3"/>
      <c r="S859" s="3"/>
    </row>
    <row r="860" spans="2:19" x14ac:dyDescent="0.3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18"/>
      <c r="N860" s="3"/>
      <c r="O860" s="3"/>
      <c r="P860" s="3"/>
      <c r="Q860" s="3"/>
      <c r="R860" s="3"/>
      <c r="S860" s="3"/>
    </row>
    <row r="861" spans="2:19" x14ac:dyDescent="0.3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18"/>
      <c r="N861" s="3"/>
      <c r="O861" s="3"/>
      <c r="P861" s="3"/>
      <c r="Q861" s="3"/>
      <c r="R861" s="3"/>
      <c r="S861" s="3"/>
    </row>
    <row r="862" spans="2:19" x14ac:dyDescent="0.3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18"/>
      <c r="N862" s="3"/>
      <c r="O862" s="3"/>
      <c r="P862" s="3"/>
      <c r="Q862" s="3"/>
      <c r="R862" s="3"/>
      <c r="S862" s="3"/>
    </row>
    <row r="863" spans="2:19" x14ac:dyDescent="0.3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18"/>
      <c r="N863" s="3"/>
      <c r="O863" s="3"/>
      <c r="P863" s="3"/>
      <c r="Q863" s="3"/>
      <c r="R863" s="3"/>
      <c r="S863" s="3"/>
    </row>
    <row r="864" spans="2:19" x14ac:dyDescent="0.3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18"/>
      <c r="N864" s="3"/>
      <c r="O864" s="3"/>
      <c r="P864" s="3"/>
      <c r="Q864" s="3"/>
      <c r="R864" s="3"/>
      <c r="S864" s="3"/>
    </row>
    <row r="865" spans="2:19" x14ac:dyDescent="0.3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18"/>
      <c r="N865" s="3"/>
      <c r="O865" s="3"/>
      <c r="P865" s="3"/>
      <c r="Q865" s="3"/>
      <c r="R865" s="3"/>
      <c r="S865" s="3"/>
    </row>
    <row r="866" spans="2:19" x14ac:dyDescent="0.3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18"/>
      <c r="N866" s="3"/>
      <c r="O866" s="3"/>
      <c r="P866" s="3"/>
      <c r="Q866" s="3"/>
      <c r="R866" s="3"/>
      <c r="S866" s="3"/>
    </row>
    <row r="867" spans="2:19" x14ac:dyDescent="0.3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18"/>
      <c r="N867" s="3"/>
      <c r="O867" s="3"/>
      <c r="P867" s="3"/>
      <c r="Q867" s="3"/>
      <c r="R867" s="3"/>
      <c r="S867" s="3"/>
    </row>
    <row r="868" spans="2:19" x14ac:dyDescent="0.3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18"/>
      <c r="N868" s="3"/>
      <c r="O868" s="3"/>
      <c r="P868" s="3"/>
      <c r="Q868" s="3"/>
      <c r="R868" s="3"/>
      <c r="S868" s="3"/>
    </row>
    <row r="869" spans="2:19" x14ac:dyDescent="0.3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18"/>
      <c r="N869" s="3"/>
      <c r="O869" s="3"/>
      <c r="P869" s="3"/>
      <c r="Q869" s="3"/>
      <c r="R869" s="3"/>
      <c r="S869" s="3"/>
    </row>
    <row r="870" spans="2:19" x14ac:dyDescent="0.3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18"/>
      <c r="N870" s="3"/>
      <c r="O870" s="3"/>
      <c r="P870" s="3"/>
      <c r="Q870" s="3"/>
      <c r="R870" s="3"/>
      <c r="S870" s="3"/>
    </row>
    <row r="871" spans="2:19" x14ac:dyDescent="0.3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18"/>
      <c r="N871" s="3"/>
      <c r="O871" s="3"/>
      <c r="P871" s="3"/>
      <c r="Q871" s="3"/>
      <c r="R871" s="3"/>
      <c r="S871" s="3"/>
    </row>
    <row r="872" spans="2:19" x14ac:dyDescent="0.3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18"/>
      <c r="N872" s="3"/>
      <c r="O872" s="3"/>
      <c r="P872" s="3"/>
      <c r="Q872" s="3"/>
      <c r="R872" s="3"/>
      <c r="S872" s="3"/>
    </row>
    <row r="873" spans="2:19" x14ac:dyDescent="0.3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18"/>
      <c r="N873" s="3"/>
      <c r="O873" s="3"/>
      <c r="P873" s="3"/>
      <c r="Q873" s="3"/>
      <c r="R873" s="3"/>
      <c r="S873" s="3"/>
    </row>
    <row r="874" spans="2:19" x14ac:dyDescent="0.3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18"/>
      <c r="N874" s="3"/>
      <c r="O874" s="3"/>
      <c r="P874" s="3"/>
      <c r="Q874" s="3"/>
      <c r="R874" s="3"/>
      <c r="S874" s="3"/>
    </row>
    <row r="875" spans="2:19" x14ac:dyDescent="0.3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18"/>
      <c r="N875" s="3"/>
      <c r="O875" s="3"/>
      <c r="P875" s="3"/>
      <c r="Q875" s="3"/>
      <c r="R875" s="3"/>
      <c r="S875" s="3"/>
    </row>
    <row r="876" spans="2:19" x14ac:dyDescent="0.3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18"/>
      <c r="N876" s="3"/>
      <c r="O876" s="3"/>
      <c r="P876" s="3"/>
      <c r="Q876" s="3"/>
      <c r="R876" s="3"/>
      <c r="S876" s="3"/>
    </row>
    <row r="877" spans="2:19" x14ac:dyDescent="0.3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18"/>
      <c r="N877" s="3"/>
      <c r="O877" s="3"/>
      <c r="P877" s="3"/>
      <c r="Q877" s="3"/>
      <c r="R877" s="3"/>
      <c r="S877" s="3"/>
    </row>
    <row r="878" spans="2:19" x14ac:dyDescent="0.3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18"/>
      <c r="N878" s="3"/>
      <c r="O878" s="3"/>
      <c r="P878" s="3"/>
      <c r="Q878" s="3"/>
      <c r="R878" s="3"/>
      <c r="S878" s="3"/>
    </row>
    <row r="879" spans="2:19" x14ac:dyDescent="0.3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18"/>
      <c r="N879" s="3"/>
      <c r="O879" s="3"/>
      <c r="P879" s="3"/>
      <c r="Q879" s="3"/>
      <c r="R879" s="3"/>
      <c r="S879" s="3"/>
    </row>
    <row r="880" spans="2:19" x14ac:dyDescent="0.3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18"/>
      <c r="N880" s="3"/>
      <c r="O880" s="3"/>
      <c r="P880" s="3"/>
      <c r="Q880" s="3"/>
      <c r="R880" s="3"/>
      <c r="S880" s="3"/>
    </row>
    <row r="881" spans="2:19" x14ac:dyDescent="0.3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18"/>
      <c r="N881" s="3"/>
      <c r="O881" s="3"/>
      <c r="P881" s="3"/>
      <c r="Q881" s="3"/>
      <c r="R881" s="3"/>
      <c r="S881" s="3"/>
    </row>
    <row r="882" spans="2:19" x14ac:dyDescent="0.3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18"/>
      <c r="N882" s="3"/>
      <c r="O882" s="3"/>
      <c r="P882" s="3"/>
      <c r="Q882" s="3"/>
      <c r="R882" s="3"/>
      <c r="S882" s="3"/>
    </row>
    <row r="883" spans="2:19" x14ac:dyDescent="0.3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18"/>
      <c r="N883" s="3"/>
      <c r="O883" s="3"/>
      <c r="P883" s="3"/>
      <c r="Q883" s="3"/>
      <c r="R883" s="3"/>
      <c r="S883" s="3"/>
    </row>
    <row r="884" spans="2:19" x14ac:dyDescent="0.3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18"/>
      <c r="N884" s="3"/>
      <c r="O884" s="3"/>
      <c r="P884" s="3"/>
      <c r="Q884" s="3"/>
      <c r="R884" s="3"/>
      <c r="S884" s="3"/>
    </row>
    <row r="885" spans="2:19" x14ac:dyDescent="0.3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18"/>
      <c r="N885" s="3"/>
      <c r="O885" s="3"/>
      <c r="P885" s="3"/>
      <c r="Q885" s="3"/>
      <c r="R885" s="3"/>
      <c r="S885" s="3"/>
    </row>
    <row r="886" spans="2:19" x14ac:dyDescent="0.3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18"/>
      <c r="N886" s="3"/>
      <c r="O886" s="3"/>
      <c r="P886" s="3"/>
      <c r="Q886" s="3"/>
      <c r="R886" s="3"/>
      <c r="S886" s="3"/>
    </row>
    <row r="887" spans="2:19" x14ac:dyDescent="0.3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18"/>
      <c r="N887" s="3"/>
      <c r="O887" s="3"/>
      <c r="P887" s="3"/>
      <c r="Q887" s="3"/>
      <c r="R887" s="3"/>
      <c r="S887" s="3"/>
    </row>
    <row r="888" spans="2:19" x14ac:dyDescent="0.3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18"/>
      <c r="N888" s="3"/>
      <c r="O888" s="3"/>
      <c r="P888" s="3"/>
      <c r="Q888" s="3"/>
      <c r="R888" s="3"/>
      <c r="S888" s="3"/>
    </row>
    <row r="889" spans="2:19" x14ac:dyDescent="0.3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18"/>
      <c r="N889" s="3"/>
      <c r="O889" s="3"/>
      <c r="P889" s="3"/>
      <c r="Q889" s="3"/>
      <c r="R889" s="3"/>
      <c r="S889" s="3"/>
    </row>
    <row r="890" spans="2:19" x14ac:dyDescent="0.3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18"/>
      <c r="N890" s="3"/>
      <c r="O890" s="3"/>
      <c r="P890" s="3"/>
      <c r="Q890" s="3"/>
      <c r="R890" s="3"/>
      <c r="S890" s="3"/>
    </row>
    <row r="891" spans="2:19" x14ac:dyDescent="0.3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18"/>
      <c r="N891" s="3"/>
      <c r="O891" s="3"/>
      <c r="P891" s="3"/>
      <c r="Q891" s="3"/>
      <c r="R891" s="3"/>
      <c r="S891" s="3"/>
    </row>
    <row r="892" spans="2:19" x14ac:dyDescent="0.3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18"/>
      <c r="N892" s="3"/>
      <c r="O892" s="3"/>
      <c r="P892" s="3"/>
      <c r="Q892" s="3"/>
      <c r="R892" s="3"/>
      <c r="S892" s="3"/>
    </row>
    <row r="893" spans="2:19" x14ac:dyDescent="0.3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18"/>
      <c r="N893" s="3"/>
      <c r="O893" s="3"/>
      <c r="P893" s="3"/>
      <c r="Q893" s="3"/>
      <c r="R893" s="3"/>
      <c r="S893" s="3"/>
    </row>
    <row r="894" spans="2:19" x14ac:dyDescent="0.3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18"/>
      <c r="N894" s="3"/>
      <c r="O894" s="3"/>
      <c r="P894" s="3"/>
      <c r="Q894" s="3"/>
      <c r="R894" s="3"/>
      <c r="S894" s="3"/>
    </row>
    <row r="895" spans="2:19" x14ac:dyDescent="0.3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18"/>
      <c r="N895" s="3"/>
      <c r="O895" s="3"/>
      <c r="P895" s="3"/>
      <c r="Q895" s="3"/>
      <c r="R895" s="3"/>
      <c r="S895" s="3"/>
    </row>
    <row r="896" spans="2:19" x14ac:dyDescent="0.3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18"/>
      <c r="N896" s="3"/>
      <c r="O896" s="3"/>
      <c r="P896" s="3"/>
      <c r="Q896" s="3"/>
      <c r="R896" s="3"/>
      <c r="S896" s="3"/>
    </row>
    <row r="897" spans="2:19" x14ac:dyDescent="0.3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18"/>
      <c r="N897" s="3"/>
      <c r="O897" s="3"/>
      <c r="P897" s="3"/>
      <c r="Q897" s="3"/>
      <c r="R897" s="3"/>
      <c r="S897" s="3"/>
    </row>
    <row r="898" spans="2:19" x14ac:dyDescent="0.3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18"/>
      <c r="N898" s="3"/>
      <c r="O898" s="3"/>
      <c r="P898" s="3"/>
      <c r="Q898" s="3"/>
      <c r="R898" s="3"/>
      <c r="S898" s="3"/>
    </row>
    <row r="899" spans="2:19" x14ac:dyDescent="0.3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18"/>
      <c r="N899" s="3"/>
      <c r="O899" s="3"/>
      <c r="P899" s="3"/>
      <c r="Q899" s="3"/>
      <c r="R899" s="3"/>
      <c r="S899" s="3"/>
    </row>
    <row r="900" spans="2:19" x14ac:dyDescent="0.3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18"/>
      <c r="N900" s="3"/>
      <c r="O900" s="3"/>
      <c r="P900" s="3"/>
      <c r="Q900" s="3"/>
      <c r="R900" s="3"/>
      <c r="S900" s="3"/>
    </row>
    <row r="901" spans="2:19" x14ac:dyDescent="0.3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18"/>
      <c r="N901" s="3"/>
      <c r="O901" s="3"/>
      <c r="P901" s="3"/>
      <c r="Q901" s="3"/>
      <c r="R901" s="3"/>
      <c r="S901" s="3"/>
    </row>
    <row r="902" spans="2:19" x14ac:dyDescent="0.3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18"/>
      <c r="N902" s="3"/>
      <c r="O902" s="3"/>
      <c r="P902" s="3"/>
      <c r="Q902" s="3"/>
      <c r="R902" s="3"/>
      <c r="S902" s="3"/>
    </row>
    <row r="903" spans="2:19" x14ac:dyDescent="0.3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18"/>
      <c r="N903" s="3"/>
      <c r="O903" s="3"/>
      <c r="P903" s="3"/>
      <c r="Q903" s="3"/>
      <c r="R903" s="3"/>
      <c r="S903" s="3"/>
    </row>
    <row r="904" spans="2:19" x14ac:dyDescent="0.3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18"/>
      <c r="N904" s="3"/>
      <c r="O904" s="3"/>
      <c r="P904" s="3"/>
      <c r="Q904" s="3"/>
      <c r="R904" s="3"/>
      <c r="S904" s="3"/>
    </row>
    <row r="905" spans="2:19" x14ac:dyDescent="0.3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18"/>
      <c r="N905" s="3"/>
      <c r="O905" s="3"/>
      <c r="P905" s="3"/>
      <c r="Q905" s="3"/>
      <c r="R905" s="3"/>
      <c r="S905" s="3"/>
    </row>
    <row r="906" spans="2:19" x14ac:dyDescent="0.3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18"/>
      <c r="N906" s="3"/>
      <c r="O906" s="3"/>
      <c r="P906" s="3"/>
      <c r="Q906" s="3"/>
      <c r="R906" s="3"/>
      <c r="S906" s="3"/>
    </row>
    <row r="907" spans="2:19" x14ac:dyDescent="0.3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18"/>
      <c r="N907" s="3"/>
      <c r="O907" s="3"/>
      <c r="P907" s="3"/>
      <c r="Q907" s="3"/>
      <c r="R907" s="3"/>
      <c r="S907" s="3"/>
    </row>
    <row r="908" spans="2:19" x14ac:dyDescent="0.3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18"/>
      <c r="N908" s="3"/>
      <c r="O908" s="3"/>
      <c r="P908" s="3"/>
      <c r="Q908" s="3"/>
      <c r="R908" s="3"/>
      <c r="S908" s="3"/>
    </row>
    <row r="909" spans="2:19" x14ac:dyDescent="0.3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18"/>
      <c r="N909" s="3"/>
      <c r="O909" s="3"/>
      <c r="P909" s="3"/>
      <c r="Q909" s="3"/>
      <c r="R909" s="3"/>
      <c r="S909" s="3"/>
    </row>
    <row r="910" spans="2:19" x14ac:dyDescent="0.3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18"/>
      <c r="N910" s="3"/>
      <c r="O910" s="3"/>
      <c r="P910" s="3"/>
      <c r="Q910" s="3"/>
      <c r="R910" s="3"/>
      <c r="S910" s="3"/>
    </row>
    <row r="911" spans="2:19" x14ac:dyDescent="0.3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18"/>
      <c r="N911" s="3"/>
      <c r="O911" s="3"/>
      <c r="P911" s="3"/>
      <c r="Q911" s="3"/>
      <c r="R911" s="3"/>
      <c r="S911" s="3"/>
    </row>
    <row r="912" spans="2:19" x14ac:dyDescent="0.3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18"/>
      <c r="N912" s="3"/>
      <c r="O912" s="3"/>
      <c r="P912" s="3"/>
      <c r="Q912" s="3"/>
      <c r="R912" s="3"/>
      <c r="S912" s="3"/>
    </row>
    <row r="913" spans="2:19" x14ac:dyDescent="0.3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18"/>
      <c r="N913" s="3"/>
      <c r="O913" s="3"/>
      <c r="P913" s="3"/>
      <c r="Q913" s="3"/>
      <c r="R913" s="3"/>
      <c r="S913" s="3"/>
    </row>
    <row r="914" spans="2:19" x14ac:dyDescent="0.3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18"/>
      <c r="N914" s="3"/>
      <c r="O914" s="3"/>
      <c r="P914" s="3"/>
      <c r="Q914" s="3"/>
      <c r="R914" s="3"/>
      <c r="S914" s="3"/>
    </row>
    <row r="915" spans="2:19" x14ac:dyDescent="0.3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18"/>
      <c r="N915" s="3"/>
      <c r="O915" s="3"/>
      <c r="P915" s="3"/>
      <c r="Q915" s="3"/>
      <c r="R915" s="3"/>
      <c r="S915" s="3"/>
    </row>
    <row r="916" spans="2:19" x14ac:dyDescent="0.3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18"/>
      <c r="N916" s="3"/>
      <c r="O916" s="3"/>
      <c r="P916" s="3"/>
      <c r="Q916" s="3"/>
      <c r="R916" s="3"/>
      <c r="S916" s="3"/>
    </row>
    <row r="917" spans="2:19" x14ac:dyDescent="0.3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18"/>
      <c r="N917" s="3"/>
      <c r="O917" s="3"/>
      <c r="P917" s="3"/>
      <c r="Q917" s="3"/>
      <c r="R917" s="3"/>
      <c r="S917" s="3"/>
    </row>
    <row r="918" spans="2:19" x14ac:dyDescent="0.3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18"/>
      <c r="N918" s="3"/>
      <c r="O918" s="3"/>
      <c r="P918" s="3"/>
      <c r="Q918" s="3"/>
      <c r="R918" s="3"/>
      <c r="S918" s="3"/>
    </row>
    <row r="919" spans="2:19" x14ac:dyDescent="0.3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18"/>
      <c r="N919" s="3"/>
      <c r="O919" s="3"/>
      <c r="P919" s="3"/>
      <c r="Q919" s="3"/>
      <c r="R919" s="3"/>
      <c r="S919" s="3"/>
    </row>
    <row r="920" spans="2:19" x14ac:dyDescent="0.3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18"/>
      <c r="N920" s="3"/>
      <c r="O920" s="3"/>
      <c r="P920" s="3"/>
      <c r="Q920" s="3"/>
      <c r="R920" s="3"/>
      <c r="S920" s="3"/>
    </row>
    <row r="921" spans="2:19" x14ac:dyDescent="0.3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18"/>
      <c r="N921" s="3"/>
      <c r="O921" s="3"/>
      <c r="P921" s="3"/>
      <c r="Q921" s="3"/>
      <c r="R921" s="3"/>
      <c r="S921" s="3"/>
    </row>
    <row r="922" spans="2:19" x14ac:dyDescent="0.3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18"/>
      <c r="N922" s="3"/>
      <c r="O922" s="3"/>
      <c r="P922" s="3"/>
      <c r="Q922" s="3"/>
      <c r="R922" s="3"/>
      <c r="S922" s="3"/>
    </row>
    <row r="923" spans="2:19" x14ac:dyDescent="0.3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18"/>
      <c r="N923" s="3"/>
      <c r="O923" s="3"/>
      <c r="P923" s="3"/>
      <c r="Q923" s="3"/>
      <c r="R923" s="3"/>
      <c r="S923" s="3"/>
    </row>
    <row r="924" spans="2:19" x14ac:dyDescent="0.3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18"/>
      <c r="N924" s="3"/>
      <c r="O924" s="3"/>
      <c r="P924" s="3"/>
      <c r="Q924" s="3"/>
      <c r="R924" s="3"/>
      <c r="S924" s="3"/>
    </row>
    <row r="925" spans="2:19" x14ac:dyDescent="0.3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18"/>
      <c r="N925" s="3"/>
      <c r="O925" s="3"/>
      <c r="P925" s="3"/>
      <c r="Q925" s="3"/>
      <c r="R925" s="3"/>
      <c r="S925" s="3"/>
    </row>
    <row r="926" spans="2:19" x14ac:dyDescent="0.3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18"/>
      <c r="N926" s="3"/>
      <c r="O926" s="3"/>
      <c r="P926" s="3"/>
      <c r="Q926" s="3"/>
      <c r="R926" s="3"/>
      <c r="S926" s="3"/>
    </row>
    <row r="927" spans="2:19" x14ac:dyDescent="0.3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18"/>
      <c r="N927" s="3"/>
      <c r="O927" s="3"/>
      <c r="P927" s="3"/>
      <c r="Q927" s="3"/>
      <c r="R927" s="3"/>
      <c r="S927" s="3"/>
    </row>
    <row r="928" spans="2:19" x14ac:dyDescent="0.3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18"/>
      <c r="N928" s="3"/>
      <c r="O928" s="3"/>
      <c r="P928" s="3"/>
      <c r="Q928" s="3"/>
      <c r="R928" s="3"/>
      <c r="S928" s="3"/>
    </row>
    <row r="929" spans="2:19" x14ac:dyDescent="0.3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18"/>
      <c r="N929" s="3"/>
      <c r="O929" s="3"/>
      <c r="P929" s="3"/>
      <c r="Q929" s="3"/>
      <c r="R929" s="3"/>
      <c r="S929" s="3"/>
    </row>
    <row r="930" spans="2:19" x14ac:dyDescent="0.3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18"/>
      <c r="N930" s="3"/>
      <c r="O930" s="3"/>
      <c r="P930" s="3"/>
      <c r="Q930" s="3"/>
      <c r="R930" s="3"/>
      <c r="S930" s="3"/>
    </row>
    <row r="931" spans="2:19" x14ac:dyDescent="0.3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18"/>
      <c r="N931" s="3"/>
      <c r="O931" s="3"/>
      <c r="P931" s="3"/>
      <c r="Q931" s="3"/>
      <c r="R931" s="3"/>
      <c r="S931" s="3"/>
    </row>
    <row r="932" spans="2:19" x14ac:dyDescent="0.3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18"/>
      <c r="N932" s="3"/>
      <c r="O932" s="3"/>
      <c r="P932" s="3"/>
      <c r="Q932" s="3"/>
      <c r="R932" s="3"/>
      <c r="S932" s="3"/>
    </row>
    <row r="933" spans="2:19" x14ac:dyDescent="0.3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18"/>
      <c r="N933" s="3"/>
      <c r="O933" s="3"/>
      <c r="P933" s="3"/>
      <c r="Q933" s="3"/>
      <c r="R933" s="3"/>
      <c r="S933" s="3"/>
    </row>
    <row r="934" spans="2:19" x14ac:dyDescent="0.3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18"/>
      <c r="N934" s="3"/>
      <c r="O934" s="3"/>
      <c r="P934" s="3"/>
      <c r="Q934" s="3"/>
      <c r="R934" s="3"/>
      <c r="S934" s="3"/>
    </row>
    <row r="935" spans="2:19" x14ac:dyDescent="0.3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18"/>
      <c r="N935" s="3"/>
      <c r="O935" s="3"/>
      <c r="P935" s="3"/>
      <c r="Q935" s="3"/>
      <c r="R935" s="3"/>
      <c r="S935" s="3"/>
    </row>
    <row r="936" spans="2:19" x14ac:dyDescent="0.3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18"/>
      <c r="N936" s="3"/>
      <c r="O936" s="3"/>
      <c r="P936" s="3"/>
      <c r="Q936" s="3"/>
      <c r="R936" s="3"/>
      <c r="S936" s="3"/>
    </row>
    <row r="937" spans="2:19" x14ac:dyDescent="0.3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18"/>
      <c r="N937" s="3"/>
      <c r="O937" s="3"/>
      <c r="P937" s="3"/>
      <c r="Q937" s="3"/>
      <c r="R937" s="3"/>
      <c r="S937" s="3"/>
    </row>
    <row r="938" spans="2:19" x14ac:dyDescent="0.3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18"/>
      <c r="N938" s="3"/>
      <c r="O938" s="3"/>
      <c r="P938" s="3"/>
      <c r="Q938" s="3"/>
      <c r="R938" s="3"/>
      <c r="S938" s="3"/>
    </row>
    <row r="939" spans="2:19" x14ac:dyDescent="0.3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18"/>
      <c r="N939" s="3"/>
      <c r="O939" s="3"/>
      <c r="P939" s="3"/>
      <c r="Q939" s="3"/>
      <c r="R939" s="3"/>
      <c r="S939" s="3"/>
    </row>
    <row r="940" spans="2:19" x14ac:dyDescent="0.3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18"/>
      <c r="N940" s="3"/>
      <c r="O940" s="3"/>
      <c r="P940" s="3"/>
      <c r="Q940" s="3"/>
      <c r="R940" s="3"/>
      <c r="S940" s="3"/>
    </row>
    <row r="941" spans="2:19" x14ac:dyDescent="0.3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18"/>
      <c r="N941" s="3"/>
      <c r="O941" s="3"/>
      <c r="P941" s="3"/>
      <c r="Q941" s="3"/>
      <c r="R941" s="3"/>
      <c r="S941" s="3"/>
    </row>
    <row r="942" spans="2:19" x14ac:dyDescent="0.3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18"/>
      <c r="N942" s="3"/>
      <c r="O942" s="3"/>
      <c r="P942" s="3"/>
      <c r="Q942" s="3"/>
      <c r="R942" s="3"/>
      <c r="S942" s="3"/>
    </row>
    <row r="943" spans="2:19" x14ac:dyDescent="0.3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18"/>
      <c r="N943" s="3"/>
      <c r="O943" s="3"/>
      <c r="P943" s="3"/>
      <c r="Q943" s="3"/>
      <c r="R943" s="3"/>
      <c r="S943" s="3"/>
    </row>
    <row r="944" spans="2:19" x14ac:dyDescent="0.3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18"/>
      <c r="N944" s="3"/>
      <c r="O944" s="3"/>
      <c r="P944" s="3"/>
      <c r="Q944" s="3"/>
      <c r="R944" s="3"/>
      <c r="S944" s="3"/>
    </row>
    <row r="945" spans="2:19" x14ac:dyDescent="0.3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18"/>
      <c r="N945" s="3"/>
      <c r="O945" s="3"/>
      <c r="P945" s="3"/>
      <c r="Q945" s="3"/>
      <c r="R945" s="3"/>
      <c r="S945" s="3"/>
    </row>
    <row r="946" spans="2:19" x14ac:dyDescent="0.3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18"/>
      <c r="N946" s="3"/>
      <c r="O946" s="3"/>
      <c r="P946" s="3"/>
      <c r="Q946" s="3"/>
      <c r="R946" s="3"/>
      <c r="S946" s="3"/>
    </row>
    <row r="947" spans="2:19" x14ac:dyDescent="0.3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18"/>
      <c r="N947" s="3"/>
      <c r="O947" s="3"/>
      <c r="P947" s="3"/>
      <c r="Q947" s="3"/>
      <c r="R947" s="3"/>
      <c r="S947" s="3"/>
    </row>
    <row r="948" spans="2:19" x14ac:dyDescent="0.3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18"/>
      <c r="N948" s="3"/>
      <c r="O948" s="3"/>
      <c r="P948" s="3"/>
      <c r="Q948" s="3"/>
      <c r="R948" s="3"/>
      <c r="S948" s="3"/>
    </row>
    <row r="949" spans="2:19" x14ac:dyDescent="0.3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18"/>
      <c r="N949" s="3"/>
      <c r="O949" s="3"/>
      <c r="P949" s="3"/>
      <c r="Q949" s="3"/>
      <c r="R949" s="3"/>
      <c r="S949" s="3"/>
    </row>
    <row r="950" spans="2:19" x14ac:dyDescent="0.3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18"/>
      <c r="N950" s="3"/>
      <c r="O950" s="3"/>
      <c r="P950" s="3"/>
      <c r="Q950" s="3"/>
      <c r="R950" s="3"/>
      <c r="S950" s="3"/>
    </row>
    <row r="951" spans="2:19" x14ac:dyDescent="0.3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18"/>
      <c r="N951" s="3"/>
      <c r="O951" s="3"/>
      <c r="P951" s="3"/>
      <c r="Q951" s="3"/>
      <c r="R951" s="3"/>
      <c r="S951" s="3"/>
    </row>
    <row r="952" spans="2:19" x14ac:dyDescent="0.3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18"/>
      <c r="N952" s="3"/>
      <c r="O952" s="3"/>
      <c r="P952" s="3"/>
      <c r="Q952" s="3"/>
      <c r="R952" s="3"/>
      <c r="S952" s="3"/>
    </row>
    <row r="953" spans="2:19" x14ac:dyDescent="0.3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18"/>
      <c r="N953" s="3"/>
      <c r="O953" s="3"/>
      <c r="P953" s="3"/>
      <c r="Q953" s="3"/>
      <c r="R953" s="3"/>
      <c r="S953" s="3"/>
    </row>
    <row r="954" spans="2:19" x14ac:dyDescent="0.3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18"/>
      <c r="N954" s="3"/>
      <c r="O954" s="3"/>
      <c r="P954" s="3"/>
      <c r="Q954" s="3"/>
      <c r="R954" s="3"/>
      <c r="S954" s="3"/>
    </row>
    <row r="955" spans="2:19" x14ac:dyDescent="0.3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18"/>
      <c r="N955" s="3"/>
      <c r="O955" s="3"/>
      <c r="P955" s="3"/>
      <c r="Q955" s="3"/>
      <c r="R955" s="3"/>
      <c r="S955" s="3"/>
    </row>
    <row r="956" spans="2:19" x14ac:dyDescent="0.3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18"/>
      <c r="N956" s="3"/>
      <c r="O956" s="3"/>
      <c r="P956" s="3"/>
      <c r="Q956" s="3"/>
      <c r="R956" s="3"/>
      <c r="S956" s="3"/>
    </row>
    <row r="957" spans="2:19" x14ac:dyDescent="0.3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18"/>
      <c r="N957" s="3"/>
      <c r="O957" s="3"/>
      <c r="P957" s="3"/>
      <c r="Q957" s="3"/>
      <c r="R957" s="3"/>
      <c r="S957" s="3"/>
    </row>
    <row r="958" spans="2:19" x14ac:dyDescent="0.3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18"/>
      <c r="N958" s="3"/>
      <c r="O958" s="3"/>
      <c r="P958" s="3"/>
      <c r="Q958" s="3"/>
      <c r="R958" s="3"/>
      <c r="S958" s="3"/>
    </row>
    <row r="959" spans="2:19" x14ac:dyDescent="0.3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18"/>
      <c r="N959" s="3"/>
      <c r="O959" s="3"/>
      <c r="P959" s="3"/>
      <c r="Q959" s="3"/>
      <c r="R959" s="3"/>
      <c r="S959" s="3"/>
    </row>
    <row r="960" spans="2:19" x14ac:dyDescent="0.3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18"/>
      <c r="N960" s="3"/>
      <c r="O960" s="3"/>
      <c r="P960" s="3"/>
      <c r="Q960" s="3"/>
      <c r="R960" s="3"/>
      <c r="S960" s="3"/>
    </row>
    <row r="961" spans="2:19" x14ac:dyDescent="0.3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18"/>
      <c r="N961" s="3"/>
      <c r="O961" s="3"/>
      <c r="P961" s="3"/>
      <c r="Q961" s="3"/>
      <c r="R961" s="3"/>
      <c r="S961" s="3"/>
    </row>
    <row r="962" spans="2:19" x14ac:dyDescent="0.3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18"/>
      <c r="N962" s="3"/>
      <c r="O962" s="3"/>
      <c r="P962" s="3"/>
      <c r="Q962" s="3"/>
      <c r="R962" s="3"/>
      <c r="S962" s="3"/>
    </row>
    <row r="963" spans="2:19" x14ac:dyDescent="0.3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18"/>
      <c r="N963" s="3"/>
      <c r="O963" s="3"/>
      <c r="P963" s="3"/>
      <c r="Q963" s="3"/>
      <c r="R963" s="3"/>
      <c r="S963" s="3"/>
    </row>
    <row r="964" spans="2:19" x14ac:dyDescent="0.3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18"/>
      <c r="N964" s="3"/>
      <c r="O964" s="3"/>
      <c r="P964" s="3"/>
      <c r="Q964" s="3"/>
      <c r="R964" s="3"/>
      <c r="S964" s="3"/>
    </row>
    <row r="965" spans="2:19" x14ac:dyDescent="0.3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18"/>
      <c r="N965" s="3"/>
      <c r="O965" s="3"/>
      <c r="P965" s="3"/>
      <c r="Q965" s="3"/>
      <c r="R965" s="3"/>
      <c r="S965" s="3"/>
    </row>
    <row r="966" spans="2:19" x14ac:dyDescent="0.3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18"/>
      <c r="N966" s="3"/>
      <c r="O966" s="3"/>
      <c r="P966" s="3"/>
      <c r="Q966" s="3"/>
      <c r="R966" s="3"/>
      <c r="S966" s="3"/>
    </row>
    <row r="967" spans="2:19" x14ac:dyDescent="0.3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18"/>
      <c r="N967" s="3"/>
      <c r="O967" s="3"/>
      <c r="P967" s="3"/>
      <c r="Q967" s="3"/>
      <c r="R967" s="3"/>
      <c r="S967" s="3"/>
    </row>
    <row r="968" spans="2:19" x14ac:dyDescent="0.3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18"/>
      <c r="N968" s="3"/>
      <c r="O968" s="3"/>
      <c r="P968" s="3"/>
      <c r="Q968" s="3"/>
      <c r="R968" s="3"/>
      <c r="S968" s="3"/>
    </row>
    <row r="969" spans="2:19" x14ac:dyDescent="0.3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18"/>
      <c r="N969" s="3"/>
      <c r="O969" s="3"/>
      <c r="P969" s="3"/>
      <c r="Q969" s="3"/>
      <c r="R969" s="3"/>
      <c r="S969" s="3"/>
    </row>
    <row r="970" spans="2:19" x14ac:dyDescent="0.3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18"/>
      <c r="N970" s="3"/>
      <c r="O970" s="3"/>
      <c r="P970" s="3"/>
      <c r="Q970" s="3"/>
      <c r="R970" s="3"/>
      <c r="S970" s="3"/>
    </row>
    <row r="971" spans="2:19" x14ac:dyDescent="0.3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18"/>
      <c r="N971" s="3"/>
      <c r="O971" s="3"/>
      <c r="P971" s="3"/>
      <c r="Q971" s="3"/>
      <c r="R971" s="3"/>
      <c r="S971" s="3"/>
    </row>
    <row r="972" spans="2:19" x14ac:dyDescent="0.3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18"/>
      <c r="N972" s="3"/>
      <c r="O972" s="3"/>
      <c r="P972" s="3"/>
      <c r="Q972" s="3"/>
      <c r="R972" s="3"/>
      <c r="S972" s="3"/>
    </row>
    <row r="973" spans="2:19" x14ac:dyDescent="0.3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18"/>
      <c r="N973" s="3"/>
      <c r="O973" s="3"/>
      <c r="P973" s="3"/>
      <c r="Q973" s="3"/>
      <c r="R973" s="3"/>
      <c r="S973" s="3"/>
    </row>
    <row r="974" spans="2:19" x14ac:dyDescent="0.3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18"/>
      <c r="N974" s="3"/>
      <c r="O974" s="3"/>
      <c r="P974" s="3"/>
      <c r="Q974" s="3"/>
      <c r="R974" s="3"/>
      <c r="S974" s="3"/>
    </row>
    <row r="975" spans="2:19" x14ac:dyDescent="0.3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18"/>
      <c r="N975" s="3"/>
      <c r="O975" s="3"/>
      <c r="P975" s="3"/>
      <c r="Q975" s="3"/>
      <c r="R975" s="3"/>
      <c r="S975" s="3"/>
    </row>
    <row r="976" spans="2:19" x14ac:dyDescent="0.3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18"/>
      <c r="N976" s="3"/>
      <c r="O976" s="3"/>
      <c r="P976" s="3"/>
      <c r="Q976" s="3"/>
      <c r="R976" s="3"/>
      <c r="S976" s="3"/>
    </row>
    <row r="977" spans="2:19" x14ac:dyDescent="0.3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18"/>
      <c r="N977" s="3"/>
      <c r="O977" s="3"/>
      <c r="P977" s="3"/>
      <c r="Q977" s="3"/>
      <c r="R977" s="3"/>
      <c r="S977" s="3"/>
    </row>
    <row r="978" spans="2:19" x14ac:dyDescent="0.3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18"/>
      <c r="N978" s="3"/>
      <c r="O978" s="3"/>
      <c r="P978" s="3"/>
      <c r="Q978" s="3"/>
      <c r="R978" s="3"/>
      <c r="S978" s="3"/>
    </row>
    <row r="979" spans="2:19" x14ac:dyDescent="0.3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18"/>
      <c r="N979" s="3"/>
      <c r="O979" s="3"/>
      <c r="P979" s="3"/>
      <c r="Q979" s="3"/>
      <c r="R979" s="3"/>
      <c r="S979" s="3"/>
    </row>
    <row r="980" spans="2:19" x14ac:dyDescent="0.3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18"/>
      <c r="N980" s="3"/>
      <c r="O980" s="3"/>
      <c r="P980" s="3"/>
      <c r="Q980" s="3"/>
      <c r="R980" s="3"/>
      <c r="S980" s="3"/>
    </row>
    <row r="981" spans="2:19" x14ac:dyDescent="0.3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18"/>
      <c r="N981" s="3"/>
      <c r="O981" s="3"/>
      <c r="P981" s="3"/>
      <c r="Q981" s="3"/>
      <c r="R981" s="3"/>
      <c r="S981" s="3"/>
    </row>
    <row r="982" spans="2:19" x14ac:dyDescent="0.3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18"/>
      <c r="N982" s="3"/>
      <c r="O982" s="3"/>
      <c r="P982" s="3"/>
      <c r="Q982" s="3"/>
      <c r="R982" s="3"/>
      <c r="S982" s="3"/>
    </row>
    <row r="983" spans="2:19" x14ac:dyDescent="0.3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18"/>
      <c r="N983" s="3"/>
      <c r="O983" s="3"/>
      <c r="P983" s="3"/>
      <c r="Q983" s="3"/>
      <c r="R983" s="3"/>
      <c r="S983" s="3"/>
    </row>
    <row r="984" spans="2:19" x14ac:dyDescent="0.3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18"/>
      <c r="N984" s="3"/>
      <c r="O984" s="3"/>
      <c r="P984" s="3"/>
      <c r="Q984" s="3"/>
      <c r="R984" s="3"/>
      <c r="S984" s="3"/>
    </row>
    <row r="985" spans="2:19" x14ac:dyDescent="0.3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18"/>
      <c r="N985" s="3"/>
      <c r="O985" s="3"/>
      <c r="P985" s="3"/>
      <c r="Q985" s="3"/>
      <c r="R985" s="3"/>
      <c r="S985" s="3"/>
    </row>
    <row r="986" spans="2:19" x14ac:dyDescent="0.3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18"/>
      <c r="N986" s="3"/>
      <c r="O986" s="3"/>
      <c r="P986" s="3"/>
      <c r="Q986" s="3"/>
      <c r="R986" s="3"/>
      <c r="S986" s="3"/>
    </row>
    <row r="987" spans="2:19" x14ac:dyDescent="0.3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18"/>
      <c r="N987" s="3"/>
      <c r="O987" s="3"/>
      <c r="P987" s="3"/>
      <c r="Q987" s="3"/>
      <c r="R987" s="3"/>
      <c r="S987" s="3"/>
    </row>
    <row r="988" spans="2:19" x14ac:dyDescent="0.3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18"/>
      <c r="N988" s="3"/>
      <c r="O988" s="3"/>
      <c r="P988" s="3"/>
      <c r="Q988" s="3"/>
      <c r="R988" s="3"/>
      <c r="S988" s="3"/>
    </row>
    <row r="989" spans="2:19" x14ac:dyDescent="0.3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18"/>
      <c r="N989" s="3"/>
      <c r="O989" s="3"/>
      <c r="P989" s="3"/>
      <c r="Q989" s="3"/>
      <c r="R989" s="3"/>
      <c r="S989" s="3"/>
    </row>
    <row r="990" spans="2:19" x14ac:dyDescent="0.3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18"/>
      <c r="N990" s="3"/>
      <c r="O990" s="3"/>
      <c r="P990" s="3"/>
      <c r="Q990" s="3"/>
      <c r="R990" s="3"/>
      <c r="S990" s="3"/>
    </row>
    <row r="991" spans="2:19" x14ac:dyDescent="0.3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18"/>
      <c r="N991" s="3"/>
      <c r="O991" s="3"/>
      <c r="P991" s="3"/>
      <c r="Q991" s="3"/>
      <c r="R991" s="3"/>
      <c r="S991" s="3"/>
    </row>
    <row r="992" spans="2:19" x14ac:dyDescent="0.3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18"/>
      <c r="N992" s="3"/>
      <c r="O992" s="3"/>
      <c r="P992" s="3"/>
      <c r="Q992" s="3"/>
      <c r="R992" s="3"/>
      <c r="S992" s="3"/>
    </row>
    <row r="993" spans="2:19" x14ac:dyDescent="0.3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18"/>
      <c r="N993" s="3"/>
      <c r="O993" s="3"/>
      <c r="P993" s="3"/>
      <c r="Q993" s="3"/>
      <c r="R993" s="3"/>
      <c r="S993" s="3"/>
    </row>
    <row r="994" spans="2:19" x14ac:dyDescent="0.3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18"/>
      <c r="N994" s="3"/>
      <c r="O994" s="3"/>
      <c r="P994" s="3"/>
      <c r="Q994" s="3"/>
      <c r="R994" s="3"/>
      <c r="S994" s="3"/>
    </row>
    <row r="995" spans="2:19" x14ac:dyDescent="0.3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18"/>
      <c r="N995" s="3"/>
      <c r="O995" s="3"/>
      <c r="P995" s="3"/>
      <c r="Q995" s="3"/>
      <c r="R995" s="3"/>
      <c r="S995" s="3"/>
    </row>
    <row r="996" spans="2:19" x14ac:dyDescent="0.3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18"/>
      <c r="N996" s="3"/>
      <c r="O996" s="3"/>
      <c r="P996" s="3"/>
      <c r="Q996" s="3"/>
      <c r="R996" s="3"/>
      <c r="S996" s="3"/>
    </row>
    <row r="997" spans="2:19" x14ac:dyDescent="0.3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18"/>
      <c r="N997" s="3"/>
      <c r="O997" s="3"/>
      <c r="P997" s="3"/>
      <c r="Q997" s="3"/>
      <c r="R997" s="3"/>
      <c r="S997" s="3"/>
    </row>
    <row r="998" spans="2:19" x14ac:dyDescent="0.3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18"/>
      <c r="N998" s="3"/>
      <c r="O998" s="3"/>
      <c r="P998" s="3"/>
      <c r="Q998" s="3"/>
      <c r="R998" s="3"/>
      <c r="S998" s="3"/>
    </row>
    <row r="999" spans="2:19" x14ac:dyDescent="0.3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18"/>
      <c r="N999" s="3"/>
      <c r="O999" s="3"/>
      <c r="P999" s="3"/>
      <c r="Q999" s="3"/>
      <c r="R999" s="3"/>
      <c r="S999" s="3"/>
    </row>
    <row r="1000" spans="2:19" x14ac:dyDescent="0.3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18"/>
      <c r="N1000" s="3"/>
      <c r="O1000" s="3"/>
      <c r="P1000" s="3"/>
      <c r="Q1000" s="3"/>
      <c r="R1000" s="3"/>
      <c r="S1000" s="3"/>
    </row>
    <row r="1001" spans="2:19" x14ac:dyDescent="0.3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18"/>
      <c r="N1001" s="3"/>
      <c r="O1001" s="3"/>
      <c r="P1001" s="3"/>
      <c r="Q1001" s="3"/>
      <c r="R1001" s="3"/>
      <c r="S1001" s="3"/>
    </row>
    <row r="1002" spans="2:19" x14ac:dyDescent="0.3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18"/>
      <c r="N1002" s="3"/>
      <c r="O1002" s="3"/>
      <c r="P1002" s="3"/>
      <c r="Q1002" s="3"/>
      <c r="R1002" s="3"/>
      <c r="S1002" s="3"/>
    </row>
    <row r="1003" spans="2:19" x14ac:dyDescent="0.3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18"/>
      <c r="N1003" s="3"/>
      <c r="O1003" s="3"/>
      <c r="P1003" s="3"/>
      <c r="Q1003" s="3"/>
      <c r="R1003" s="3"/>
      <c r="S1003" s="3"/>
    </row>
    <row r="1004" spans="2:19" x14ac:dyDescent="0.3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18"/>
      <c r="N1004" s="3"/>
      <c r="O1004" s="3"/>
      <c r="P1004" s="3"/>
      <c r="Q1004" s="3"/>
      <c r="R1004" s="3"/>
      <c r="S1004" s="3"/>
    </row>
    <row r="1005" spans="2:19" x14ac:dyDescent="0.3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18"/>
      <c r="N1005" s="3"/>
      <c r="O1005" s="3"/>
      <c r="P1005" s="3"/>
      <c r="Q1005" s="3"/>
      <c r="R1005" s="3"/>
      <c r="S1005" s="3"/>
    </row>
    <row r="1006" spans="2:19" x14ac:dyDescent="0.3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18"/>
      <c r="N1006" s="3"/>
      <c r="O1006" s="3"/>
      <c r="P1006" s="3"/>
      <c r="Q1006" s="3"/>
      <c r="R1006" s="3"/>
      <c r="S1006" s="3"/>
    </row>
    <row r="1007" spans="2:19" x14ac:dyDescent="0.3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18"/>
      <c r="N1007" s="3"/>
      <c r="O1007" s="3"/>
      <c r="P1007" s="3"/>
      <c r="Q1007" s="3"/>
      <c r="R1007" s="3"/>
      <c r="S1007" s="3"/>
    </row>
    <row r="1008" spans="2:19" x14ac:dyDescent="0.3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18"/>
      <c r="N1008" s="3"/>
      <c r="O1008" s="3"/>
      <c r="P1008" s="3"/>
      <c r="Q1008" s="3"/>
      <c r="R1008" s="3"/>
      <c r="S1008" s="3"/>
    </row>
    <row r="1009" spans="2:19" x14ac:dyDescent="0.3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18"/>
      <c r="N1009" s="3"/>
      <c r="O1009" s="3"/>
      <c r="P1009" s="3"/>
      <c r="Q1009" s="3"/>
      <c r="R1009" s="3"/>
      <c r="S1009" s="3"/>
    </row>
    <row r="1010" spans="2:19" x14ac:dyDescent="0.3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18"/>
      <c r="N1010" s="3"/>
      <c r="O1010" s="3"/>
      <c r="P1010" s="3"/>
      <c r="Q1010" s="3"/>
      <c r="R1010" s="3"/>
      <c r="S1010" s="3"/>
    </row>
    <row r="1011" spans="2:19" x14ac:dyDescent="0.3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18"/>
      <c r="N1011" s="3"/>
      <c r="O1011" s="3"/>
      <c r="P1011" s="3"/>
      <c r="Q1011" s="3"/>
      <c r="R1011" s="3"/>
      <c r="S1011" s="3"/>
    </row>
    <row r="1012" spans="2:19" x14ac:dyDescent="0.3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18"/>
      <c r="N1012" s="3"/>
      <c r="O1012" s="3"/>
      <c r="P1012" s="3"/>
      <c r="Q1012" s="3"/>
      <c r="R1012" s="3"/>
      <c r="S1012" s="3"/>
    </row>
    <row r="1013" spans="2:19" x14ac:dyDescent="0.3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18"/>
      <c r="N1013" s="3"/>
      <c r="O1013" s="3"/>
      <c r="P1013" s="3"/>
      <c r="Q1013" s="3"/>
      <c r="R1013" s="3"/>
      <c r="S1013" s="3"/>
    </row>
    <row r="1014" spans="2:19" x14ac:dyDescent="0.3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18"/>
      <c r="N1014" s="3"/>
      <c r="O1014" s="3"/>
      <c r="P1014" s="3"/>
      <c r="Q1014" s="3"/>
      <c r="R1014" s="3"/>
      <c r="S1014" s="3"/>
    </row>
    <row r="1015" spans="2:19" x14ac:dyDescent="0.3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18"/>
      <c r="N1015" s="3"/>
      <c r="O1015" s="3"/>
      <c r="P1015" s="3"/>
      <c r="Q1015" s="3"/>
      <c r="R1015" s="3"/>
      <c r="S1015" s="3"/>
    </row>
    <row r="1016" spans="2:19" x14ac:dyDescent="0.3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18"/>
      <c r="N1016" s="3"/>
      <c r="O1016" s="3"/>
      <c r="P1016" s="3"/>
      <c r="Q1016" s="3"/>
      <c r="R1016" s="3"/>
      <c r="S1016" s="3"/>
    </row>
    <row r="1017" spans="2:19" x14ac:dyDescent="0.3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18"/>
      <c r="N1017" s="3"/>
      <c r="O1017" s="3"/>
      <c r="P1017" s="3"/>
      <c r="Q1017" s="3"/>
      <c r="R1017" s="3"/>
      <c r="S1017" s="3"/>
    </row>
    <row r="1018" spans="2:19" x14ac:dyDescent="0.3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18"/>
      <c r="N1018" s="3"/>
      <c r="O1018" s="3"/>
      <c r="P1018" s="3"/>
      <c r="Q1018" s="3"/>
      <c r="R1018" s="3"/>
      <c r="S1018" s="3"/>
    </row>
    <row r="1019" spans="2:19" x14ac:dyDescent="0.3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18"/>
      <c r="N1019" s="3"/>
      <c r="O1019" s="3"/>
      <c r="P1019" s="3"/>
      <c r="Q1019" s="3"/>
      <c r="R1019" s="3"/>
      <c r="S1019" s="3"/>
    </row>
    <row r="1020" spans="2:19" x14ac:dyDescent="0.3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18"/>
      <c r="N1020" s="3"/>
      <c r="O1020" s="3"/>
      <c r="P1020" s="3"/>
      <c r="Q1020" s="3"/>
      <c r="R1020" s="3"/>
      <c r="S1020" s="3"/>
    </row>
    <row r="1021" spans="2:19" x14ac:dyDescent="0.3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18"/>
      <c r="N1021" s="3"/>
      <c r="O1021" s="3"/>
      <c r="P1021" s="3"/>
      <c r="Q1021" s="3"/>
      <c r="R1021" s="3"/>
      <c r="S1021" s="3"/>
    </row>
    <row r="1022" spans="2:19" x14ac:dyDescent="0.3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18"/>
      <c r="N1022" s="3"/>
      <c r="O1022" s="3"/>
      <c r="P1022" s="3"/>
      <c r="Q1022" s="3"/>
      <c r="R1022" s="3"/>
      <c r="S1022" s="3"/>
    </row>
    <row r="1023" spans="2:19" x14ac:dyDescent="0.3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18"/>
      <c r="N1023" s="3"/>
      <c r="O1023" s="3"/>
      <c r="P1023" s="3"/>
      <c r="Q1023" s="3"/>
      <c r="R1023" s="3"/>
      <c r="S1023" s="3"/>
    </row>
    <row r="1024" spans="2:19" x14ac:dyDescent="0.3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18"/>
      <c r="N1024" s="3"/>
      <c r="O1024" s="3"/>
      <c r="P1024" s="3"/>
      <c r="Q1024" s="3"/>
      <c r="R1024" s="3"/>
      <c r="S1024" s="3"/>
    </row>
    <row r="1025" spans="2:19" x14ac:dyDescent="0.3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18"/>
      <c r="N1025" s="3"/>
      <c r="O1025" s="3"/>
      <c r="P1025" s="3"/>
      <c r="Q1025" s="3"/>
      <c r="R1025" s="3"/>
      <c r="S1025" s="3"/>
    </row>
    <row r="1026" spans="2:19" x14ac:dyDescent="0.3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18"/>
      <c r="N1026" s="3"/>
      <c r="O1026" s="3"/>
      <c r="P1026" s="3"/>
      <c r="Q1026" s="3"/>
      <c r="R1026" s="3"/>
      <c r="S1026" s="3"/>
    </row>
    <row r="1027" spans="2:19" x14ac:dyDescent="0.3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18"/>
      <c r="N1027" s="3"/>
      <c r="O1027" s="3"/>
      <c r="P1027" s="3"/>
      <c r="Q1027" s="3"/>
      <c r="R1027" s="3"/>
      <c r="S1027" s="3"/>
    </row>
    <row r="1028" spans="2:19" x14ac:dyDescent="0.3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18"/>
      <c r="N1028" s="3"/>
      <c r="O1028" s="3"/>
      <c r="P1028" s="3"/>
      <c r="Q1028" s="3"/>
      <c r="R1028" s="3"/>
      <c r="S1028" s="3"/>
    </row>
    <row r="1029" spans="2:19" x14ac:dyDescent="0.3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18"/>
      <c r="N1029" s="3"/>
      <c r="O1029" s="3"/>
      <c r="P1029" s="3"/>
      <c r="Q1029" s="3"/>
      <c r="R1029" s="3"/>
      <c r="S1029" s="3"/>
    </row>
    <row r="1030" spans="2:19" x14ac:dyDescent="0.3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18"/>
      <c r="N1030" s="3"/>
      <c r="O1030" s="3"/>
      <c r="P1030" s="3"/>
      <c r="Q1030" s="3"/>
      <c r="R1030" s="3"/>
      <c r="S1030" s="3"/>
    </row>
    <row r="1031" spans="2:19" x14ac:dyDescent="0.3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18"/>
      <c r="N1031" s="3"/>
      <c r="O1031" s="3"/>
      <c r="P1031" s="3"/>
      <c r="Q1031" s="3"/>
      <c r="R1031" s="3"/>
      <c r="S1031" s="3"/>
    </row>
    <row r="1032" spans="2:19" x14ac:dyDescent="0.3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18"/>
      <c r="N1032" s="3"/>
      <c r="O1032" s="3"/>
      <c r="P1032" s="3"/>
      <c r="Q1032" s="3"/>
      <c r="R1032" s="3"/>
      <c r="S1032" s="3"/>
    </row>
    <row r="1033" spans="2:19" x14ac:dyDescent="0.3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18"/>
      <c r="N1033" s="3"/>
      <c r="O1033" s="3"/>
      <c r="P1033" s="3"/>
      <c r="Q1033" s="3"/>
      <c r="R1033" s="3"/>
      <c r="S1033" s="3"/>
    </row>
    <row r="1034" spans="2:19" x14ac:dyDescent="0.3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18"/>
      <c r="N1034" s="3"/>
      <c r="O1034" s="3"/>
      <c r="P1034" s="3"/>
      <c r="Q1034" s="3"/>
      <c r="R1034" s="3"/>
      <c r="S1034" s="3"/>
    </row>
    <row r="1035" spans="2:19" x14ac:dyDescent="0.3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18"/>
      <c r="N1035" s="3"/>
      <c r="O1035" s="3"/>
      <c r="P1035" s="3"/>
      <c r="Q1035" s="3"/>
      <c r="R1035" s="3"/>
      <c r="S1035" s="3"/>
    </row>
    <row r="1036" spans="2:19" x14ac:dyDescent="0.3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18"/>
      <c r="N1036" s="3"/>
      <c r="O1036" s="3"/>
      <c r="P1036" s="3"/>
      <c r="Q1036" s="3"/>
      <c r="R1036" s="3"/>
      <c r="S1036" s="3"/>
    </row>
    <row r="1037" spans="2:19" x14ac:dyDescent="0.3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18"/>
      <c r="N1037" s="3"/>
      <c r="O1037" s="3"/>
      <c r="P1037" s="3"/>
      <c r="Q1037" s="3"/>
      <c r="R1037" s="3"/>
      <c r="S1037" s="3"/>
    </row>
    <row r="1038" spans="2:19" x14ac:dyDescent="0.3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18"/>
      <c r="N1038" s="3"/>
      <c r="O1038" s="3"/>
      <c r="P1038" s="3"/>
      <c r="Q1038" s="3"/>
      <c r="R1038" s="3"/>
      <c r="S1038" s="3"/>
    </row>
    <row r="1039" spans="2:19" x14ac:dyDescent="0.3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18"/>
      <c r="N1039" s="3"/>
      <c r="O1039" s="3"/>
      <c r="P1039" s="3"/>
      <c r="Q1039" s="3"/>
      <c r="R1039" s="3"/>
      <c r="S1039" s="3"/>
    </row>
    <row r="1040" spans="2:19" x14ac:dyDescent="0.3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18"/>
      <c r="N1040" s="3"/>
      <c r="O1040" s="3"/>
      <c r="P1040" s="3"/>
      <c r="Q1040" s="3"/>
      <c r="R1040" s="3"/>
      <c r="S1040" s="3"/>
    </row>
    <row r="1041" spans="2:19" x14ac:dyDescent="0.3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18"/>
      <c r="N1041" s="3"/>
      <c r="O1041" s="3"/>
      <c r="P1041" s="3"/>
      <c r="Q1041" s="3"/>
      <c r="R1041" s="3"/>
      <c r="S1041" s="3"/>
    </row>
    <row r="1042" spans="2:19" x14ac:dyDescent="0.3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18"/>
      <c r="P1042" s="3"/>
      <c r="Q1042" s="3"/>
      <c r="R1042" s="3"/>
      <c r="S1042" s="3"/>
    </row>
    <row r="1043" spans="2:19" x14ac:dyDescent="0.3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18"/>
      <c r="P1043" s="3"/>
      <c r="Q1043" s="3"/>
      <c r="R1043" s="3"/>
      <c r="S1043" s="3"/>
    </row>
  </sheetData>
  <sheetProtection algorithmName="SHA-512" hashValue="4MgxsWtOxvlxfRypP7P2RvULN3rSCiGRSxpxGWyc6XHU6bikNRWWMHEK7TRY27HUMc4w17egBmZNF/PDDh4c8w==" saltValue="U0My+MfPX0NYN1sfC7a8cQ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DA97-5957-4096-84A6-4B3BD5F71682}">
  <sheetPr codeName="Sheet3"/>
  <dimension ref="B1:G24"/>
  <sheetViews>
    <sheetView showGridLines="0" zoomScale="94" workbookViewId="0">
      <selection activeCell="B26" sqref="B26"/>
    </sheetView>
  </sheetViews>
  <sheetFormatPr defaultColWidth="13.88671875" defaultRowHeight="14.4" x14ac:dyDescent="0.3"/>
  <cols>
    <col min="1" max="1" width="2" customWidth="1"/>
    <col min="2" max="2" width="45.21875" customWidth="1"/>
    <col min="3" max="3" width="18.77734375" bestFit="1" customWidth="1"/>
    <col min="4" max="12" width="15.77734375" customWidth="1"/>
  </cols>
  <sheetData>
    <row r="1" spans="2:7" ht="18" x14ac:dyDescent="0.35">
      <c r="B1" s="6" t="str">
        <f>BS!B1</f>
        <v xml:space="preserve">Particular </v>
      </c>
      <c r="C1" s="36">
        <f>BS!H1</f>
        <v>46112</v>
      </c>
      <c r="D1" s="36">
        <f>BS!I1</f>
        <v>46477</v>
      </c>
      <c r="E1" s="36">
        <f>BS!J1</f>
        <v>46843</v>
      </c>
      <c r="F1" s="36">
        <f>BS!K1</f>
        <v>47208</v>
      </c>
      <c r="G1" s="36">
        <f>BS!L1</f>
        <v>47573</v>
      </c>
    </row>
    <row r="2" spans="2:7" x14ac:dyDescent="0.3">
      <c r="B2" s="8" t="s">
        <v>91</v>
      </c>
      <c r="C2" s="3"/>
      <c r="D2" s="3"/>
      <c r="E2" s="3"/>
      <c r="F2" s="3"/>
      <c r="G2" s="3"/>
    </row>
    <row r="3" spans="2:7" x14ac:dyDescent="0.3">
      <c r="B3" t="s">
        <v>153</v>
      </c>
      <c r="C3" s="37">
        <v>27069.51393884145</v>
      </c>
      <c r="D3" s="37">
        <v>28892.674813619502</v>
      </c>
      <c r="E3" s="37">
        <v>30369.200851122121</v>
      </c>
      <c r="F3" s="37">
        <v>31296.484472291682</v>
      </c>
      <c r="G3" s="37">
        <v>31406.854108205822</v>
      </c>
    </row>
    <row r="4" spans="2:7" x14ac:dyDescent="0.3">
      <c r="B4" t="s">
        <v>154</v>
      </c>
      <c r="C4" s="37">
        <v>4389.1667427457805</v>
      </c>
      <c r="D4" s="37">
        <v>4790.8513208410814</v>
      </c>
      <c r="E4" s="37">
        <v>5247.6594486170079</v>
      </c>
      <c r="F4" s="37">
        <v>5767.8142244638993</v>
      </c>
      <c r="G4" s="37">
        <v>6360.8168898336853</v>
      </c>
    </row>
    <row r="5" spans="2:7" x14ac:dyDescent="0.3">
      <c r="B5" t="s">
        <v>155</v>
      </c>
      <c r="C5" s="79">
        <f>SUM(C3:C4)</f>
        <v>31458.68068158723</v>
      </c>
      <c r="D5" s="79">
        <f t="shared" ref="D5:G5" si="0">SUM(D3:D4)</f>
        <v>33683.526134460582</v>
      </c>
      <c r="E5" s="79">
        <f t="shared" si="0"/>
        <v>35616.860299739128</v>
      </c>
      <c r="F5" s="79">
        <f t="shared" si="0"/>
        <v>37064.298696755584</v>
      </c>
      <c r="G5" s="79">
        <f t="shared" si="0"/>
        <v>37767.67099803951</v>
      </c>
    </row>
    <row r="6" spans="2:7" x14ac:dyDescent="0.3">
      <c r="B6" t="s">
        <v>156</v>
      </c>
      <c r="C6" s="37">
        <v>-2940</v>
      </c>
      <c r="D6" s="37">
        <v>-3370</v>
      </c>
      <c r="E6" s="37">
        <v>-3890</v>
      </c>
      <c r="F6" s="37">
        <v>-4510</v>
      </c>
      <c r="G6" s="37">
        <v>-5210</v>
      </c>
    </row>
    <row r="7" spans="2:7" ht="15" thickBot="1" x14ac:dyDescent="0.35">
      <c r="C7" s="37"/>
      <c r="D7" s="37"/>
      <c r="E7" s="37"/>
      <c r="F7" s="37"/>
      <c r="G7" s="37"/>
    </row>
    <row r="8" spans="2:7" ht="15" thickBot="1" x14ac:dyDescent="0.35">
      <c r="B8" s="43" t="s">
        <v>92</v>
      </c>
      <c r="C8" s="46">
        <f>SUM(C5:C6)</f>
        <v>28518.68068158723</v>
      </c>
      <c r="D8" s="46">
        <f t="shared" ref="D8:G8" si="1">SUM(D5:D6)</f>
        <v>30313.526134460582</v>
      </c>
      <c r="E8" s="46">
        <f t="shared" si="1"/>
        <v>31726.860299739128</v>
      </c>
      <c r="F8" s="46">
        <f t="shared" si="1"/>
        <v>32554.298696755584</v>
      </c>
      <c r="G8" s="46">
        <f t="shared" si="1"/>
        <v>32557.67099803951</v>
      </c>
    </row>
    <row r="9" spans="2:7" x14ac:dyDescent="0.3">
      <c r="B9" s="3"/>
      <c r="C9" s="9"/>
      <c r="D9" s="9"/>
      <c r="E9" s="9"/>
      <c r="F9" s="9"/>
      <c r="G9" s="9"/>
    </row>
    <row r="10" spans="2:7" ht="15" thickBot="1" x14ac:dyDescent="0.35">
      <c r="B10" s="8" t="s">
        <v>160</v>
      </c>
      <c r="C10" s="9"/>
      <c r="D10" s="9"/>
      <c r="E10" s="9"/>
      <c r="F10" s="9"/>
      <c r="G10" s="9"/>
    </row>
    <row r="11" spans="2:7" ht="15" thickBot="1" x14ac:dyDescent="0.35">
      <c r="B11" s="42" t="s">
        <v>157</v>
      </c>
      <c r="C11" s="41">
        <v>-2617.7017734075598</v>
      </c>
      <c r="D11" s="41">
        <v>-3158.1201585931349</v>
      </c>
      <c r="E11" s="41">
        <v>-3779.7251031362457</v>
      </c>
      <c r="F11" s="41">
        <v>-4497.0410763708423</v>
      </c>
      <c r="G11" s="41">
        <v>-5343.6317683257239</v>
      </c>
    </row>
    <row r="12" spans="2:7" x14ac:dyDescent="0.3">
      <c r="B12" s="3"/>
      <c r="C12" s="9"/>
      <c r="D12" s="9"/>
      <c r="E12" s="9"/>
      <c r="F12" s="9"/>
      <c r="G12" s="9"/>
    </row>
    <row r="13" spans="2:7" ht="15" thickBot="1" x14ac:dyDescent="0.35">
      <c r="B13" s="8" t="s">
        <v>159</v>
      </c>
      <c r="C13" s="9"/>
      <c r="D13" s="9"/>
      <c r="E13" s="9"/>
      <c r="F13" s="9"/>
      <c r="G13" s="9"/>
    </row>
    <row r="14" spans="2:7" ht="15" thickBot="1" x14ac:dyDescent="0.35">
      <c r="B14" s="42" t="s">
        <v>139</v>
      </c>
      <c r="C14" s="41">
        <v>-848.61086890200886</v>
      </c>
      <c r="D14" s="41">
        <v>-809.65224861052548</v>
      </c>
      <c r="E14" s="41">
        <v>-744.50636179866433</v>
      </c>
      <c r="F14" s="41">
        <v>-649.80395783034191</v>
      </c>
      <c r="G14" s="41">
        <v>-538.27899855090072</v>
      </c>
    </row>
    <row r="15" spans="2:7" ht="15" thickBot="1" x14ac:dyDescent="0.35">
      <c r="B15" s="3"/>
      <c r="C15" s="9"/>
      <c r="D15" s="9"/>
      <c r="E15" s="9"/>
      <c r="F15" s="9"/>
      <c r="G15" s="9"/>
    </row>
    <row r="16" spans="2:7" ht="15" thickBot="1" x14ac:dyDescent="0.35">
      <c r="B16" s="40" t="s">
        <v>158</v>
      </c>
      <c r="C16" s="46">
        <f>SUM(C8+C11+C14)</f>
        <v>25052.368039277662</v>
      </c>
      <c r="D16" s="46">
        <f t="shared" ref="D16:F16" si="2">SUM(D8+D11+D14)</f>
        <v>26345.753727256924</v>
      </c>
      <c r="E16" s="46">
        <f t="shared" si="2"/>
        <v>27202.628834804218</v>
      </c>
      <c r="F16" s="46">
        <f t="shared" si="2"/>
        <v>27407.453662554399</v>
      </c>
      <c r="G16" s="46">
        <f>SUM(G8+G11+G14)</f>
        <v>26675.760231162887</v>
      </c>
    </row>
    <row r="17" spans="2:7" x14ac:dyDescent="0.3">
      <c r="B17" s="3" t="s">
        <v>94</v>
      </c>
      <c r="C17" s="12">
        <v>12187</v>
      </c>
      <c r="D17" s="12">
        <f>C19</f>
        <v>37239.368039277659</v>
      </c>
      <c r="E17" s="12">
        <f t="shared" ref="E17:G17" si="3">D19</f>
        <v>63585.121766534583</v>
      </c>
      <c r="F17" s="12">
        <f t="shared" si="3"/>
        <v>90787.750601338805</v>
      </c>
      <c r="G17" s="12">
        <f t="shared" si="3"/>
        <v>118195.2042638932</v>
      </c>
    </row>
    <row r="18" spans="2:7" ht="15" thickBot="1" x14ac:dyDescent="0.35">
      <c r="B18" s="3"/>
      <c r="C18" s="12"/>
      <c r="D18" s="12"/>
      <c r="E18" s="12"/>
      <c r="F18" s="12"/>
      <c r="G18" s="12"/>
    </row>
    <row r="19" spans="2:7" ht="15.6" thickTop="1" thickBot="1" x14ac:dyDescent="0.35">
      <c r="B19" s="44" t="s">
        <v>93</v>
      </c>
      <c r="C19" s="20">
        <f>C17+C16</f>
        <v>37239.368039277659</v>
      </c>
      <c r="D19" s="20">
        <f t="shared" ref="D19:F19" si="4">D17+D16</f>
        <v>63585.121766534583</v>
      </c>
      <c r="E19" s="20">
        <f t="shared" si="4"/>
        <v>90787.750601338805</v>
      </c>
      <c r="F19" s="20">
        <f t="shared" si="4"/>
        <v>118195.2042638932</v>
      </c>
      <c r="G19" s="20">
        <f>G17+G16</f>
        <v>144870.96449505608</v>
      </c>
    </row>
    <row r="20" spans="2:7" ht="15" thickTop="1" x14ac:dyDescent="0.3">
      <c r="B20" s="5"/>
      <c r="C20" s="5"/>
      <c r="E20" s="5"/>
      <c r="F20" s="5"/>
      <c r="G20" s="5"/>
    </row>
    <row r="21" spans="2:7" x14ac:dyDescent="0.3">
      <c r="B21" s="5"/>
      <c r="C21" s="9"/>
      <c r="D21" s="5"/>
      <c r="E21" s="9"/>
      <c r="F21" s="9"/>
      <c r="G21" s="5"/>
    </row>
    <row r="24" spans="2:7" x14ac:dyDescent="0.3">
      <c r="C24" s="93"/>
      <c r="D24" s="94"/>
      <c r="E24" s="94"/>
      <c r="F24" s="94"/>
      <c r="G24" s="94"/>
    </row>
  </sheetData>
  <sheetProtection algorithmName="SHA-512" hashValue="goLGmajBWYevoHMlSGtn7xvTRFz5EFzuMzeBreGEbDX+HdBER5guK3VHS/5EGCix4ZLX0vwJHZKkcO/kAOK59A==" saltValue="Cw4WMuCq4uHXN1uuWxAGwA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A184-1322-405C-9EE2-FBDE2B4D6FBC}">
  <sheetPr codeName="Sheet4"/>
  <dimension ref="A1:Q94"/>
  <sheetViews>
    <sheetView showGridLines="0" zoomScale="91" workbookViewId="0">
      <pane ySplit="1" topLeftCell="A2" activePane="bottomLeft" state="frozen"/>
      <selection activeCell="B1" sqref="B1"/>
      <selection pane="bottomLeft" activeCell="E19" sqref="E19"/>
    </sheetView>
  </sheetViews>
  <sheetFormatPr defaultRowHeight="14.4" x14ac:dyDescent="0.3"/>
  <cols>
    <col min="1" max="1" width="2" style="219" customWidth="1"/>
    <col min="2" max="2" width="49.21875" customWidth="1"/>
    <col min="3" max="4" width="15.77734375" customWidth="1"/>
    <col min="5" max="5" width="14.21875" bestFit="1" customWidth="1"/>
    <col min="6" max="12" width="15.77734375" customWidth="1"/>
    <col min="13" max="13" width="15.44140625" bestFit="1" customWidth="1"/>
    <col min="14" max="20" width="15.77734375" customWidth="1"/>
  </cols>
  <sheetData>
    <row r="1" spans="2:17" ht="18" x14ac:dyDescent="0.35">
      <c r="B1" s="6" t="str">
        <f>BS!B1</f>
        <v xml:space="preserve">Particular </v>
      </c>
      <c r="C1" s="35">
        <f>BS!C1</f>
        <v>44286</v>
      </c>
      <c r="D1" s="35">
        <f>BS!D1</f>
        <v>44651</v>
      </c>
      <c r="E1" s="35">
        <f>BS!E1</f>
        <v>45016</v>
      </c>
      <c r="F1" s="35">
        <f>BS!F1</f>
        <v>45382</v>
      </c>
      <c r="G1" s="35">
        <f>BS!G1</f>
        <v>45747</v>
      </c>
      <c r="H1" s="36">
        <f>BS!H1</f>
        <v>46112</v>
      </c>
      <c r="I1" s="36">
        <f>BS!I1</f>
        <v>46477</v>
      </c>
      <c r="J1" s="36">
        <f>BS!J1</f>
        <v>46843</v>
      </c>
      <c r="K1" s="36">
        <f>BS!K1</f>
        <v>47208</v>
      </c>
      <c r="L1" s="36">
        <f>BS!L1</f>
        <v>47573</v>
      </c>
      <c r="M1" s="60" t="s">
        <v>130</v>
      </c>
    </row>
    <row r="2" spans="2:17" ht="15" thickBot="1" x14ac:dyDescent="0.35"/>
    <row r="3" spans="2:17" x14ac:dyDescent="0.3">
      <c r="B3" s="193" t="s">
        <v>60</v>
      </c>
      <c r="C3" s="194"/>
      <c r="D3" s="194"/>
      <c r="E3" s="194"/>
      <c r="F3" s="194"/>
      <c r="G3" s="194"/>
      <c r="H3" s="195"/>
      <c r="I3" s="195"/>
      <c r="J3" s="195"/>
      <c r="K3" s="195"/>
      <c r="L3" s="196"/>
    </row>
    <row r="4" spans="2:17" x14ac:dyDescent="0.3">
      <c r="B4" s="197" t="s">
        <v>96</v>
      </c>
      <c r="C4" s="198">
        <v>97452.17</v>
      </c>
      <c r="D4" s="198">
        <v>100604.09</v>
      </c>
      <c r="E4" s="198">
        <v>116096.12</v>
      </c>
      <c r="F4" s="198">
        <v>147603.49</v>
      </c>
      <c r="G4" s="198">
        <v>174161.52</v>
      </c>
      <c r="H4" s="199">
        <f>G4*$M4+G4</f>
        <v>200285.74799999999</v>
      </c>
      <c r="I4" s="199">
        <f t="shared" ref="H4:L12" si="0">H4*$M4+H4</f>
        <v>230328.6102</v>
      </c>
      <c r="J4" s="199">
        <f t="shared" si="0"/>
        <v>264877.90172999998</v>
      </c>
      <c r="K4" s="199">
        <f t="shared" si="0"/>
        <v>304609.58698949998</v>
      </c>
      <c r="L4" s="200">
        <f t="shared" si="0"/>
        <v>350301.02503792499</v>
      </c>
      <c r="M4" s="63">
        <v>0.15</v>
      </c>
    </row>
    <row r="5" spans="2:17" x14ac:dyDescent="0.3">
      <c r="B5" s="197" t="s">
        <v>97</v>
      </c>
      <c r="C5" s="198">
        <v>3225.64</v>
      </c>
      <c r="D5" s="198">
        <v>3882.61</v>
      </c>
      <c r="E5" s="198">
        <v>4572.8599999999997</v>
      </c>
      <c r="F5" s="198">
        <v>4828.33</v>
      </c>
      <c r="G5" s="198">
        <v>5292.7</v>
      </c>
      <c r="H5" s="199">
        <f t="shared" si="0"/>
        <v>5998.6056386739683</v>
      </c>
      <c r="I5" s="199">
        <f t="shared" si="0"/>
        <v>6798.6603450660587</v>
      </c>
      <c r="J5" s="199">
        <f t="shared" si="0"/>
        <v>7705.4211047938416</v>
      </c>
      <c r="K5" s="199">
        <f t="shared" si="0"/>
        <v>8733.11967192052</v>
      </c>
      <c r="L5" s="200">
        <f t="shared" si="0"/>
        <v>9897.8859385940996</v>
      </c>
      <c r="M5" s="63">
        <v>0.13337344619456387</v>
      </c>
    </row>
    <row r="6" spans="2:17" x14ac:dyDescent="0.3">
      <c r="B6" s="197" t="s">
        <v>98</v>
      </c>
      <c r="C6" s="198">
        <v>5649.1</v>
      </c>
      <c r="D6" s="198">
        <v>6561.8</v>
      </c>
      <c r="E6" s="198">
        <v>7982.07</v>
      </c>
      <c r="F6" s="198">
        <v>8940.19</v>
      </c>
      <c r="G6" s="198">
        <v>12686.28</v>
      </c>
      <c r="H6" s="199">
        <f t="shared" si="0"/>
        <v>15477.261600000002</v>
      </c>
      <c r="I6" s="199">
        <f t="shared" si="0"/>
        <v>18882.259152000002</v>
      </c>
      <c r="J6" s="199">
        <f t="shared" si="0"/>
        <v>23036.356165440004</v>
      </c>
      <c r="K6" s="199">
        <f t="shared" si="0"/>
        <v>28104.354521836805</v>
      </c>
      <c r="L6" s="200">
        <f t="shared" si="0"/>
        <v>34287.312516640901</v>
      </c>
      <c r="M6" s="63">
        <v>0.22</v>
      </c>
    </row>
    <row r="7" spans="2:17" x14ac:dyDescent="0.3">
      <c r="B7" s="197" t="s">
        <v>99</v>
      </c>
      <c r="C7" s="198">
        <v>16620.95</v>
      </c>
      <c r="D7" s="198">
        <v>25804.51</v>
      </c>
      <c r="E7" s="198">
        <v>32846.03</v>
      </c>
      <c r="F7" s="198">
        <v>35119.11</v>
      </c>
      <c r="G7" s="198">
        <v>37617.79</v>
      </c>
      <c r="H7" s="199">
        <f t="shared" si="0"/>
        <v>43260.458500000001</v>
      </c>
      <c r="I7" s="199">
        <f t="shared" si="0"/>
        <v>49749.527275</v>
      </c>
      <c r="J7" s="199">
        <f t="shared" si="0"/>
        <v>57211.95636625</v>
      </c>
      <c r="K7" s="199">
        <f t="shared" si="0"/>
        <v>65793.749821187506</v>
      </c>
      <c r="L7" s="200">
        <f t="shared" si="0"/>
        <v>75662.812294365634</v>
      </c>
      <c r="M7" s="63">
        <v>0.15</v>
      </c>
    </row>
    <row r="8" spans="2:17" x14ac:dyDescent="0.3">
      <c r="B8" s="197" t="s">
        <v>100</v>
      </c>
      <c r="C8" s="198">
        <v>14442.06</v>
      </c>
      <c r="D8" s="198">
        <v>12630.81</v>
      </c>
      <c r="E8" s="198">
        <v>13375.96</v>
      </c>
      <c r="F8" s="198">
        <v>14074.87</v>
      </c>
      <c r="G8" s="198">
        <v>16137.89</v>
      </c>
      <c r="H8" s="199">
        <f t="shared" si="0"/>
        <v>16672.076803699434</v>
      </c>
      <c r="I8" s="199">
        <f t="shared" si="0"/>
        <v>17223.945940172645</v>
      </c>
      <c r="J8" s="199">
        <f t="shared" si="0"/>
        <v>17794.082719446309</v>
      </c>
      <c r="K8" s="199">
        <f t="shared" si="0"/>
        <v>18383.09182613029</v>
      </c>
      <c r="L8" s="200">
        <f t="shared" si="0"/>
        <v>18991.597960743533</v>
      </c>
      <c r="M8" s="63">
        <v>3.3101403200755053E-2</v>
      </c>
    </row>
    <row r="9" spans="2:17" x14ac:dyDescent="0.3">
      <c r="B9" s="197" t="s">
        <v>101</v>
      </c>
      <c r="C9" s="198">
        <v>2065.94</v>
      </c>
      <c r="D9" s="198">
        <v>1264.3499999999999</v>
      </c>
      <c r="E9" s="198">
        <v>1316.14</v>
      </c>
      <c r="F9" s="198">
        <v>2804.71</v>
      </c>
      <c r="G9" s="198">
        <v>2410.4499999999998</v>
      </c>
      <c r="H9" s="199">
        <f t="shared" si="0"/>
        <v>2798.1711348816602</v>
      </c>
      <c r="I9" s="199">
        <f t="shared" si="0"/>
        <v>3248.2572549046527</v>
      </c>
      <c r="J9" s="199">
        <f t="shared" si="0"/>
        <v>3770.7397744587688</v>
      </c>
      <c r="K9" s="199">
        <f t="shared" si="0"/>
        <v>4377.2636619887198</v>
      </c>
      <c r="L9" s="200">
        <f t="shared" si="0"/>
        <v>5081.3469803328135</v>
      </c>
      <c r="M9" s="63">
        <v>0.16085010470313038</v>
      </c>
    </row>
    <row r="10" spans="2:17" x14ac:dyDescent="0.3">
      <c r="B10" s="197" t="s">
        <v>103</v>
      </c>
      <c r="C10" s="201">
        <v>370.14</v>
      </c>
      <c r="D10" s="201">
        <v>201.39</v>
      </c>
      <c r="E10" s="201">
        <v>458.2</v>
      </c>
      <c r="F10" s="201">
        <v>602.98</v>
      </c>
      <c r="G10" s="201">
        <v>622.99</v>
      </c>
      <c r="H10" s="199">
        <f t="shared" si="0"/>
        <v>716.43849999999998</v>
      </c>
      <c r="I10" s="199">
        <f t="shared" si="0"/>
        <v>823.90427499999998</v>
      </c>
      <c r="J10" s="199">
        <f t="shared" si="0"/>
        <v>947.48991624999996</v>
      </c>
      <c r="K10" s="199">
        <f t="shared" si="0"/>
        <v>1089.6134036875001</v>
      </c>
      <c r="L10" s="200">
        <f t="shared" si="0"/>
        <v>1253.0554142406252</v>
      </c>
      <c r="M10" s="63">
        <v>0.15</v>
      </c>
    </row>
    <row r="11" spans="2:17" x14ac:dyDescent="0.3">
      <c r="B11" s="197" t="s">
        <v>102</v>
      </c>
      <c r="C11" s="198">
        <v>1321.35</v>
      </c>
      <c r="D11" s="198">
        <v>1345.32</v>
      </c>
      <c r="E11" s="198">
        <v>1522.46</v>
      </c>
      <c r="F11" s="198">
        <v>1871.31</v>
      </c>
      <c r="G11" s="198">
        <v>1956.96</v>
      </c>
      <c r="H11" s="199">
        <f t="shared" si="0"/>
        <v>2164.7488531401241</v>
      </c>
      <c r="I11" s="199">
        <f t="shared" si="0"/>
        <v>2394.6006035746682</v>
      </c>
      <c r="J11" s="199">
        <f t="shared" si="0"/>
        <v>2648.8578766642709</v>
      </c>
      <c r="K11" s="199">
        <f t="shared" si="0"/>
        <v>2930.1120363421655</v>
      </c>
      <c r="L11" s="200">
        <f t="shared" si="0"/>
        <v>3241.2295960284196</v>
      </c>
      <c r="M11" s="63">
        <v>0.10617940741769072</v>
      </c>
    </row>
    <row r="12" spans="2:17" x14ac:dyDescent="0.3">
      <c r="B12" s="197" t="s">
        <v>105</v>
      </c>
      <c r="C12" s="201">
        <v>123.38</v>
      </c>
      <c r="D12" s="201">
        <v>129.31</v>
      </c>
      <c r="E12" s="201">
        <v>125.84</v>
      </c>
      <c r="F12" s="201">
        <v>130.37</v>
      </c>
      <c r="G12" s="201">
        <v>144.36000000000001</v>
      </c>
      <c r="H12" s="199">
        <f t="shared" si="0"/>
        <v>150.29811195098338</v>
      </c>
      <c r="I12" s="199">
        <f t="shared" si="0"/>
        <v>156.4804825161425</v>
      </c>
      <c r="J12" s="199">
        <f t="shared" si="0"/>
        <v>162.91715904235994</v>
      </c>
      <c r="K12" s="199">
        <f t="shared" si="0"/>
        <v>169.61860216462159</v>
      </c>
      <c r="L12" s="200">
        <f t="shared" si="0"/>
        <v>176.59570280623166</v>
      </c>
      <c r="M12" s="63">
        <v>4.1134053414958127E-2</v>
      </c>
    </row>
    <row r="13" spans="2:17" x14ac:dyDescent="0.3">
      <c r="B13" s="197" t="s">
        <v>104</v>
      </c>
      <c r="C13" s="201">
        <v>1.78</v>
      </c>
      <c r="D13" s="201">
        <v>2.29</v>
      </c>
      <c r="E13" s="201">
        <v>0.65</v>
      </c>
      <c r="F13" s="201"/>
      <c r="G13" s="201"/>
      <c r="H13" s="199"/>
      <c r="I13" s="199"/>
      <c r="J13" s="199"/>
      <c r="K13" s="199"/>
      <c r="L13" s="200"/>
      <c r="M13" s="64"/>
    </row>
    <row r="14" spans="2:17" x14ac:dyDescent="0.3">
      <c r="B14" s="197" t="s">
        <v>106</v>
      </c>
      <c r="C14" s="201">
        <v>353.25</v>
      </c>
      <c r="D14" s="201">
        <v>359.09</v>
      </c>
      <c r="E14" s="201">
        <v>217.47</v>
      </c>
      <c r="F14" s="201"/>
      <c r="G14" s="201"/>
      <c r="H14" s="199"/>
      <c r="I14" s="199"/>
      <c r="J14" s="199"/>
      <c r="K14" s="199"/>
      <c r="L14" s="200"/>
      <c r="M14" s="64"/>
    </row>
    <row r="15" spans="2:17" x14ac:dyDescent="0.3">
      <c r="B15" s="197" t="s">
        <v>107</v>
      </c>
      <c r="C15" s="198">
        <v>2682.29</v>
      </c>
      <c r="D15" s="198">
        <v>2804.94</v>
      </c>
      <c r="E15" s="198">
        <v>3147.62</v>
      </c>
      <c r="F15" s="198">
        <v>3140.33</v>
      </c>
      <c r="G15" s="198">
        <v>3177.71</v>
      </c>
      <c r="H15" s="199">
        <f>G15*$M15+G15</f>
        <v>3318.707532381186</v>
      </c>
      <c r="I15" s="199">
        <f>H15*$M15+H15</f>
        <v>3465.9612379618088</v>
      </c>
      <c r="J15" s="199">
        <f>I15*$M15+I15</f>
        <v>3619.7487081467707</v>
      </c>
      <c r="K15" s="199">
        <f>J15*$M15+J15</f>
        <v>3780.3598512934641</v>
      </c>
      <c r="L15" s="200">
        <f>K15*$M15+K15</f>
        <v>3948.0974392247999</v>
      </c>
      <c r="M15" s="63">
        <v>4.4370799217419404E-2</v>
      </c>
      <c r="N15" s="66"/>
      <c r="O15" s="66"/>
      <c r="P15" s="66"/>
      <c r="Q15" s="66"/>
    </row>
    <row r="16" spans="2:17" x14ac:dyDescent="0.3">
      <c r="B16" s="197" t="s">
        <v>108</v>
      </c>
      <c r="C16" s="50"/>
      <c r="D16" s="50">
        <v>81.95</v>
      </c>
      <c r="E16" s="50"/>
      <c r="F16" s="50"/>
      <c r="G16" s="50"/>
      <c r="L16" s="202"/>
      <c r="M16" s="64"/>
      <c r="O16" s="53"/>
      <c r="P16" s="53"/>
    </row>
    <row r="17" spans="1:16" x14ac:dyDescent="0.3">
      <c r="B17" s="220" t="s">
        <v>117</v>
      </c>
      <c r="C17" s="221">
        <f>SUM(C4:C15)</f>
        <v>144308.05000000005</v>
      </c>
      <c r="D17" s="221">
        <f>SUM(D4:D16)</f>
        <v>155672.46000000005</v>
      </c>
      <c r="E17" s="221">
        <f t="shared" ref="E17:L17" si="1">SUM(E4:E15)</f>
        <v>181661.41999999998</v>
      </c>
      <c r="F17" s="221">
        <f t="shared" si="1"/>
        <v>219115.68999999997</v>
      </c>
      <c r="G17" s="221">
        <f t="shared" si="1"/>
        <v>254208.64999999997</v>
      </c>
      <c r="H17" s="221">
        <f t="shared" si="1"/>
        <v>290842.51467472728</v>
      </c>
      <c r="I17" s="221">
        <f>SUM(I4:I15)</f>
        <v>333072.206766196</v>
      </c>
      <c r="J17" s="221">
        <f t="shared" si="1"/>
        <v>381775.47152049234</v>
      </c>
      <c r="K17" s="221">
        <f t="shared" si="1"/>
        <v>437970.87038605154</v>
      </c>
      <c r="L17" s="222">
        <f t="shared" si="1"/>
        <v>502840.95888090198</v>
      </c>
      <c r="M17" s="64"/>
      <c r="O17" s="53"/>
      <c r="P17" s="53"/>
    </row>
    <row r="18" spans="1:16" x14ac:dyDescent="0.3">
      <c r="B18" s="171"/>
      <c r="H18" s="199"/>
      <c r="I18" s="199"/>
      <c r="J18" s="199"/>
      <c r="K18" s="199"/>
      <c r="L18" s="200"/>
      <c r="M18" s="65"/>
    </row>
    <row r="19" spans="1:16" x14ac:dyDescent="0.3">
      <c r="B19" s="206" t="s">
        <v>95</v>
      </c>
      <c r="C19" s="49"/>
      <c r="D19" s="49"/>
      <c r="E19" s="49"/>
      <c r="F19" s="49"/>
      <c r="G19" s="49"/>
      <c r="L19" s="202"/>
      <c r="M19" s="65"/>
    </row>
    <row r="20" spans="1:16" x14ac:dyDescent="0.3">
      <c r="B20" s="197" t="s">
        <v>109</v>
      </c>
      <c r="C20" s="201">
        <v>150.91</v>
      </c>
      <c r="D20" s="201">
        <v>87.38</v>
      </c>
      <c r="E20" s="201">
        <v>148.44999999999999</v>
      </c>
      <c r="F20" s="201">
        <v>166.11</v>
      </c>
      <c r="G20" s="201">
        <v>187.42</v>
      </c>
      <c r="H20" s="199">
        <f t="shared" ref="H20:L24" si="2">G20*$M20+G20</f>
        <v>208.03619999999998</v>
      </c>
      <c r="I20" s="199">
        <f t="shared" si="2"/>
        <v>230.92018199999998</v>
      </c>
      <c r="J20" s="199">
        <f t="shared" si="2"/>
        <v>256.32140201999999</v>
      </c>
      <c r="K20" s="199">
        <f t="shared" si="2"/>
        <v>284.51675624220002</v>
      </c>
      <c r="L20" s="200">
        <f t="shared" si="2"/>
        <v>315.813599428842</v>
      </c>
      <c r="M20" s="63">
        <v>0.11</v>
      </c>
      <c r="O20" s="53"/>
      <c r="P20" s="53"/>
    </row>
    <row r="21" spans="1:16" x14ac:dyDescent="0.3">
      <c r="B21" s="197" t="s">
        <v>110</v>
      </c>
      <c r="C21" s="201">
        <v>69.709999999999994</v>
      </c>
      <c r="D21" s="201">
        <v>49.63</v>
      </c>
      <c r="E21" s="201">
        <v>57.56</v>
      </c>
      <c r="F21" s="201">
        <v>86.44</v>
      </c>
      <c r="G21" s="201">
        <v>76.67</v>
      </c>
      <c r="H21" s="199">
        <f t="shared" si="2"/>
        <v>81.662038052903583</v>
      </c>
      <c r="I21" s="199">
        <f t="shared" si="2"/>
        <v>86.979111242387802</v>
      </c>
      <c r="J21" s="199">
        <f t="shared" si="2"/>
        <v>92.642382836619362</v>
      </c>
      <c r="K21" s="199">
        <f t="shared" si="2"/>
        <v>98.674394059158374</v>
      </c>
      <c r="L21" s="200">
        <f t="shared" si="2"/>
        <v>105.09915380861086</v>
      </c>
      <c r="M21" s="63">
        <v>6.5110708920093741E-2</v>
      </c>
      <c r="O21" s="53"/>
      <c r="P21" s="53"/>
    </row>
    <row r="22" spans="1:16" x14ac:dyDescent="0.3">
      <c r="B22" s="197" t="s">
        <v>111</v>
      </c>
      <c r="C22" s="201"/>
      <c r="D22" s="201">
        <v>1.65</v>
      </c>
      <c r="E22" s="201"/>
      <c r="F22" s="201">
        <v>511.73</v>
      </c>
      <c r="G22" s="201">
        <v>187.44</v>
      </c>
      <c r="H22" s="199">
        <f t="shared" si="2"/>
        <v>168.696</v>
      </c>
      <c r="I22" s="199">
        <f t="shared" si="2"/>
        <v>151.82640000000001</v>
      </c>
      <c r="J22" s="199">
        <f t="shared" si="2"/>
        <v>136.64376000000001</v>
      </c>
      <c r="K22" s="199">
        <f t="shared" si="2"/>
        <v>122.97938400000001</v>
      </c>
      <c r="L22" s="200">
        <f t="shared" si="2"/>
        <v>110.6814456</v>
      </c>
      <c r="M22" s="63">
        <v>-0.1</v>
      </c>
      <c r="O22" s="53"/>
      <c r="P22" s="53"/>
    </row>
    <row r="23" spans="1:16" x14ac:dyDescent="0.3">
      <c r="B23" s="197" t="s">
        <v>112</v>
      </c>
      <c r="C23" s="201">
        <v>44.55</v>
      </c>
      <c r="D23" s="201">
        <v>53.65</v>
      </c>
      <c r="E23" s="201">
        <v>65.14</v>
      </c>
      <c r="F23" s="201">
        <v>28.83</v>
      </c>
      <c r="G23" s="201">
        <v>45.09</v>
      </c>
      <c r="H23" s="199">
        <f t="shared" si="2"/>
        <v>49.880945512500432</v>
      </c>
      <c r="I23" s="199">
        <f t="shared" si="2"/>
        <v>55.180943118674577</v>
      </c>
      <c r="J23" s="199">
        <f t="shared" si="2"/>
        <v>61.044081105145082</v>
      </c>
      <c r="K23" s="199">
        <f t="shared" si="2"/>
        <v>67.530194798545097</v>
      </c>
      <c r="L23" s="200">
        <f t="shared" si="2"/>
        <v>74.705477205472775</v>
      </c>
      <c r="M23" s="63">
        <v>0.10625294993347581</v>
      </c>
      <c r="O23" s="53"/>
      <c r="P23" s="53"/>
    </row>
    <row r="24" spans="1:16" x14ac:dyDescent="0.3">
      <c r="B24" s="197" t="s">
        <v>113</v>
      </c>
      <c r="C24" s="201"/>
      <c r="D24" s="201"/>
      <c r="E24" s="201">
        <v>106.28</v>
      </c>
      <c r="F24" s="201">
        <v>21.93</v>
      </c>
      <c r="G24" s="201">
        <v>142.38999999999999</v>
      </c>
      <c r="H24" s="199">
        <f t="shared" si="2"/>
        <v>158.05289999999999</v>
      </c>
      <c r="I24" s="199">
        <f t="shared" si="2"/>
        <v>175.43871899999999</v>
      </c>
      <c r="J24" s="199">
        <f t="shared" si="2"/>
        <v>194.73697808999998</v>
      </c>
      <c r="K24" s="199">
        <f t="shared" si="2"/>
        <v>216.15804567989997</v>
      </c>
      <c r="L24" s="200">
        <f t="shared" si="2"/>
        <v>239.93543070468897</v>
      </c>
      <c r="M24" s="63">
        <v>0.11</v>
      </c>
      <c r="O24" s="53"/>
      <c r="P24" s="53"/>
    </row>
    <row r="25" spans="1:16" x14ac:dyDescent="0.3">
      <c r="B25" s="197" t="s">
        <v>114</v>
      </c>
      <c r="C25" s="201">
        <v>0.06</v>
      </c>
      <c r="D25" s="201">
        <v>4.75</v>
      </c>
      <c r="E25" s="201">
        <v>2.82</v>
      </c>
      <c r="F25" s="201"/>
      <c r="G25" s="201"/>
      <c r="H25" s="199"/>
      <c r="I25" s="199"/>
      <c r="J25" s="199"/>
      <c r="K25" s="199"/>
      <c r="L25" s="200"/>
      <c r="M25" s="64"/>
      <c r="O25" s="53"/>
      <c r="P25" s="53"/>
    </row>
    <row r="26" spans="1:16" x14ac:dyDescent="0.3">
      <c r="B26" s="197" t="s">
        <v>115</v>
      </c>
      <c r="C26" s="201">
        <v>879.08</v>
      </c>
      <c r="D26" s="201">
        <v>651.71</v>
      </c>
      <c r="E26" s="198">
        <v>1299.03</v>
      </c>
      <c r="F26" s="198">
        <v>1182.18</v>
      </c>
      <c r="G26" s="201">
        <v>886.79</v>
      </c>
      <c r="H26" s="199">
        <f>G26*$M26+G26</f>
        <v>974.31569712944543</v>
      </c>
      <c r="I26" s="199">
        <f>H26*$M26+H26</f>
        <v>1070.4801335973989</v>
      </c>
      <c r="J26" s="199">
        <f>I26*$M26+I26</f>
        <v>1176.1359483408378</v>
      </c>
      <c r="K26" s="199">
        <f>J26*$M26+J26</f>
        <v>1292.2199353022754</v>
      </c>
      <c r="L26" s="200">
        <f>K26*$M26+K26</f>
        <v>1419.7613494836471</v>
      </c>
      <c r="M26" s="63">
        <v>9.8699463378528696E-2</v>
      </c>
      <c r="O26" s="53"/>
      <c r="P26" s="53"/>
    </row>
    <row r="27" spans="1:16" x14ac:dyDescent="0.3">
      <c r="B27" s="203" t="s">
        <v>116</v>
      </c>
      <c r="C27" s="204">
        <f>SUM(C20:C26)</f>
        <v>1144.31</v>
      </c>
      <c r="D27" s="204">
        <f t="shared" ref="D27:G27" si="3">SUM(D20:D26)</f>
        <v>848.77</v>
      </c>
      <c r="E27" s="204">
        <f t="shared" si="3"/>
        <v>1679.28</v>
      </c>
      <c r="F27" s="204">
        <f t="shared" si="3"/>
        <v>1997.22</v>
      </c>
      <c r="G27" s="204">
        <f t="shared" si="3"/>
        <v>1525.8</v>
      </c>
      <c r="H27" s="204">
        <f t="shared" ref="H27" si="4">SUM(H20:H26)</f>
        <v>1640.6437806948493</v>
      </c>
      <c r="I27" s="204">
        <f t="shared" ref="I27" si="5">SUM(I20:I26)</f>
        <v>1770.8254889584614</v>
      </c>
      <c r="J27" s="204">
        <f t="shared" ref="J27" si="6">SUM(J20:J26)</f>
        <v>1917.5245523926023</v>
      </c>
      <c r="K27" s="204">
        <f t="shared" ref="K27" si="7">SUM(K20:K26)</f>
        <v>2082.0787100820789</v>
      </c>
      <c r="L27" s="205">
        <f t="shared" ref="L27" si="8">SUM(L20:L26)</f>
        <v>2265.9964562312616</v>
      </c>
      <c r="M27" s="62"/>
      <c r="N27" s="53"/>
      <c r="O27" s="53"/>
      <c r="P27" s="53"/>
    </row>
    <row r="28" spans="1:16" x14ac:dyDescent="0.3">
      <c r="B28" s="171"/>
      <c r="L28" s="202"/>
    </row>
    <row r="29" spans="1:16" ht="18.600000000000001" thickBot="1" x14ac:dyDescent="0.4">
      <c r="A29" s="219" t="s">
        <v>238</v>
      </c>
      <c r="B29" s="207" t="s">
        <v>117</v>
      </c>
      <c r="C29" s="208">
        <f>C27+C17</f>
        <v>145452.36000000004</v>
      </c>
      <c r="D29" s="208">
        <f t="shared" ref="D29:K29" si="9">D27+D17</f>
        <v>156521.23000000004</v>
      </c>
      <c r="E29" s="208">
        <f t="shared" si="9"/>
        <v>183340.69999999998</v>
      </c>
      <c r="F29" s="208">
        <f t="shared" si="9"/>
        <v>221112.90999999997</v>
      </c>
      <c r="G29" s="208">
        <f t="shared" si="9"/>
        <v>255734.44999999995</v>
      </c>
      <c r="H29" s="208">
        <f t="shared" si="9"/>
        <v>292483.15845542215</v>
      </c>
      <c r="I29" s="208">
        <f t="shared" si="9"/>
        <v>334843.03225515445</v>
      </c>
      <c r="J29" s="208">
        <f t="shared" si="9"/>
        <v>383692.99607288494</v>
      </c>
      <c r="K29" s="208">
        <f t="shared" si="9"/>
        <v>440052.94909613364</v>
      </c>
      <c r="L29" s="209">
        <f>L27+L17</f>
        <v>505106.95533713326</v>
      </c>
    </row>
    <row r="31" spans="1:16" ht="15" thickBot="1" x14ac:dyDescent="0.35"/>
    <row r="32" spans="1:16" ht="18" x14ac:dyDescent="0.35">
      <c r="B32" s="210" t="s">
        <v>61</v>
      </c>
      <c r="C32" s="211">
        <v>3429.35</v>
      </c>
      <c r="D32" s="211">
        <v>2267.08</v>
      </c>
      <c r="E32" s="211">
        <v>2929.17</v>
      </c>
      <c r="F32" s="211">
        <v>4158.03</v>
      </c>
      <c r="G32" s="211">
        <v>4124.82</v>
      </c>
      <c r="H32" s="211">
        <f>$M$32*G32+G32</f>
        <v>4454.8055999999997</v>
      </c>
      <c r="I32" s="211">
        <f>$M$32*H32+H32</f>
        <v>4811.1900479999995</v>
      </c>
      <c r="J32" s="211">
        <f>$M$32*I32+I32</f>
        <v>5196.0852518399997</v>
      </c>
      <c r="K32" s="211">
        <f>$M$32*J32+J32</f>
        <v>5611.7720719871995</v>
      </c>
      <c r="L32" s="212">
        <f>$M$32*K32+K32</f>
        <v>6060.7138377461752</v>
      </c>
      <c r="M32" s="63">
        <v>0.08</v>
      </c>
    </row>
    <row r="33" spans="1:13" x14ac:dyDescent="0.3">
      <c r="B33" s="213" t="s">
        <v>80</v>
      </c>
      <c r="C33" s="9"/>
      <c r="D33" s="9"/>
      <c r="E33" s="9"/>
      <c r="F33" s="9"/>
      <c r="G33" s="9"/>
      <c r="L33" s="202"/>
    </row>
    <row r="34" spans="1:13" x14ac:dyDescent="0.3">
      <c r="B34" s="214" t="s">
        <v>72</v>
      </c>
      <c r="C34" s="10">
        <v>15562.05</v>
      </c>
      <c r="D34" s="10">
        <v>17100.84</v>
      </c>
      <c r="E34" s="10">
        <v>18995.11</v>
      </c>
      <c r="F34" s="10">
        <v>19442.25</v>
      </c>
      <c r="G34" s="10">
        <v>27655.02</v>
      </c>
      <c r="H34" s="45">
        <f t="shared" ref="H34:L41" si="10">G34*(1+$M34)</f>
        <v>30973.622400000004</v>
      </c>
      <c r="I34" s="45">
        <f t="shared" si="10"/>
        <v>34690.45708800001</v>
      </c>
      <c r="J34" s="45">
        <f t="shared" si="10"/>
        <v>38853.311938560015</v>
      </c>
      <c r="K34" s="45">
        <f t="shared" si="10"/>
        <v>43515.709371187222</v>
      </c>
      <c r="L34" s="215">
        <f t="shared" si="10"/>
        <v>48737.594495729696</v>
      </c>
      <c r="M34" s="63">
        <v>0.12</v>
      </c>
    </row>
    <row r="35" spans="1:13" x14ac:dyDescent="0.3">
      <c r="B35" s="214" t="s">
        <v>73</v>
      </c>
      <c r="C35" s="10">
        <v>24558.23</v>
      </c>
      <c r="D35" s="10">
        <v>33506.21</v>
      </c>
      <c r="E35" s="10">
        <v>43237.35</v>
      </c>
      <c r="F35" s="10">
        <v>54813.97</v>
      </c>
      <c r="G35" s="10">
        <v>63526.44</v>
      </c>
      <c r="H35" s="45">
        <f t="shared" si="10"/>
        <v>77502.256800000003</v>
      </c>
      <c r="I35" s="45">
        <f t="shared" si="10"/>
        <v>94552.753295999995</v>
      </c>
      <c r="J35" s="45">
        <f t="shared" si="10"/>
        <v>115354.35902111999</v>
      </c>
      <c r="K35" s="45">
        <f t="shared" si="10"/>
        <v>140732.3180057664</v>
      </c>
      <c r="L35" s="215">
        <f t="shared" si="10"/>
        <v>171693.42796703501</v>
      </c>
      <c r="M35" s="63">
        <v>0.22</v>
      </c>
    </row>
    <row r="36" spans="1:13" x14ac:dyDescent="0.3">
      <c r="B36" s="214" t="s">
        <v>74</v>
      </c>
      <c r="C36" s="10">
        <v>1213.58</v>
      </c>
      <c r="D36" s="10">
        <v>1069.5</v>
      </c>
      <c r="E36" s="10">
        <v>1052.8599999999999</v>
      </c>
      <c r="F36" s="10">
        <v>1063.77</v>
      </c>
      <c r="G36" s="10">
        <v>1402.14</v>
      </c>
      <c r="H36" s="45">
        <f t="shared" si="10"/>
        <v>1410.8929560893373</v>
      </c>
      <c r="I36" s="45">
        <f t="shared" si="10"/>
        <v>1419.7005531134612</v>
      </c>
      <c r="J36" s="45">
        <f t="shared" si="10"/>
        <v>1428.5631321721928</v>
      </c>
      <c r="K36" s="45">
        <f t="shared" si="10"/>
        <v>1437.481036494692</v>
      </c>
      <c r="L36" s="215">
        <f t="shared" si="10"/>
        <v>1446.4546114527511</v>
      </c>
      <c r="M36" s="63">
        <v>6.2425692793425195E-3</v>
      </c>
    </row>
    <row r="37" spans="1:13" x14ac:dyDescent="0.3">
      <c r="B37" s="214" t="s">
        <v>75</v>
      </c>
      <c r="C37" s="10">
        <v>2032.89</v>
      </c>
      <c r="D37" s="10">
        <v>3091.07</v>
      </c>
      <c r="E37" s="10">
        <v>4814.8900000000003</v>
      </c>
      <c r="F37" s="10">
        <v>4432.0200000000004</v>
      </c>
      <c r="G37" s="10">
        <v>4393.3900000000003</v>
      </c>
      <c r="H37" s="45">
        <f t="shared" si="10"/>
        <v>4478.8067500530542</v>
      </c>
      <c r="I37" s="45">
        <f t="shared" si="10"/>
        <v>4565.8841815365358</v>
      </c>
      <c r="J37" s="45">
        <f t="shared" si="10"/>
        <v>4654.6545815933259</v>
      </c>
      <c r="K37" s="45">
        <f t="shared" si="10"/>
        <v>4745.1508650963297</v>
      </c>
      <c r="L37" s="215">
        <f t="shared" si="10"/>
        <v>4837.4065868528696</v>
      </c>
      <c r="M37" s="63">
        <v>1.9442105083558273E-2</v>
      </c>
    </row>
    <row r="38" spans="1:13" x14ac:dyDescent="0.3">
      <c r="B38" s="214" t="s">
        <v>76</v>
      </c>
      <c r="C38" s="10">
        <v>22316.18</v>
      </c>
      <c r="D38" s="10">
        <v>24772.33</v>
      </c>
      <c r="E38" s="10">
        <v>25624.45</v>
      </c>
      <c r="F38" s="10">
        <v>35054.35</v>
      </c>
      <c r="G38" s="10">
        <v>40570.92</v>
      </c>
      <c r="H38" s="45">
        <f t="shared" si="10"/>
        <v>46807.798465388689</v>
      </c>
      <c r="I38" s="45">
        <f t="shared" si="10"/>
        <v>54003.458565308443</v>
      </c>
      <c r="J38" s="45">
        <f t="shared" si="10"/>
        <v>62305.291695601831</v>
      </c>
      <c r="K38" s="45">
        <f t="shared" si="10"/>
        <v>71883.347407822788</v>
      </c>
      <c r="L38" s="215">
        <f t="shared" si="10"/>
        <v>82933.816597772238</v>
      </c>
      <c r="M38" s="63">
        <v>0.15372780467854036</v>
      </c>
    </row>
    <row r="39" spans="1:13" x14ac:dyDescent="0.3">
      <c r="B39" s="214" t="s">
        <v>77</v>
      </c>
      <c r="C39" s="10">
        <v>343.37</v>
      </c>
      <c r="D39" s="10">
        <v>-2076.6</v>
      </c>
      <c r="E39" s="10">
        <v>-3156.64</v>
      </c>
      <c r="F39" s="10">
        <v>1021.07</v>
      </c>
      <c r="G39" s="10">
        <v>-410.79</v>
      </c>
      <c r="H39" s="45">
        <f t="shared" si="10"/>
        <v>-408.72682383209701</v>
      </c>
      <c r="I39" s="45">
        <f t="shared" si="10"/>
        <v>-406.67400988308879</v>
      </c>
      <c r="J39" s="45">
        <f t="shared" si="10"/>
        <v>-404.63150610914988</v>
      </c>
      <c r="K39" s="45">
        <f t="shared" si="10"/>
        <v>-402.59926072784287</v>
      </c>
      <c r="L39" s="215">
        <f t="shared" si="10"/>
        <v>-400.57722221680547</v>
      </c>
      <c r="M39" s="63">
        <v>-5.0224595727818202E-3</v>
      </c>
    </row>
    <row r="40" spans="1:13" x14ac:dyDescent="0.3">
      <c r="B40" s="214" t="s">
        <v>78</v>
      </c>
      <c r="C40" s="10">
        <v>12983.56</v>
      </c>
      <c r="D40" s="10">
        <v>16322.62</v>
      </c>
      <c r="E40" s="10">
        <v>20020.810000000001</v>
      </c>
      <c r="F40" s="10">
        <v>24486.49</v>
      </c>
      <c r="G40" s="10">
        <v>27533.55</v>
      </c>
      <c r="H40" s="45">
        <f t="shared" si="10"/>
        <v>30562.240500000004</v>
      </c>
      <c r="I40" s="45">
        <f t="shared" si="10"/>
        <v>33924.086955000006</v>
      </c>
      <c r="J40" s="45">
        <f t="shared" si="10"/>
        <v>37655.736520050013</v>
      </c>
      <c r="K40" s="45">
        <f t="shared" si="10"/>
        <v>41797.867537255515</v>
      </c>
      <c r="L40" s="215">
        <f t="shared" si="10"/>
        <v>46395.632966353623</v>
      </c>
      <c r="M40" s="63">
        <v>0.11</v>
      </c>
    </row>
    <row r="41" spans="1:13" x14ac:dyDescent="0.3">
      <c r="B41" s="214" t="s">
        <v>79</v>
      </c>
      <c r="C41" s="10">
        <v>7691.04</v>
      </c>
      <c r="D41" s="10">
        <v>5952.54</v>
      </c>
      <c r="E41" s="10">
        <v>6026.44</v>
      </c>
      <c r="F41" s="10">
        <v>5714.9</v>
      </c>
      <c r="G41" s="10">
        <v>6302.23</v>
      </c>
      <c r="H41" s="45">
        <f t="shared" si="10"/>
        <v>6521.883922517256</v>
      </c>
      <c r="I41" s="45">
        <f t="shared" si="10"/>
        <v>6749.1935233701524</v>
      </c>
      <c r="J41" s="45">
        <f t="shared" si="10"/>
        <v>6984.4256287100588</v>
      </c>
      <c r="K41" s="45">
        <f t="shared" si="10"/>
        <v>7227.8563644775923</v>
      </c>
      <c r="L41" s="215">
        <f t="shared" si="10"/>
        <v>7479.7714805315636</v>
      </c>
      <c r="M41" s="63">
        <v>3.4853365002111475E-2</v>
      </c>
    </row>
    <row r="42" spans="1:13" ht="18" x14ac:dyDescent="0.35">
      <c r="A42" s="219" t="s">
        <v>238</v>
      </c>
      <c r="B42" s="216" t="s">
        <v>83</v>
      </c>
      <c r="C42" s="61">
        <f>SUM(C34:C41)</f>
        <v>86700.89999999998</v>
      </c>
      <c r="D42" s="61">
        <f t="shared" ref="D42:F42" si="11">SUM(D34:D41)</f>
        <v>99738.51</v>
      </c>
      <c r="E42" s="61">
        <f t="shared" si="11"/>
        <v>116615.27</v>
      </c>
      <c r="F42" s="61">
        <f t="shared" si="11"/>
        <v>146028.82</v>
      </c>
      <c r="G42" s="61">
        <f>SUM(G34:G41)</f>
        <v>170972.9</v>
      </c>
      <c r="H42" s="61">
        <f t="shared" ref="H42:L42" si="12">SUM(H34:H41)</f>
        <v>197848.77497021627</v>
      </c>
      <c r="I42" s="61">
        <f t="shared" si="12"/>
        <v>229498.86015244556</v>
      </c>
      <c r="J42" s="61">
        <f t="shared" si="12"/>
        <v>266831.71101169824</v>
      </c>
      <c r="K42" s="61">
        <f t="shared" si="12"/>
        <v>310937.13132737268</v>
      </c>
      <c r="L42" s="217">
        <f t="shared" si="12"/>
        <v>363123.5274835109</v>
      </c>
    </row>
    <row r="43" spans="1:13" x14ac:dyDescent="0.3">
      <c r="B43" s="171"/>
      <c r="L43" s="202"/>
    </row>
    <row r="44" spans="1:13" ht="18" x14ac:dyDescent="0.35">
      <c r="B44" s="216" t="s">
        <v>131</v>
      </c>
      <c r="C44" s="38">
        <v>24750.54</v>
      </c>
      <c r="D44" s="38">
        <v>29733.53</v>
      </c>
      <c r="E44" s="38">
        <v>37214.11</v>
      </c>
      <c r="F44" s="38">
        <v>41171.019999999997</v>
      </c>
      <c r="G44" s="38">
        <v>46768.68</v>
      </c>
      <c r="H44" s="61">
        <f>$M44*H$29</f>
        <v>46797.305352867545</v>
      </c>
      <c r="I44" s="61">
        <f t="shared" ref="I44:L45" si="13">$M44*I$29</f>
        <v>53574.885160824713</v>
      </c>
      <c r="J44" s="61">
        <f t="shared" si="13"/>
        <v>61390.879371661591</v>
      </c>
      <c r="K44" s="61">
        <f t="shared" si="13"/>
        <v>70408.471855381387</v>
      </c>
      <c r="L44" s="217">
        <f t="shared" si="13"/>
        <v>80817.112853941318</v>
      </c>
      <c r="M44" s="63">
        <v>0.16</v>
      </c>
    </row>
    <row r="45" spans="1:13" ht="18.600000000000001" thickBot="1" x14ac:dyDescent="0.4">
      <c r="B45" s="207" t="s">
        <v>132</v>
      </c>
      <c r="C45" s="218">
        <v>8903.49</v>
      </c>
      <c r="D45" s="218">
        <v>8831.89</v>
      </c>
      <c r="E45" s="218">
        <v>8758.0400000000009</v>
      </c>
      <c r="F45" s="218">
        <v>10419.42</v>
      </c>
      <c r="G45" s="218">
        <v>11558.13</v>
      </c>
      <c r="H45" s="208">
        <f>$M45*H$29</f>
        <v>8774.4947536626642</v>
      </c>
      <c r="I45" s="208">
        <f t="shared" si="13"/>
        <v>10045.290967654633</v>
      </c>
      <c r="J45" s="208">
        <f t="shared" si="13"/>
        <v>11510.789882186547</v>
      </c>
      <c r="K45" s="208">
        <f t="shared" si="13"/>
        <v>13201.588472884008</v>
      </c>
      <c r="L45" s="209">
        <f>$M45*L$29</f>
        <v>15153.208660113996</v>
      </c>
      <c r="M45" s="63">
        <v>0.03</v>
      </c>
    </row>
    <row r="46" spans="1:13" ht="15" thickBot="1" x14ac:dyDescent="0.35">
      <c r="D46" s="67"/>
      <c r="E46" s="67"/>
      <c r="F46" s="67"/>
      <c r="G46" s="67"/>
    </row>
    <row r="47" spans="1:13" x14ac:dyDescent="0.3">
      <c r="B47" s="164" t="s">
        <v>133</v>
      </c>
      <c r="C47" s="165"/>
      <c r="D47" s="166"/>
      <c r="E47" s="166"/>
      <c r="F47" s="166"/>
      <c r="G47" s="166"/>
      <c r="H47" s="166"/>
      <c r="I47" s="166"/>
      <c r="J47" s="166"/>
      <c r="K47" s="166"/>
      <c r="L47" s="167"/>
    </row>
    <row r="48" spans="1:13" x14ac:dyDescent="0.3">
      <c r="B48" s="168" t="s">
        <v>15</v>
      </c>
      <c r="C48" s="10">
        <v>17516.36</v>
      </c>
      <c r="D48" s="169">
        <f>C50</f>
        <v>20583.099999999999</v>
      </c>
      <c r="E48" s="169">
        <f>D50</f>
        <v>20201.77</v>
      </c>
      <c r="F48" s="37">
        <f>E50</f>
        <v>22455.22</v>
      </c>
      <c r="G48" s="37">
        <f>F50</f>
        <v>25885.61</v>
      </c>
      <c r="H48" s="37">
        <f t="shared" ref="H48:L48" si="14">G50</f>
        <v>29792.91</v>
      </c>
      <c r="I48" s="37">
        <f t="shared" si="14"/>
        <v>33404.016035383094</v>
      </c>
      <c r="J48" s="37">
        <f t="shared" si="14"/>
        <v>37538.112853360581</v>
      </c>
      <c r="K48" s="37">
        <f t="shared" si="14"/>
        <v>42275.329523099848</v>
      </c>
      <c r="L48" s="170">
        <f t="shared" si="14"/>
        <v>47708.387169088623</v>
      </c>
    </row>
    <row r="49" spans="2:13" x14ac:dyDescent="0.3">
      <c r="B49" s="171" t="s">
        <v>135</v>
      </c>
      <c r="C49" s="10">
        <v>3066.739999999998</v>
      </c>
      <c r="D49" s="10">
        <v>-381.32999999999811</v>
      </c>
      <c r="E49" s="10">
        <v>2253.4500000000007</v>
      </c>
      <c r="F49" s="10">
        <v>3430.3899999999994</v>
      </c>
      <c r="G49" s="10">
        <v>3907.2999999999993</v>
      </c>
      <c r="H49" s="37">
        <f>$M49*H29</f>
        <v>3611.1060353830949</v>
      </c>
      <c r="I49" s="37">
        <f t="shared" ref="I49:L49" si="15">$M49*I29</f>
        <v>4134.0968179774827</v>
      </c>
      <c r="J49" s="37">
        <f t="shared" si="15"/>
        <v>4737.2166697392659</v>
      </c>
      <c r="K49" s="37">
        <f t="shared" si="15"/>
        <v>5433.0576459887761</v>
      </c>
      <c r="L49" s="170">
        <f t="shared" si="15"/>
        <v>6236.2386421298834</v>
      </c>
      <c r="M49" s="63">
        <v>1.2346372538005362E-2</v>
      </c>
    </row>
    <row r="50" spans="2:13" x14ac:dyDescent="0.3">
      <c r="B50" s="172" t="s">
        <v>137</v>
      </c>
      <c r="C50" s="77">
        <f>SUM(C48:C49)</f>
        <v>20583.099999999999</v>
      </c>
      <c r="D50" s="77">
        <f>SUM(D48:D49)</f>
        <v>20201.77</v>
      </c>
      <c r="E50" s="77">
        <f>SUM(E48:E49)</f>
        <v>22455.22</v>
      </c>
      <c r="F50" s="77">
        <f>SUM(F48:F49)</f>
        <v>25885.61</v>
      </c>
      <c r="G50" s="77">
        <f>SUM(G48:G49)</f>
        <v>29792.91</v>
      </c>
      <c r="H50" s="77">
        <f t="shared" ref="H50:L50" si="16">SUM(H48:H49)</f>
        <v>33404.016035383094</v>
      </c>
      <c r="I50" s="77">
        <f t="shared" si="16"/>
        <v>37538.112853360581</v>
      </c>
      <c r="J50" s="77">
        <f t="shared" si="16"/>
        <v>42275.329523099848</v>
      </c>
      <c r="K50" s="77">
        <f t="shared" si="16"/>
        <v>47708.387169088623</v>
      </c>
      <c r="L50" s="173">
        <f t="shared" si="16"/>
        <v>53944.625811218502</v>
      </c>
    </row>
    <row r="51" spans="2:13" x14ac:dyDescent="0.3">
      <c r="B51" s="171" t="s">
        <v>138</v>
      </c>
      <c r="C51" s="10">
        <v>7788.9999999999964</v>
      </c>
      <c r="D51" s="10">
        <v>8099.2299999999959</v>
      </c>
      <c r="E51" s="10">
        <v>9290.6399999999958</v>
      </c>
      <c r="F51" s="10">
        <v>10345.999999999995</v>
      </c>
      <c r="G51" s="10">
        <v>13148.069999999994</v>
      </c>
      <c r="H51" s="37">
        <f>G51+G52</f>
        <v>15664.349999999995</v>
      </c>
      <c r="I51" s="37">
        <f t="shared" ref="I51:K51" si="17">H51+H52</f>
        <v>18378.509666259182</v>
      </c>
      <c r="J51" s="37">
        <f t="shared" si="17"/>
        <v>21425.307619067575</v>
      </c>
      <c r="K51" s="37">
        <f t="shared" si="17"/>
        <v>24853.107667478227</v>
      </c>
      <c r="L51" s="170">
        <f>K51+K52</f>
        <v>28717.69713072665</v>
      </c>
    </row>
    <row r="52" spans="2:13" ht="15" thickBot="1" x14ac:dyDescent="0.35">
      <c r="B52" s="171" t="s">
        <v>140</v>
      </c>
      <c r="C52" s="10">
        <v>1407.81</v>
      </c>
      <c r="D52" s="10">
        <v>1523.67</v>
      </c>
      <c r="E52" s="10">
        <v>1828.3</v>
      </c>
      <c r="F52" s="10">
        <v>2241.9699999999998</v>
      </c>
      <c r="G52" s="10">
        <v>2516.2800000000002</v>
      </c>
      <c r="H52" s="37">
        <f>$M52*AVERAGE(G50:H50)</f>
        <v>2714.159666259186</v>
      </c>
      <c r="I52" s="37">
        <f t="shared" ref="I52:L52" si="18">$M52*AVERAGE(H50:I50)</f>
        <v>3046.7979528083933</v>
      </c>
      <c r="J52" s="37">
        <f t="shared" si="18"/>
        <v>3427.8000484106528</v>
      </c>
      <c r="K52" s="37">
        <f t="shared" si="18"/>
        <v>3864.5894632484219</v>
      </c>
      <c r="L52" s="170">
        <f t="shared" si="18"/>
        <v>4365.7583539806519</v>
      </c>
      <c r="M52" s="63">
        <v>8.5895306513470771E-2</v>
      </c>
    </row>
    <row r="53" spans="2:13" ht="15" thickBot="1" x14ac:dyDescent="0.35">
      <c r="B53" s="174" t="s">
        <v>139</v>
      </c>
      <c r="C53" s="78">
        <f>BS!C3</f>
        <v>11386.29</v>
      </c>
      <c r="D53" s="78">
        <f>BS!D3</f>
        <v>10578.87</v>
      </c>
      <c r="E53" s="78">
        <f>BS!E3</f>
        <v>11336.28</v>
      </c>
      <c r="F53" s="78">
        <f>BS!F3</f>
        <v>13297.64</v>
      </c>
      <c r="G53" s="78">
        <f>BS!G3</f>
        <v>14128.56</v>
      </c>
      <c r="H53" s="78">
        <f>H50-H51-H52</f>
        <v>15025.506369123914</v>
      </c>
      <c r="I53" s="78">
        <f t="shared" ref="I53:L53" si="19">I50-I51-I52</f>
        <v>16112.805234293006</v>
      </c>
      <c r="J53" s="78">
        <f t="shared" si="19"/>
        <v>17422.221855621621</v>
      </c>
      <c r="K53" s="78">
        <f t="shared" si="19"/>
        <v>18990.690038361972</v>
      </c>
      <c r="L53" s="175">
        <f t="shared" si="19"/>
        <v>20861.170326511201</v>
      </c>
    </row>
    <row r="54" spans="2:13" x14ac:dyDescent="0.3">
      <c r="B54" s="171"/>
      <c r="C54" s="176"/>
      <c r="D54" s="169"/>
      <c r="E54" s="169"/>
      <c r="F54" s="37"/>
      <c r="G54" s="37"/>
      <c r="H54" s="37"/>
      <c r="I54" s="37"/>
      <c r="J54" s="37"/>
      <c r="K54" s="37"/>
      <c r="L54" s="170"/>
    </row>
    <row r="55" spans="2:13" x14ac:dyDescent="0.3">
      <c r="B55" s="168" t="s">
        <v>17</v>
      </c>
      <c r="C55" s="10">
        <v>2155.0300000000002</v>
      </c>
      <c r="D55" s="37">
        <f>C57</f>
        <v>2585</v>
      </c>
      <c r="E55" s="37">
        <f>D57</f>
        <v>3008.94</v>
      </c>
      <c r="F55" s="37">
        <f t="shared" ref="F55:L55" si="20">E57</f>
        <v>2819.07</v>
      </c>
      <c r="G55" s="37">
        <f t="shared" si="20"/>
        <v>2191.87</v>
      </c>
      <c r="H55" s="37">
        <f t="shared" si="20"/>
        <v>1368.4</v>
      </c>
      <c r="I55" s="37">
        <f t="shared" si="20"/>
        <v>1397.6483158455424</v>
      </c>
      <c r="J55" s="37">
        <f t="shared" si="20"/>
        <v>1431.1326190710579</v>
      </c>
      <c r="K55" s="37">
        <f t="shared" si="20"/>
        <v>1469.5019186783463</v>
      </c>
      <c r="L55" s="170">
        <f t="shared" si="20"/>
        <v>1513.5072135879598</v>
      </c>
    </row>
    <row r="56" spans="2:13" x14ac:dyDescent="0.3">
      <c r="B56" s="171" t="s">
        <v>136</v>
      </c>
      <c r="C56" s="10">
        <v>429.9699999999998</v>
      </c>
      <c r="D56" s="10">
        <v>423.94000000000005</v>
      </c>
      <c r="E56" s="10">
        <v>-189.86999999999989</v>
      </c>
      <c r="F56" s="10">
        <v>-627.20000000000027</v>
      </c>
      <c r="G56" s="10">
        <v>-823.4699999999998</v>
      </c>
      <c r="H56" s="37">
        <f>$M56*H29</f>
        <v>29.248315845542216</v>
      </c>
      <c r="I56" s="37">
        <f>$M56*I29</f>
        <v>33.484303225515447</v>
      </c>
      <c r="J56" s="37">
        <f>$M56*J29</f>
        <v>38.369299607288497</v>
      </c>
      <c r="K56" s="37">
        <f>$M56*K29</f>
        <v>44.005294909613369</v>
      </c>
      <c r="L56" s="170">
        <f>$M56*L29</f>
        <v>50.510695533713331</v>
      </c>
      <c r="M56" s="63">
        <v>1E-4</v>
      </c>
    </row>
    <row r="57" spans="2:13" x14ac:dyDescent="0.3">
      <c r="B57" s="172" t="str">
        <f>B50</f>
        <v xml:space="preserve">     Closing Gross</v>
      </c>
      <c r="C57" s="75">
        <f>SUM(C55:C56)</f>
        <v>2585</v>
      </c>
      <c r="D57" s="79">
        <f t="shared" ref="D57:G57" si="21">SUM(D55:D56)</f>
        <v>3008.94</v>
      </c>
      <c r="E57" s="79">
        <f t="shared" si="21"/>
        <v>2819.07</v>
      </c>
      <c r="F57" s="79">
        <f t="shared" si="21"/>
        <v>2191.87</v>
      </c>
      <c r="G57" s="79">
        <f t="shared" si="21"/>
        <v>1368.4</v>
      </c>
      <c r="H57" s="79">
        <f t="shared" ref="H57" si="22">SUM(H55:H56)</f>
        <v>1397.6483158455424</v>
      </c>
      <c r="I57" s="79">
        <f t="shared" ref="I57" si="23">SUM(I55:I56)</f>
        <v>1431.1326190710579</v>
      </c>
      <c r="J57" s="79">
        <f t="shared" ref="J57" si="24">SUM(J55:J56)</f>
        <v>1469.5019186783463</v>
      </c>
      <c r="K57" s="79">
        <f t="shared" ref="K57" si="25">SUM(K55:K56)</f>
        <v>1513.5072135879598</v>
      </c>
      <c r="L57" s="177">
        <f t="shared" ref="L57" si="26">SUM(L55:L56)</f>
        <v>1564.017909121673</v>
      </c>
    </row>
    <row r="58" spans="2:13" x14ac:dyDescent="0.3">
      <c r="B58" s="178" t="str">
        <f>B51</f>
        <v xml:space="preserve">     Accum Dep</v>
      </c>
      <c r="C58" s="10">
        <f>C60+C57-C59-C61</f>
        <v>97.249999999999545</v>
      </c>
      <c r="D58" s="10">
        <f>D60+D57-D59-D61</f>
        <v>142.83999999999969</v>
      </c>
      <c r="E58" s="10">
        <f t="shared" ref="E58:G58" si="27">E60+E57-E59-E61</f>
        <v>172.61999999999989</v>
      </c>
      <c r="F58" s="10">
        <f t="shared" si="27"/>
        <v>214.73000000000002</v>
      </c>
      <c r="G58" s="10">
        <f t="shared" si="27"/>
        <v>140.70000000000027</v>
      </c>
      <c r="H58" s="37">
        <f>SUM(G58:G59)</f>
        <v>211.07000000000028</v>
      </c>
      <c r="I58" s="37">
        <f t="shared" ref="I58:L58" si="28">SUM(H58:H59)</f>
        <v>266.39096631691115</v>
      </c>
      <c r="J58" s="37">
        <f t="shared" si="28"/>
        <v>322.96658501524314</v>
      </c>
      <c r="K58" s="37">
        <f t="shared" si="28"/>
        <v>380.97927577023125</v>
      </c>
      <c r="L58" s="170">
        <f t="shared" si="28"/>
        <v>440.63945841555739</v>
      </c>
    </row>
    <row r="59" spans="2:13" x14ac:dyDescent="0.3">
      <c r="B59" s="178" t="s">
        <v>140</v>
      </c>
      <c r="C59" s="10">
        <v>41.33</v>
      </c>
      <c r="D59" s="10">
        <v>49.76</v>
      </c>
      <c r="E59" s="10">
        <v>92.28</v>
      </c>
      <c r="F59" s="10">
        <v>40.700000000000003</v>
      </c>
      <c r="G59" s="10">
        <v>70.37</v>
      </c>
      <c r="H59" s="37">
        <f>$M59*AVERAGE(G57:H57)</f>
        <v>55.320966316910855</v>
      </c>
      <c r="I59" s="37">
        <f t="shared" ref="I59:L59" si="29">$M59*AVERAGE(H57:I57)</f>
        <v>56.575618698332001</v>
      </c>
      <c r="J59" s="37">
        <f t="shared" si="29"/>
        <v>58.012690754988093</v>
      </c>
      <c r="K59" s="37">
        <f t="shared" si="29"/>
        <v>59.660182645326124</v>
      </c>
      <c r="L59" s="170">
        <f t="shared" si="29"/>
        <v>61.55050245419266</v>
      </c>
      <c r="M59" s="63">
        <v>0.04</v>
      </c>
    </row>
    <row r="60" spans="2:13" ht="15" thickBot="1" x14ac:dyDescent="0.35">
      <c r="B60" s="178" t="s">
        <v>148</v>
      </c>
      <c r="C60" s="176">
        <v>1200.3599999999999</v>
      </c>
      <c r="D60" s="179">
        <v>1146.6400000000001</v>
      </c>
      <c r="E60" s="73">
        <v>806.05</v>
      </c>
      <c r="F60" s="37"/>
      <c r="G60" s="37"/>
      <c r="H60" s="37"/>
      <c r="I60" s="37"/>
      <c r="J60" s="37"/>
      <c r="K60" s="37"/>
      <c r="L60" s="170"/>
    </row>
    <row r="61" spans="2:13" ht="15" thickBot="1" x14ac:dyDescent="0.35">
      <c r="B61" s="174" t="str">
        <f>B53</f>
        <v xml:space="preserve">     Net </v>
      </c>
      <c r="C61" s="78">
        <f>BS!C5</f>
        <v>3646.78</v>
      </c>
      <c r="D61" s="80">
        <f>BS!D5</f>
        <v>3962.98</v>
      </c>
      <c r="E61" s="78">
        <f>BS!E5</f>
        <v>3360.22</v>
      </c>
      <c r="F61" s="78">
        <f>BS!F5</f>
        <v>1936.44</v>
      </c>
      <c r="G61" s="78">
        <f>BS!G5</f>
        <v>1157.33</v>
      </c>
      <c r="H61" s="78">
        <f>H57-H58-H59</f>
        <v>1131.257349528631</v>
      </c>
      <c r="I61" s="78">
        <f t="shared" ref="I61:L61" si="30">I57-I58-I59</f>
        <v>1108.1660340558149</v>
      </c>
      <c r="J61" s="78">
        <f t="shared" si="30"/>
        <v>1088.5226429081151</v>
      </c>
      <c r="K61" s="78">
        <f t="shared" si="30"/>
        <v>1072.8677551724024</v>
      </c>
      <c r="L61" s="175">
        <f t="shared" si="30"/>
        <v>1061.8279482519231</v>
      </c>
    </row>
    <row r="62" spans="2:13" x14ac:dyDescent="0.3">
      <c r="B62" s="171"/>
      <c r="C62" s="180"/>
      <c r="D62" s="37"/>
      <c r="E62" s="37"/>
      <c r="F62" s="37"/>
      <c r="G62" s="37"/>
      <c r="H62" s="37"/>
      <c r="I62" s="37"/>
      <c r="J62" s="37"/>
      <c r="K62" s="37"/>
      <c r="L62" s="170"/>
    </row>
    <row r="63" spans="2:13" x14ac:dyDescent="0.3">
      <c r="B63" s="172" t="str">
        <f>BS!B10</f>
        <v xml:space="preserve">     Right-of-use assets</v>
      </c>
      <c r="C63" s="37"/>
      <c r="D63" s="37"/>
      <c r="E63" s="37"/>
      <c r="F63" s="37"/>
      <c r="G63" s="37"/>
      <c r="H63" s="37"/>
      <c r="I63" s="37"/>
      <c r="J63" s="37"/>
      <c r="K63" s="37"/>
      <c r="L63" s="170"/>
    </row>
    <row r="64" spans="2:13" x14ac:dyDescent="0.3">
      <c r="B64" s="171" t="s">
        <v>149</v>
      </c>
      <c r="C64" s="10">
        <v>368.15</v>
      </c>
      <c r="D64" s="10">
        <v>454.94</v>
      </c>
      <c r="E64" s="10">
        <v>657.81</v>
      </c>
      <c r="F64" s="10">
        <v>797.15</v>
      </c>
      <c r="G64" s="10">
        <v>1284.98</v>
      </c>
      <c r="H64" s="37">
        <f>$M$64*H29</f>
        <v>1032.780678298657</v>
      </c>
      <c r="I64" s="37">
        <f>$M$64*I29</f>
        <v>1182.3566724398745</v>
      </c>
      <c r="J64" s="37">
        <f>$M$64*J29</f>
        <v>1354.8496769361657</v>
      </c>
      <c r="K64" s="37">
        <f>$M$64*K29</f>
        <v>1553.8610347853485</v>
      </c>
      <c r="L64" s="170">
        <f>$M$64*L29</f>
        <v>1783.5717676919223</v>
      </c>
      <c r="M64" s="63">
        <v>3.5310774259710576E-3</v>
      </c>
    </row>
    <row r="65" spans="1:17" x14ac:dyDescent="0.3">
      <c r="B65" s="171" t="s">
        <v>140</v>
      </c>
      <c r="C65" s="10">
        <v>457.87</v>
      </c>
      <c r="D65" s="10">
        <v>456.01</v>
      </c>
      <c r="E65" s="10">
        <v>471.52</v>
      </c>
      <c r="F65" s="10">
        <v>508.08</v>
      </c>
      <c r="G65" s="10">
        <v>587.33000000000004</v>
      </c>
      <c r="H65" s="37">
        <f>G65*(1+$M$65)</f>
        <v>626.01536772823977</v>
      </c>
      <c r="I65" s="37">
        <f t="shared" ref="I65:L65" si="31">H65*(1+$M$65)</f>
        <v>667.24880498514165</v>
      </c>
      <c r="J65" s="37">
        <f t="shared" si="31"/>
        <v>711.19814417619045</v>
      </c>
      <c r="K65" s="37">
        <f t="shared" si="31"/>
        <v>758.04227223894486</v>
      </c>
      <c r="L65" s="170">
        <f t="shared" si="31"/>
        <v>807.97185876630419</v>
      </c>
      <c r="M65" s="63">
        <v>6.5866493671768306E-2</v>
      </c>
    </row>
    <row r="66" spans="1:17" x14ac:dyDescent="0.3">
      <c r="B66" s="181"/>
      <c r="C66" s="180"/>
      <c r="D66" s="73"/>
      <c r="E66" s="37"/>
      <c r="F66" s="37"/>
      <c r="G66" s="37"/>
      <c r="H66" s="37"/>
      <c r="I66" s="37"/>
      <c r="J66" s="37"/>
      <c r="K66" s="37"/>
      <c r="L66" s="170"/>
    </row>
    <row r="67" spans="1:17" x14ac:dyDescent="0.3">
      <c r="B67" s="172" t="s">
        <v>134</v>
      </c>
      <c r="C67" s="182"/>
      <c r="D67" s="37"/>
      <c r="E67" s="37"/>
      <c r="F67" s="37"/>
      <c r="G67" s="37"/>
      <c r="H67" s="37"/>
      <c r="I67" s="37"/>
      <c r="J67" s="37"/>
      <c r="K67" s="37"/>
      <c r="L67" s="170"/>
    </row>
    <row r="68" spans="1:17" x14ac:dyDescent="0.3">
      <c r="B68" s="168" t="str">
        <f>BS!B8</f>
        <v xml:space="preserve">     Other intangible assets</v>
      </c>
      <c r="C68" s="37"/>
      <c r="D68" s="37"/>
      <c r="E68" s="37"/>
      <c r="F68" s="37"/>
      <c r="G68" s="37"/>
      <c r="H68" s="37"/>
      <c r="I68" s="37"/>
      <c r="J68" s="37"/>
      <c r="K68" s="37"/>
      <c r="L68" s="170"/>
    </row>
    <row r="69" spans="1:17" x14ac:dyDescent="0.3">
      <c r="B69" s="171" t="s">
        <v>141</v>
      </c>
      <c r="C69" s="10">
        <v>21563.56</v>
      </c>
      <c r="D69" s="37">
        <f>C71</f>
        <v>22070.44</v>
      </c>
      <c r="E69" s="37">
        <f t="shared" ref="E69:F69" si="32">D71</f>
        <v>22413.64</v>
      </c>
      <c r="F69" s="37">
        <f t="shared" si="32"/>
        <v>22689.32</v>
      </c>
      <c r="G69" s="37">
        <f>F71</f>
        <v>22959.78</v>
      </c>
      <c r="H69" s="37">
        <f t="shared" ref="H69:L69" si="33">G71</f>
        <v>23460.99</v>
      </c>
      <c r="I69" s="37">
        <f t="shared" si="33"/>
        <v>24067.262859119539</v>
      </c>
      <c r="J69" s="37">
        <f t="shared" si="33"/>
        <v>24761.341258688408</v>
      </c>
      <c r="K69" s="37">
        <f t="shared" si="33"/>
        <v>25556.678162808661</v>
      </c>
      <c r="L69" s="170">
        <f t="shared" si="33"/>
        <v>26468.840630628696</v>
      </c>
    </row>
    <row r="70" spans="1:17" x14ac:dyDescent="0.3">
      <c r="B70" s="171" t="s">
        <v>142</v>
      </c>
      <c r="C70" s="10">
        <v>506.87999999999738</v>
      </c>
      <c r="D70" s="10">
        <v>343.20000000000101</v>
      </c>
      <c r="E70" s="10">
        <v>275.68</v>
      </c>
      <c r="F70" s="10">
        <v>270.45999999999913</v>
      </c>
      <c r="G70" s="10">
        <v>501.21000000000299</v>
      </c>
      <c r="H70" s="37">
        <f>$M$70*H29</f>
        <v>606.2728591195355</v>
      </c>
      <c r="I70" s="37">
        <f>$M$70*I29</f>
        <v>694.07839956886903</v>
      </c>
      <c r="J70" s="37">
        <f>$M$70*J29</f>
        <v>795.33690412025226</v>
      </c>
      <c r="K70" s="37">
        <f>$M$70*K29</f>
        <v>912.16246782003543</v>
      </c>
      <c r="L70" s="170">
        <f>$M$70*L29</f>
        <v>1047.0094742910837</v>
      </c>
      <c r="M70" s="63">
        <v>2.0728470737296778E-3</v>
      </c>
    </row>
    <row r="71" spans="1:17" x14ac:dyDescent="0.3">
      <c r="B71" s="172" t="s">
        <v>143</v>
      </c>
      <c r="C71" s="75">
        <f>SUM(C69:C70)</f>
        <v>22070.44</v>
      </c>
      <c r="D71" s="75">
        <f t="shared" ref="D71:F71" si="34">SUM(D69:D70)</f>
        <v>22413.64</v>
      </c>
      <c r="E71" s="75">
        <f t="shared" si="34"/>
        <v>22689.32</v>
      </c>
      <c r="F71" s="75">
        <f t="shared" si="34"/>
        <v>22959.78</v>
      </c>
      <c r="G71" s="75">
        <f>SUM(G69:G70)</f>
        <v>23460.99</v>
      </c>
      <c r="H71" s="75">
        <f t="shared" ref="H71:L71" si="35">SUM(H69:H70)</f>
        <v>24067.262859119539</v>
      </c>
      <c r="I71" s="75">
        <f t="shared" si="35"/>
        <v>24761.341258688408</v>
      </c>
      <c r="J71" s="75">
        <f t="shared" si="35"/>
        <v>25556.678162808661</v>
      </c>
      <c r="K71" s="75">
        <f t="shared" si="35"/>
        <v>26468.840630628696</v>
      </c>
      <c r="L71" s="183">
        <f t="shared" si="35"/>
        <v>27515.85010491978</v>
      </c>
    </row>
    <row r="72" spans="1:17" x14ac:dyDescent="0.3">
      <c r="B72" s="171" t="s">
        <v>144</v>
      </c>
      <c r="C72" s="10">
        <v>1966.21</v>
      </c>
      <c r="D72" s="10">
        <v>2775.6800000000003</v>
      </c>
      <c r="E72" s="10">
        <v>3689.2400000000002</v>
      </c>
      <c r="F72" s="10">
        <v>4691.3100000000004</v>
      </c>
      <c r="G72" s="10">
        <v>5485.99</v>
      </c>
      <c r="H72" s="37">
        <f>G72+G73</f>
        <v>6410.23</v>
      </c>
      <c r="I72" s="37">
        <f t="shared" ref="I72:L72" si="36">H72+H73</f>
        <v>7380.940742441443</v>
      </c>
      <c r="J72" s="37">
        <f t="shared" si="36"/>
        <v>8378.2096867906566</v>
      </c>
      <c r="K72" s="37">
        <f t="shared" si="36"/>
        <v>9405.8982520658337</v>
      </c>
      <c r="L72" s="170">
        <f t="shared" si="36"/>
        <v>10468.460558397041</v>
      </c>
    </row>
    <row r="73" spans="1:17" ht="15" thickBot="1" x14ac:dyDescent="0.35">
      <c r="B73" s="171" t="s">
        <v>146</v>
      </c>
      <c r="C73" s="10">
        <v>906.47</v>
      </c>
      <c r="D73" s="10">
        <v>908.59</v>
      </c>
      <c r="E73" s="10">
        <v>992.1</v>
      </c>
      <c r="F73" s="10">
        <v>883.95</v>
      </c>
      <c r="G73" s="10">
        <v>924.24</v>
      </c>
      <c r="H73" s="37">
        <f>$M$73*AVERAGE(G71:H71)</f>
        <v>970.71074244144336</v>
      </c>
      <c r="I73" s="37">
        <f t="shared" ref="I73:L73" si="37">$M$73*AVERAGE(H71:I71)</f>
        <v>997.26894434921428</v>
      </c>
      <c r="J73" s="37">
        <f t="shared" si="37"/>
        <v>1027.6885652751769</v>
      </c>
      <c r="K73" s="37">
        <f t="shared" si="37"/>
        <v>1062.5623063312069</v>
      </c>
      <c r="L73" s="170">
        <f t="shared" si="37"/>
        <v>1102.576174632537</v>
      </c>
      <c r="M73" s="63">
        <v>4.0847735148976216E-2</v>
      </c>
    </row>
    <row r="74" spans="1:17" ht="15" thickBot="1" x14ac:dyDescent="0.35">
      <c r="B74" s="174" t="s">
        <v>145</v>
      </c>
      <c r="C74" s="78">
        <f>BS!C8</f>
        <v>19197.759999999998</v>
      </c>
      <c r="D74" s="80">
        <f>BS!D8</f>
        <v>18729.37</v>
      </c>
      <c r="E74" s="81">
        <f>BS!E8</f>
        <v>18007.98</v>
      </c>
      <c r="F74" s="81">
        <f>BS!F8</f>
        <v>17384.52</v>
      </c>
      <c r="G74" s="81">
        <f>BS!G8</f>
        <v>17050.759999999998</v>
      </c>
      <c r="H74" s="81">
        <f>H71-H72-H73</f>
        <v>16686.322116678097</v>
      </c>
      <c r="I74" s="81">
        <f t="shared" ref="I74:L74" si="38">I71-I72-I73</f>
        <v>16383.131571897751</v>
      </c>
      <c r="J74" s="81">
        <f t="shared" si="38"/>
        <v>16150.779910742825</v>
      </c>
      <c r="K74" s="81">
        <f t="shared" si="38"/>
        <v>16000.380072231654</v>
      </c>
      <c r="L74" s="184">
        <f t="shared" si="38"/>
        <v>15944.813371890203</v>
      </c>
    </row>
    <row r="75" spans="1:17" x14ac:dyDescent="0.3">
      <c r="B75" s="171"/>
      <c r="C75" s="37"/>
      <c r="D75" s="185"/>
      <c r="E75" s="37"/>
      <c r="F75" s="37"/>
      <c r="G75" s="37"/>
      <c r="H75" s="37"/>
      <c r="I75" s="37"/>
      <c r="J75" s="37"/>
      <c r="K75" s="37"/>
      <c r="L75" s="170"/>
    </row>
    <row r="76" spans="1:17" x14ac:dyDescent="0.3">
      <c r="B76" s="186" t="s">
        <v>150</v>
      </c>
      <c r="C76" s="82">
        <v>83.28</v>
      </c>
      <c r="D76" s="82">
        <v>0.3</v>
      </c>
      <c r="E76" s="82">
        <v>112.69</v>
      </c>
      <c r="F76" s="82"/>
      <c r="G76" s="82">
        <v>1.58</v>
      </c>
      <c r="H76" s="82">
        <v>1.58</v>
      </c>
      <c r="I76" s="82">
        <v>1.58</v>
      </c>
      <c r="J76" s="82">
        <v>1.58</v>
      </c>
      <c r="K76" s="82">
        <v>1.58</v>
      </c>
      <c r="L76" s="187">
        <v>1.58</v>
      </c>
    </row>
    <row r="77" spans="1:17" x14ac:dyDescent="0.3">
      <c r="B77" s="186" t="s">
        <v>147</v>
      </c>
      <c r="C77" s="82">
        <v>7.45</v>
      </c>
      <c r="D77" s="82">
        <v>9.6199999999999992</v>
      </c>
      <c r="E77" s="82">
        <v>5.36</v>
      </c>
      <c r="F77" s="82">
        <v>7.63</v>
      </c>
      <c r="G77" s="82">
        <v>21.38</v>
      </c>
      <c r="H77" s="82">
        <v>21.38</v>
      </c>
      <c r="I77" s="82">
        <v>21.38</v>
      </c>
      <c r="J77" s="82">
        <v>21.38</v>
      </c>
      <c r="K77" s="82">
        <v>21.38</v>
      </c>
      <c r="L77" s="187">
        <v>21.38</v>
      </c>
    </row>
    <row r="78" spans="1:17" ht="15" thickBot="1" x14ac:dyDescent="0.35">
      <c r="B78" s="188"/>
      <c r="C78" s="72"/>
      <c r="D78" s="72"/>
      <c r="E78" s="72"/>
      <c r="F78" s="37"/>
      <c r="G78" s="37"/>
      <c r="H78" s="37"/>
      <c r="I78" s="37"/>
      <c r="J78" s="37"/>
      <c r="K78" s="37"/>
      <c r="L78" s="170"/>
    </row>
    <row r="79" spans="1:17" ht="15.6" thickTop="1" thickBot="1" x14ac:dyDescent="0.35">
      <c r="A79" s="219" t="s">
        <v>238</v>
      </c>
      <c r="B79" s="189" t="s">
        <v>121</v>
      </c>
      <c r="C79" s="190">
        <f>IS!C25</f>
        <v>2904.21</v>
      </c>
      <c r="D79" s="190">
        <f>IS!D25</f>
        <v>2947.95</v>
      </c>
      <c r="E79" s="190">
        <f>IS!E25</f>
        <v>3502.25</v>
      </c>
      <c r="F79" s="190">
        <f>IS!F25</f>
        <v>3682.33</v>
      </c>
      <c r="G79" s="190">
        <f>IS!G25</f>
        <v>4121.18</v>
      </c>
      <c r="H79" s="191">
        <f>H73+H65+H59+H52+H76+H77</f>
        <v>4389.1667427457805</v>
      </c>
      <c r="I79" s="191">
        <f>I73+I65+I59+I52+I76+I77</f>
        <v>4790.8513208410814</v>
      </c>
      <c r="J79" s="191">
        <f>J73+J65+J59+J52+J76+J77</f>
        <v>5247.6594486170079</v>
      </c>
      <c r="K79" s="191">
        <f>K73+K65+K59+K52+K76+K77</f>
        <v>5767.8142244638993</v>
      </c>
      <c r="L79" s="192">
        <f>L73+L65+L59+L52+L76+L77</f>
        <v>6360.8168898336853</v>
      </c>
      <c r="M79" s="70"/>
      <c r="N79" s="70"/>
      <c r="O79" s="70"/>
      <c r="P79" s="70"/>
      <c r="Q79" s="70"/>
    </row>
    <row r="80" spans="1:17" ht="15" thickBot="1" x14ac:dyDescent="0.35">
      <c r="B80" s="90"/>
      <c r="C80" s="91"/>
      <c r="D80" s="91"/>
      <c r="E80" s="91"/>
      <c r="F80" s="91"/>
      <c r="G80" s="91"/>
      <c r="H80" s="73"/>
      <c r="I80" s="73"/>
      <c r="J80" s="73"/>
      <c r="K80" s="73"/>
      <c r="L80" s="73"/>
      <c r="M80" s="70"/>
      <c r="N80" s="70"/>
      <c r="O80" s="70"/>
      <c r="P80" s="70"/>
      <c r="Q80" s="70"/>
    </row>
    <row r="81" spans="1:17" ht="15" thickBot="1" x14ac:dyDescent="0.35">
      <c r="A81" s="219" t="s">
        <v>238</v>
      </c>
      <c r="B81" s="223" t="s">
        <v>152</v>
      </c>
      <c r="C81" s="81">
        <f>SUM(C49,C56,C64,C70)</f>
        <v>4371.7399999999952</v>
      </c>
      <c r="D81" s="81">
        <f t="shared" ref="D81:L81" si="39">SUM(D49,D56,D64,D70)</f>
        <v>840.75000000000296</v>
      </c>
      <c r="E81" s="81">
        <f t="shared" si="39"/>
        <v>2997.0700000000006</v>
      </c>
      <c r="F81" s="81">
        <f t="shared" si="39"/>
        <v>3870.7999999999984</v>
      </c>
      <c r="G81" s="81">
        <f t="shared" si="39"/>
        <v>4870.0200000000023</v>
      </c>
      <c r="H81" s="81">
        <f t="shared" si="39"/>
        <v>5279.4078886468296</v>
      </c>
      <c r="I81" s="81">
        <f t="shared" si="39"/>
        <v>6044.0161932117417</v>
      </c>
      <c r="J81" s="81">
        <f t="shared" si="39"/>
        <v>6925.7725504029722</v>
      </c>
      <c r="K81" s="81">
        <f t="shared" si="39"/>
        <v>7943.0864435037729</v>
      </c>
      <c r="L81" s="184">
        <f t="shared" si="39"/>
        <v>9117.3305796466029</v>
      </c>
      <c r="M81" s="70"/>
      <c r="N81" s="70"/>
      <c r="O81" s="70"/>
      <c r="P81" s="70"/>
      <c r="Q81" s="70"/>
    </row>
    <row r="82" spans="1:17" ht="15" thickBot="1" x14ac:dyDescent="0.35">
      <c r="C82" s="86"/>
      <c r="D82" s="86"/>
      <c r="E82" s="87"/>
      <c r="F82" s="87"/>
      <c r="G82" s="87"/>
      <c r="H82" s="37"/>
      <c r="I82" s="37"/>
      <c r="J82" s="37"/>
      <c r="K82" s="37"/>
      <c r="L82" s="37"/>
      <c r="M82" s="69"/>
      <c r="N82" s="69"/>
      <c r="O82" s="69"/>
      <c r="P82" s="69"/>
      <c r="Q82" s="70"/>
    </row>
    <row r="83" spans="1:17" ht="15" thickBot="1" x14ac:dyDescent="0.35">
      <c r="A83" s="219" t="s">
        <v>238</v>
      </c>
      <c r="B83" s="223" t="str">
        <f>IS!B29</f>
        <v>Finance costs (Corporate)</v>
      </c>
      <c r="C83" s="225">
        <f>-IS!C29</f>
        <v>3913.44</v>
      </c>
      <c r="D83" s="225">
        <f>-IS!D29</f>
        <v>3125.7</v>
      </c>
      <c r="E83" s="225">
        <f>-IS!E29</f>
        <v>3207.16</v>
      </c>
      <c r="F83" s="225">
        <f>-IS!F29</f>
        <v>3545.85</v>
      </c>
      <c r="G83" s="225">
        <f>-IS!G29</f>
        <v>3334.37</v>
      </c>
      <c r="H83" s="81">
        <f>G83*(1+$M$83)</f>
        <v>3510.3169841412787</v>
      </c>
      <c r="I83" s="81">
        <f t="shared" ref="I83:L83" si="40">H83*(1+$M$83)</f>
        <v>3695.5482832291323</v>
      </c>
      <c r="J83" s="81">
        <f t="shared" si="40"/>
        <v>3890.5538090653909</v>
      </c>
      <c r="K83" s="81">
        <f t="shared" si="40"/>
        <v>4095.8493249632725</v>
      </c>
      <c r="L83" s="184">
        <f t="shared" si="40"/>
        <v>4311.9778098717798</v>
      </c>
      <c r="M83" s="63">
        <v>5.2767684492506552E-2</v>
      </c>
      <c r="N83" s="69"/>
      <c r="O83" s="69"/>
      <c r="P83" s="69"/>
      <c r="Q83" s="71"/>
    </row>
    <row r="84" spans="1:17" ht="15" thickBot="1" x14ac:dyDescent="0.35">
      <c r="B84" s="72"/>
      <c r="C84" s="88"/>
      <c r="D84" s="88"/>
      <c r="E84" s="88"/>
      <c r="F84" s="88"/>
      <c r="G84" s="88"/>
      <c r="H84" s="74"/>
      <c r="I84" s="69"/>
      <c r="J84" s="69"/>
      <c r="K84" s="69"/>
      <c r="L84" s="71"/>
    </row>
    <row r="85" spans="1:17" ht="15" thickBot="1" x14ac:dyDescent="0.35">
      <c r="A85" s="219" t="s">
        <v>238</v>
      </c>
      <c r="B85" s="223" t="s">
        <v>151</v>
      </c>
      <c r="C85" s="225">
        <v>5820.54</v>
      </c>
      <c r="D85" s="225">
        <v>5943.32</v>
      </c>
      <c r="E85" s="225">
        <v>6828.78</v>
      </c>
      <c r="F85" s="225">
        <v>6620.19</v>
      </c>
      <c r="G85" s="225">
        <v>7670.55</v>
      </c>
      <c r="H85" s="81">
        <f>$M$85*H29</f>
        <v>8774.4947536626642</v>
      </c>
      <c r="I85" s="81">
        <f t="shared" ref="I85:L85" si="41">$M$85*I29</f>
        <v>10045.290967654633</v>
      </c>
      <c r="J85" s="81">
        <f t="shared" si="41"/>
        <v>11510.789882186547</v>
      </c>
      <c r="K85" s="81">
        <f t="shared" si="41"/>
        <v>13201.588472884008</v>
      </c>
      <c r="L85" s="184">
        <f t="shared" si="41"/>
        <v>15153.208660113996</v>
      </c>
      <c r="M85" s="63">
        <v>0.03</v>
      </c>
    </row>
    <row r="86" spans="1:17" x14ac:dyDescent="0.3">
      <c r="B86" s="52"/>
    </row>
    <row r="89" spans="1:17" x14ac:dyDescent="0.3">
      <c r="B89" s="50"/>
    </row>
    <row r="90" spans="1:17" x14ac:dyDescent="0.3">
      <c r="B90" s="51"/>
    </row>
    <row r="91" spans="1:17" x14ac:dyDescent="0.3">
      <c r="B91" s="51"/>
    </row>
    <row r="92" spans="1:17" x14ac:dyDescent="0.3">
      <c r="B92" s="51"/>
    </row>
    <row r="93" spans="1:17" x14ac:dyDescent="0.3">
      <c r="B93" s="51"/>
    </row>
    <row r="94" spans="1:17" x14ac:dyDescent="0.3">
      <c r="B94" s="51"/>
    </row>
  </sheetData>
  <sheetProtection algorithmName="SHA-512" hashValue="ARJ4T5pB2C5gVLby9NkQO/4Xq5dkc1VkKChQNCcSjpTpyuf2ftqoLUi0VRRUUPVgyAARzwrhTuiR5QjJVdDMcQ==" saltValue="kkwVy6XqRxrwoTLdp18PfA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C651-CB9E-476D-B77F-4CFA63EE9057}">
  <sheetPr codeName="Sheet5"/>
  <dimension ref="B2:K37"/>
  <sheetViews>
    <sheetView showGridLines="0" zoomScale="99" workbookViewId="0">
      <selection activeCell="G16" sqref="G16"/>
    </sheetView>
  </sheetViews>
  <sheetFormatPr defaultRowHeight="14.4" x14ac:dyDescent="0.3"/>
  <cols>
    <col min="1" max="1" width="2" customWidth="1"/>
    <col min="2" max="2" width="14.21875" bestFit="1" customWidth="1"/>
    <col min="3" max="10" width="11.88671875" customWidth="1"/>
    <col min="11" max="11" width="7.21875" bestFit="1" customWidth="1"/>
  </cols>
  <sheetData>
    <row r="2" spans="2:11" x14ac:dyDescent="0.3">
      <c r="C2" s="59">
        <f>BS!H1</f>
        <v>46112</v>
      </c>
      <c r="D2" s="59">
        <f>BS!I1</f>
        <v>46477</v>
      </c>
      <c r="E2" s="59">
        <f>BS!J1</f>
        <v>46843</v>
      </c>
      <c r="F2" s="59">
        <f>BS!K1</f>
        <v>47208</v>
      </c>
      <c r="G2" s="59">
        <f>BS!L1</f>
        <v>47573</v>
      </c>
      <c r="H2" s="224" t="s">
        <v>239</v>
      </c>
    </row>
    <row r="3" spans="2:11" ht="15.6" customHeight="1" x14ac:dyDescent="0.45">
      <c r="B3" s="121"/>
      <c r="C3" s="122" t="s">
        <v>171</v>
      </c>
      <c r="D3" s="122" t="s">
        <v>172</v>
      </c>
      <c r="E3" s="122" t="s">
        <v>173</v>
      </c>
      <c r="F3" s="122" t="s">
        <v>174</v>
      </c>
      <c r="G3" s="122" t="s">
        <v>175</v>
      </c>
      <c r="H3" s="37"/>
    </row>
    <row r="4" spans="2:11" x14ac:dyDescent="0.3">
      <c r="B4" t="s">
        <v>86</v>
      </c>
      <c r="C4" s="37">
        <f>IS!H26</f>
        <v>39128.222235929883</v>
      </c>
      <c r="D4" s="37">
        <f>IS!I26</f>
        <v>41744.33470138847</v>
      </c>
      <c r="E4" s="37">
        <f>IS!J26</f>
        <v>43908.041610561559</v>
      </c>
      <c r="F4" s="37">
        <f>IS!K26</f>
        <v>45349.715288018851</v>
      </c>
      <c r="G4" s="37">
        <f>IS!L26</f>
        <v>45713.003287479543</v>
      </c>
      <c r="H4" s="37"/>
    </row>
    <row r="5" spans="2:11" ht="15" thickBot="1" x14ac:dyDescent="0.35">
      <c r="B5" t="s">
        <v>119</v>
      </c>
      <c r="C5" s="55">
        <f>C4*(1-25%)</f>
        <v>29346.16667694741</v>
      </c>
      <c r="D5" s="55">
        <f t="shared" ref="D5:G5" si="0">D4*(1-25%)</f>
        <v>31308.251026041355</v>
      </c>
      <c r="E5" s="55">
        <f t="shared" si="0"/>
        <v>32931.031207921173</v>
      </c>
      <c r="F5" s="55">
        <f t="shared" si="0"/>
        <v>34012.286466014135</v>
      </c>
      <c r="G5" s="55">
        <f t="shared" si="0"/>
        <v>34284.752465609658</v>
      </c>
      <c r="H5" s="37"/>
    </row>
    <row r="6" spans="2:11" x14ac:dyDescent="0.3">
      <c r="B6" t="s">
        <v>121</v>
      </c>
      <c r="C6" s="37">
        <f>IS!H25</f>
        <v>4389.1667427457805</v>
      </c>
      <c r="D6" s="37">
        <f>IS!I25</f>
        <v>4790.8513208410814</v>
      </c>
      <c r="E6" s="37">
        <f>IS!J25</f>
        <v>5247.6594486170079</v>
      </c>
      <c r="F6" s="37">
        <f>IS!K25</f>
        <v>5767.8142244638993</v>
      </c>
      <c r="G6" s="37">
        <f>IS!L25</f>
        <v>6360.8168898336853</v>
      </c>
      <c r="H6" s="37"/>
      <c r="I6" s="37"/>
      <c r="J6" s="37"/>
      <c r="K6" s="37"/>
    </row>
    <row r="7" spans="2:11" x14ac:dyDescent="0.3">
      <c r="B7" t="s">
        <v>122</v>
      </c>
      <c r="C7" s="37">
        <f>CFS!C6</f>
        <v>-2940</v>
      </c>
      <c r="D7" s="37">
        <f>CFS!D6</f>
        <v>-3370</v>
      </c>
      <c r="E7" s="37">
        <f>CFS!E6</f>
        <v>-3890</v>
      </c>
      <c r="F7" s="37">
        <f>CFS!F6</f>
        <v>-4510</v>
      </c>
      <c r="G7" s="37">
        <f>CFS!G6</f>
        <v>-5210</v>
      </c>
      <c r="H7" s="37"/>
      <c r="I7" s="37"/>
      <c r="J7" s="37"/>
      <c r="K7" s="37"/>
    </row>
    <row r="8" spans="2:11" x14ac:dyDescent="0.3">
      <c r="B8" t="s">
        <v>123</v>
      </c>
      <c r="C8" s="37">
        <f>-'NOTES '!H81</f>
        <v>-5279.4078886468296</v>
      </c>
      <c r="D8" s="37">
        <f>-'NOTES '!I81</f>
        <v>-6044.0161932117417</v>
      </c>
      <c r="E8" s="37">
        <f>-'NOTES '!J81</f>
        <v>-6925.7725504029722</v>
      </c>
      <c r="F8" s="37">
        <f>-'NOTES '!K81</f>
        <v>-7943.0864435037729</v>
      </c>
      <c r="G8" s="37">
        <f>-'NOTES '!L81</f>
        <v>-9117.3305796466029</v>
      </c>
      <c r="H8" s="37"/>
      <c r="I8" s="37"/>
      <c r="J8" s="37"/>
      <c r="K8" s="37"/>
    </row>
    <row r="9" spans="2:11" x14ac:dyDescent="0.3">
      <c r="B9" s="37"/>
      <c r="C9" s="37"/>
      <c r="D9" s="37"/>
      <c r="E9" s="37"/>
      <c r="F9" s="37"/>
      <c r="G9" s="37"/>
      <c r="H9" s="37"/>
      <c r="I9" s="37"/>
      <c r="J9" s="37"/>
      <c r="K9" s="37"/>
    </row>
    <row r="10" spans="2:11" x14ac:dyDescent="0.3">
      <c r="B10" s="56" t="s">
        <v>124</v>
      </c>
      <c r="C10" s="57">
        <f>SUM(C5:C8)</f>
        <v>25515.92553104636</v>
      </c>
      <c r="D10" s="57">
        <f t="shared" ref="D10:G10" si="1">SUM(D5:D8)</f>
        <v>26685.086153670694</v>
      </c>
      <c r="E10" s="57">
        <f t="shared" si="1"/>
        <v>27362.918106135206</v>
      </c>
      <c r="F10" s="57">
        <f t="shared" si="1"/>
        <v>27327.014246974264</v>
      </c>
      <c r="G10" s="57">
        <f t="shared" si="1"/>
        <v>26318.238775796744</v>
      </c>
      <c r="H10" s="57">
        <f>G10*(1+G15)/(G16-G15)</f>
        <v>518553.93888382439</v>
      </c>
      <c r="I10" s="37"/>
      <c r="J10" s="37"/>
      <c r="K10" s="37"/>
    </row>
    <row r="11" spans="2:11" x14ac:dyDescent="0.3">
      <c r="C11" s="37"/>
      <c r="D11" s="37"/>
      <c r="E11" s="37"/>
      <c r="F11" s="37"/>
      <c r="H11" s="37"/>
      <c r="I11" s="37"/>
      <c r="J11" s="37"/>
      <c r="K11" s="37"/>
    </row>
    <row r="12" spans="2:11" x14ac:dyDescent="0.3">
      <c r="B12" s="56" t="s">
        <v>161</v>
      </c>
      <c r="C12" s="57">
        <f>PV($G$16,C3,,-C10,0)</f>
        <v>22908.927916806711</v>
      </c>
      <c r="D12" s="57">
        <f>PV($G$16,D3,,-D10,0)</f>
        <v>21510.746823458379</v>
      </c>
      <c r="E12" s="57">
        <f>PV($G$16,E3,,-E10,0)</f>
        <v>19803.535438517425</v>
      </c>
      <c r="F12" s="57">
        <f>PV($G$16,F3,,-F10,0)</f>
        <v>17756.850660067528</v>
      </c>
      <c r="G12" s="57">
        <f>PV($G$16,G3,,-G10,0)</f>
        <v>15354.087862708342</v>
      </c>
      <c r="H12" s="57">
        <f>PV($G$16,G3,,-H10,0)</f>
        <v>302524.90704270906</v>
      </c>
      <c r="I12" s="37"/>
      <c r="J12" s="37"/>
      <c r="K12" s="37"/>
    </row>
    <row r="13" spans="2:11" x14ac:dyDescent="0.3">
      <c r="C13" s="37"/>
      <c r="D13" s="37"/>
      <c r="E13" s="37"/>
      <c r="F13" s="37"/>
      <c r="G13" s="37"/>
      <c r="H13" s="37"/>
      <c r="I13" s="37"/>
      <c r="J13" s="37"/>
      <c r="K13" s="37"/>
    </row>
    <row r="14" spans="2:11" x14ac:dyDescent="0.3">
      <c r="C14" s="37"/>
      <c r="D14" s="37"/>
      <c r="E14" s="37"/>
      <c r="F14" s="37"/>
      <c r="G14" s="37"/>
      <c r="H14" s="37"/>
      <c r="I14" s="37"/>
      <c r="J14" s="37"/>
      <c r="K14" s="37"/>
    </row>
    <row r="15" spans="2:11" x14ac:dyDescent="0.3">
      <c r="B15" t="s">
        <v>125</v>
      </c>
      <c r="C15" s="37">
        <f>SUM(G16,C12:H12)</f>
        <v>399859.16954259202</v>
      </c>
      <c r="D15" s="37"/>
      <c r="E15" s="54" t="s">
        <v>118</v>
      </c>
      <c r="F15" s="54"/>
      <c r="G15" s="92">
        <v>0.06</v>
      </c>
      <c r="H15" s="37"/>
      <c r="I15" s="37"/>
      <c r="J15" s="37"/>
      <c r="K15" s="37"/>
    </row>
    <row r="16" spans="2:11" x14ac:dyDescent="0.3">
      <c r="B16" t="s">
        <v>126</v>
      </c>
      <c r="C16" s="37">
        <f>BS!G49+BS!G60</f>
        <v>93364.64</v>
      </c>
      <c r="D16" s="37"/>
      <c r="E16" s="54" t="s">
        <v>120</v>
      </c>
      <c r="F16" s="54"/>
      <c r="G16" s="284">
        <f>WACC!D21</f>
        <v>0.1137983245530695</v>
      </c>
      <c r="H16" s="37"/>
      <c r="I16" s="37"/>
      <c r="J16" s="37"/>
      <c r="K16" s="37"/>
    </row>
    <row r="17" spans="2:11" x14ac:dyDescent="0.3">
      <c r="B17" t="s">
        <v>127</v>
      </c>
      <c r="C17" s="37">
        <f>BS!G28</f>
        <v>12187</v>
      </c>
      <c r="D17" s="37"/>
      <c r="E17" s="37"/>
      <c r="F17" s="37"/>
      <c r="G17" s="37"/>
      <c r="H17" s="37"/>
      <c r="I17" s="37"/>
      <c r="J17" s="37"/>
      <c r="K17" s="37"/>
    </row>
    <row r="18" spans="2:11" x14ac:dyDescent="0.3">
      <c r="B18" t="s">
        <v>128</v>
      </c>
      <c r="C18" s="37">
        <f>C15-C16+C17</f>
        <v>318681.529542592</v>
      </c>
      <c r="D18" s="37"/>
      <c r="E18" s="304" t="s">
        <v>242</v>
      </c>
      <c r="F18" s="305"/>
      <c r="G18" s="305"/>
      <c r="H18" s="305"/>
      <c r="I18" s="305"/>
      <c r="J18" s="305"/>
      <c r="K18" s="37"/>
    </row>
    <row r="19" spans="2:11" x14ac:dyDescent="0.3">
      <c r="B19" t="s">
        <v>129</v>
      </c>
      <c r="C19" s="58">
        <f>C18/IS!L38*10000000</f>
        <v>2317.359985414053</v>
      </c>
      <c r="D19" s="37"/>
      <c r="J19" s="37"/>
      <c r="K19" s="37"/>
    </row>
    <row r="20" spans="2:11" ht="15.6" x14ac:dyDescent="0.3">
      <c r="C20" s="37"/>
      <c r="D20" s="37"/>
      <c r="G20" s="306" t="s">
        <v>120</v>
      </c>
      <c r="H20" s="307"/>
      <c r="I20" s="307"/>
      <c r="J20" s="308"/>
      <c r="K20" s="37"/>
    </row>
    <row r="21" spans="2:11" x14ac:dyDescent="0.3">
      <c r="C21" s="37"/>
      <c r="D21" s="37"/>
      <c r="E21" s="309" t="s">
        <v>118</v>
      </c>
      <c r="F21" s="286">
        <f>C19</f>
        <v>2317.359985414053</v>
      </c>
      <c r="G21" s="244">
        <v>0.1</v>
      </c>
      <c r="H21" s="242">
        <v>0.1138</v>
      </c>
      <c r="I21" s="242">
        <v>0.12</v>
      </c>
      <c r="J21" s="243">
        <v>0.13</v>
      </c>
      <c r="K21" s="37"/>
    </row>
    <row r="22" spans="2:11" x14ac:dyDescent="0.3">
      <c r="E22" s="310"/>
      <c r="F22" s="226">
        <v>0.05</v>
      </c>
      <c r="G22" s="237">
        <f t="dataTable" ref="G22:J25" dt2D="1" dtr="1" r1="G16" r2="G15"/>
        <v>2638.2469540116376</v>
      </c>
      <c r="H22" s="237">
        <v>1954.9775404860643</v>
      </c>
      <c r="I22" s="237">
        <v>1735.4647123772816</v>
      </c>
      <c r="J22" s="240">
        <v>1452.8420123798746</v>
      </c>
    </row>
    <row r="23" spans="2:11" x14ac:dyDescent="0.3">
      <c r="E23" s="310"/>
      <c r="F23" s="226">
        <v>0.06</v>
      </c>
      <c r="G23" s="237">
        <v>3291.8178389715554</v>
      </c>
      <c r="H23" s="238">
        <v>2317.2719435539734</v>
      </c>
      <c r="I23" s="237">
        <v>2025.0470385263768</v>
      </c>
      <c r="J23" s="240">
        <v>1662.4421833277977</v>
      </c>
    </row>
    <row r="24" spans="2:11" x14ac:dyDescent="0.3">
      <c r="E24" s="310"/>
      <c r="F24" s="226">
        <v>7.0000000000000007E-2</v>
      </c>
      <c r="G24" s="237">
        <v>4381.1026472380863</v>
      </c>
      <c r="H24" s="237">
        <v>2844.9975808994677</v>
      </c>
      <c r="I24" s="237">
        <v>2430.4622951351112</v>
      </c>
      <c r="J24" s="240">
        <v>1941.9090779250296</v>
      </c>
    </row>
    <row r="25" spans="2:11" x14ac:dyDescent="0.3">
      <c r="E25" s="311"/>
      <c r="F25" s="239">
        <v>0.08</v>
      </c>
      <c r="G25" s="228">
        <v>6559.6722637711455</v>
      </c>
      <c r="H25" s="228">
        <v>3684.986908981939</v>
      </c>
      <c r="I25" s="228">
        <v>3038.5851800482124</v>
      </c>
      <c r="J25" s="241">
        <v>2333.1627303611522</v>
      </c>
    </row>
    <row r="26" spans="2:11" ht="4.95" customHeight="1" x14ac:dyDescent="0.3"/>
    <row r="27" spans="2:11" x14ac:dyDescent="0.3">
      <c r="F27" s="227" t="s">
        <v>240</v>
      </c>
      <c r="J27" s="228">
        <v>1561.01</v>
      </c>
    </row>
    <row r="28" spans="2:11" ht="4.95" customHeight="1" x14ac:dyDescent="0.3">
      <c r="G28" s="229"/>
      <c r="H28" s="229"/>
      <c r="I28" s="229"/>
    </row>
    <row r="29" spans="2:11" ht="15" thickBot="1" x14ac:dyDescent="0.35">
      <c r="F29" s="230" t="s">
        <v>241</v>
      </c>
      <c r="G29" s="231"/>
      <c r="H29" s="230"/>
      <c r="I29" s="230"/>
      <c r="J29" s="232">
        <f>J27/C19</f>
        <v>0.6736156703426841</v>
      </c>
    </row>
    <row r="37" ht="16.2" customHeight="1" x14ac:dyDescent="0.3"/>
  </sheetData>
  <sheetProtection algorithmName="SHA-512" hashValue="bOHQr+hvsWT/m9HdO5e0doJ2SoP4ZJjLnqh6RUr2EPag9ygy7e+TW/Hurd07EVU2JSl+IBr0CvK+5pG+2NgT/g==" saltValue="OvVqUaYOmqt5bcqzrIoZOQ==" spinCount="100000" sheet="1" objects="1" scenarios="1"/>
  <mergeCells count="3">
    <mergeCell ref="E18:J18"/>
    <mergeCell ref="G20:J20"/>
    <mergeCell ref="E21:E25"/>
  </mergeCells>
  <pageMargins left="0.7" right="0.7" top="0.75" bottom="0.75" header="0.3" footer="0.3"/>
  <ignoredErrors>
    <ignoredError sqref="C3:G3" numberStoredAsText="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0EC7-737D-4469-9F39-1195F0200C89}">
  <sheetPr codeName="Sheet6"/>
  <dimension ref="A1:L45"/>
  <sheetViews>
    <sheetView showGridLines="0" topLeftCell="A53" zoomScale="151" workbookViewId="0">
      <selection activeCell="E60" sqref="E60"/>
    </sheetView>
  </sheetViews>
  <sheetFormatPr defaultColWidth="9.109375" defaultRowHeight="13.8" x14ac:dyDescent="0.3"/>
  <cols>
    <col min="1" max="1" width="1.77734375" style="95" bestFit="1" customWidth="1"/>
    <col min="2" max="2" width="35.77734375" style="117" customWidth="1"/>
    <col min="3" max="3" width="10.6640625" style="95" customWidth="1"/>
    <col min="4" max="10" width="10.6640625" style="108" customWidth="1"/>
    <col min="11" max="16384" width="9.109375" style="108"/>
  </cols>
  <sheetData>
    <row r="1" spans="1:12" s="96" customFormat="1" ht="18" x14ac:dyDescent="0.35">
      <c r="B1" s="245" t="s">
        <v>162</v>
      </c>
      <c r="C1" s="97"/>
      <c r="D1" s="98"/>
      <c r="E1" s="98"/>
      <c r="F1" s="99"/>
      <c r="G1" s="99"/>
      <c r="H1" s="99"/>
      <c r="I1" s="99"/>
      <c r="J1" s="99"/>
    </row>
    <row r="2" spans="1:12" s="95" customFormat="1" ht="4.95" customHeight="1" x14ac:dyDescent="0.3">
      <c r="B2" s="100"/>
      <c r="C2" s="101"/>
      <c r="D2" s="101"/>
      <c r="E2" s="101"/>
      <c r="F2" s="101"/>
      <c r="G2" s="101"/>
      <c r="H2" s="101"/>
      <c r="I2" s="101"/>
      <c r="J2" s="101"/>
    </row>
    <row r="3" spans="1:12" s="102" customFormat="1" ht="14.4" x14ac:dyDescent="0.3">
      <c r="B3" s="246" t="s">
        <v>187</v>
      </c>
      <c r="C3" s="103"/>
      <c r="D3" s="103"/>
      <c r="E3" s="103"/>
      <c r="F3" s="104"/>
      <c r="G3" s="104"/>
      <c r="H3" s="104"/>
      <c r="I3" s="104"/>
      <c r="J3" s="104"/>
      <c r="K3" s="104"/>
      <c r="L3" s="104"/>
    </row>
    <row r="4" spans="1:12" x14ac:dyDescent="0.3">
      <c r="B4" s="105" t="s">
        <v>164</v>
      </c>
      <c r="C4" s="133">
        <v>34</v>
      </c>
      <c r="G4" s="109"/>
    </row>
    <row r="5" spans="1:12" s="110" customFormat="1" x14ac:dyDescent="0.3">
      <c r="A5" s="96"/>
      <c r="B5" s="105" t="s">
        <v>165</v>
      </c>
      <c r="C5" s="140">
        <v>0.126</v>
      </c>
      <c r="G5" s="109"/>
    </row>
    <row r="6" spans="1:12" s="110" customFormat="1" x14ac:dyDescent="0.3">
      <c r="A6" s="96"/>
      <c r="B6" s="105" t="s">
        <v>183</v>
      </c>
      <c r="C6" s="140">
        <v>0.31</v>
      </c>
      <c r="G6" s="109"/>
    </row>
    <row r="7" spans="1:12" s="110" customFormat="1" x14ac:dyDescent="0.3">
      <c r="A7" s="96"/>
      <c r="B7" s="105" t="s">
        <v>184</v>
      </c>
      <c r="C7" s="140">
        <v>0.16600000000000001</v>
      </c>
      <c r="G7" s="109"/>
    </row>
    <row r="8" spans="1:12" s="110" customFormat="1" x14ac:dyDescent="0.3">
      <c r="A8" s="96"/>
      <c r="B8" s="105" t="s">
        <v>185</v>
      </c>
      <c r="C8" s="138">
        <f>1-C6</f>
        <v>0.69</v>
      </c>
      <c r="E8" s="139"/>
      <c r="G8" s="109"/>
    </row>
    <row r="9" spans="1:12" s="110" customFormat="1" x14ac:dyDescent="0.3">
      <c r="A9" s="96"/>
      <c r="B9" s="105" t="s">
        <v>186</v>
      </c>
      <c r="C9" s="141">
        <f>C7*C8</f>
        <v>0.11454</v>
      </c>
      <c r="E9" s="137"/>
      <c r="G9" s="109"/>
    </row>
    <row r="10" spans="1:12" s="110" customFormat="1" ht="4.95" customHeight="1" x14ac:dyDescent="0.3">
      <c r="A10" s="96"/>
      <c r="B10" s="105"/>
      <c r="C10" s="111"/>
      <c r="G10" s="109"/>
    </row>
    <row r="11" spans="1:12" s="114" customFormat="1" ht="15" x14ac:dyDescent="0.35">
      <c r="A11" s="112"/>
      <c r="B11" s="142" t="s">
        <v>188</v>
      </c>
      <c r="C11" s="143">
        <f>C4*(1+C9)</f>
        <v>37.894360000000006</v>
      </c>
    </row>
    <row r="12" spans="1:12" s="110" customFormat="1" x14ac:dyDescent="0.3">
      <c r="A12" s="96"/>
      <c r="B12" s="233" t="s">
        <v>189</v>
      </c>
      <c r="C12" s="236">
        <f>C11/(C5-C9)</f>
        <v>3306.6631762652714</v>
      </c>
    </row>
    <row r="13" spans="1:12" s="114" customFormat="1" ht="4.95" customHeight="1" x14ac:dyDescent="0.3">
      <c r="A13" s="112"/>
    </row>
    <row r="14" spans="1:12" s="110" customFormat="1" ht="14.4" x14ac:dyDescent="0.3">
      <c r="A14" s="96"/>
      <c r="B14" s="246" t="s">
        <v>163</v>
      </c>
      <c r="C14" s="103"/>
      <c r="D14" s="103"/>
      <c r="E14" s="103"/>
      <c r="F14" s="104"/>
      <c r="G14" s="104"/>
      <c r="H14" s="104"/>
      <c r="I14" s="104"/>
      <c r="J14" s="104"/>
      <c r="K14" s="104"/>
      <c r="L14" s="104"/>
    </row>
    <row r="15" spans="1:12" s="110" customFormat="1" ht="1.95" customHeight="1" x14ac:dyDescent="0.3">
      <c r="A15" s="96"/>
    </row>
    <row r="16" spans="1:12" s="110" customFormat="1" ht="15.6" x14ac:dyDescent="0.45">
      <c r="A16" s="96"/>
      <c r="B16" s="113"/>
      <c r="C16" s="115" t="s">
        <v>166</v>
      </c>
      <c r="D16" s="115" t="s">
        <v>167</v>
      </c>
      <c r="E16" s="114"/>
      <c r="F16" s="114"/>
      <c r="G16" s="116"/>
      <c r="H16" s="114"/>
      <c r="I16" s="114"/>
      <c r="J16" s="114"/>
      <c r="K16" s="144"/>
    </row>
    <row r="17" spans="1:12" s="110" customFormat="1" x14ac:dyDescent="0.3">
      <c r="A17" s="96"/>
      <c r="B17" s="101" t="s">
        <v>168</v>
      </c>
      <c r="C17" s="111">
        <v>0.1145</v>
      </c>
      <c r="D17" s="111">
        <v>0.06</v>
      </c>
      <c r="H17" s="109"/>
      <c r="I17" s="109"/>
    </row>
    <row r="18" spans="1:12" x14ac:dyDescent="0.3">
      <c r="F18" s="118" t="s">
        <v>166</v>
      </c>
      <c r="G18" s="119"/>
      <c r="H18" s="119"/>
      <c r="I18" s="119"/>
      <c r="J18" s="119"/>
    </row>
    <row r="19" spans="1:12" ht="18" x14ac:dyDescent="0.35">
      <c r="E19" s="35">
        <f>BS!G1</f>
        <v>45747</v>
      </c>
      <c r="F19" s="36">
        <f>BS!H1</f>
        <v>46112</v>
      </c>
      <c r="G19" s="36">
        <f>BS!I1</f>
        <v>46477</v>
      </c>
      <c r="H19" s="36">
        <f>BS!J1</f>
        <v>46843</v>
      </c>
      <c r="I19" s="36">
        <f>BS!K1</f>
        <v>47208</v>
      </c>
      <c r="J19" s="36">
        <f>BS!L1</f>
        <v>47573</v>
      </c>
    </row>
    <row r="20" spans="1:12" ht="15.6" x14ac:dyDescent="0.45">
      <c r="B20" s="120" t="s">
        <v>169</v>
      </c>
      <c r="C20" s="114"/>
      <c r="D20" s="114"/>
      <c r="E20" s="121" t="s">
        <v>170</v>
      </c>
      <c r="F20" s="122" t="s">
        <v>171</v>
      </c>
      <c r="G20" s="122" t="s">
        <v>172</v>
      </c>
      <c r="H20" s="122" t="s">
        <v>173</v>
      </c>
      <c r="I20" s="122" t="s">
        <v>174</v>
      </c>
      <c r="J20" s="122" t="s">
        <v>175</v>
      </c>
    </row>
    <row r="21" spans="1:12" x14ac:dyDescent="0.3">
      <c r="B21" s="105" t="s">
        <v>176</v>
      </c>
      <c r="C21" s="106"/>
      <c r="D21" s="107"/>
      <c r="E21" s="134">
        <f>C4</f>
        <v>34</v>
      </c>
      <c r="F21" s="134">
        <f>E21*(1+$C$17)</f>
        <v>37.893000000000001</v>
      </c>
      <c r="G21" s="134">
        <f>F21*(1+$C$17)</f>
        <v>42.231748500000002</v>
      </c>
      <c r="H21" s="134">
        <f>G21*(1+$C$17)</f>
        <v>47.067283703250006</v>
      </c>
      <c r="I21" s="134">
        <f>H21*(1+$C$17)</f>
        <v>52.45648768727213</v>
      </c>
      <c r="J21" s="134">
        <f>I21*(1+$C$17)</f>
        <v>58.462755527464793</v>
      </c>
    </row>
    <row r="22" spans="1:12" x14ac:dyDescent="0.3">
      <c r="B22" s="105" t="s">
        <v>165</v>
      </c>
      <c r="C22" s="106"/>
      <c r="D22" s="107"/>
      <c r="E22" s="123">
        <f t="shared" ref="E22:J22" si="0">$C$5</f>
        <v>0.126</v>
      </c>
      <c r="F22" s="123">
        <f t="shared" si="0"/>
        <v>0.126</v>
      </c>
      <c r="G22" s="123">
        <f t="shared" si="0"/>
        <v>0.126</v>
      </c>
      <c r="H22" s="123">
        <f t="shared" si="0"/>
        <v>0.126</v>
      </c>
      <c r="I22" s="123">
        <f t="shared" si="0"/>
        <v>0.126</v>
      </c>
      <c r="J22" s="123">
        <f t="shared" si="0"/>
        <v>0.126</v>
      </c>
    </row>
    <row r="23" spans="1:12" x14ac:dyDescent="0.3">
      <c r="B23" s="124" t="s">
        <v>177</v>
      </c>
      <c r="C23" s="125"/>
      <c r="D23" s="126"/>
      <c r="E23" s="136">
        <f>PV(E22,E20,,-E21,0)</f>
        <v>34</v>
      </c>
      <c r="F23" s="136">
        <f t="shared" ref="F23:J23" si="1">PV(F22,F20,,-F21,0)</f>
        <v>33.652753108348136</v>
      </c>
      <c r="G23" s="136">
        <f t="shared" si="1"/>
        <v>33.309052699159864</v>
      </c>
      <c r="H23" s="136">
        <f t="shared" si="1"/>
        <v>32.96886255169953</v>
      </c>
      <c r="I23" s="136">
        <f t="shared" si="1"/>
        <v>32.632146815159089</v>
      </c>
      <c r="J23" s="136">
        <f t="shared" si="1"/>
        <v>32.298870004879937</v>
      </c>
    </row>
    <row r="24" spans="1:12" ht="1.95" customHeight="1" x14ac:dyDescent="0.3">
      <c r="B24" s="127"/>
      <c r="C24" s="128"/>
      <c r="D24" s="129"/>
      <c r="E24" s="130"/>
      <c r="F24" s="130"/>
      <c r="G24" s="130"/>
      <c r="H24" s="130"/>
      <c r="I24" s="130"/>
      <c r="J24" s="130"/>
    </row>
    <row r="25" spans="1:12" x14ac:dyDescent="0.3">
      <c r="B25" s="131" t="s">
        <v>178</v>
      </c>
    </row>
    <row r="26" spans="1:12" x14ac:dyDescent="0.3">
      <c r="B26" s="132" t="s">
        <v>179</v>
      </c>
      <c r="D26" s="135">
        <f>SUM(F23:J23)</f>
        <v>164.86168517924656</v>
      </c>
    </row>
    <row r="27" spans="1:12" x14ac:dyDescent="0.3">
      <c r="B27" s="132" t="s">
        <v>180</v>
      </c>
      <c r="D27" s="135">
        <f>+J21*(1+D17)</f>
        <v>61.970520859112682</v>
      </c>
    </row>
    <row r="28" spans="1:12" x14ac:dyDescent="0.3">
      <c r="B28" s="132" t="s">
        <v>181</v>
      </c>
      <c r="D28" s="135">
        <f>+D27/(C5-D17)</f>
        <v>938.94728574413148</v>
      </c>
    </row>
    <row r="29" spans="1:12" x14ac:dyDescent="0.3">
      <c r="B29" s="132" t="s">
        <v>182</v>
      </c>
      <c r="D29" s="135">
        <f>PV(C5,J20,,-D28,0)</f>
        <v>518.73942735110199</v>
      </c>
    </row>
    <row r="30" spans="1:12" x14ac:dyDescent="0.3">
      <c r="B30" s="233" t="s">
        <v>243</v>
      </c>
      <c r="C30" s="234"/>
      <c r="D30" s="235">
        <f>SUM(D26,D29)</f>
        <v>683.60111253034859</v>
      </c>
    </row>
    <row r="31" spans="1:12" ht="4.95" customHeight="1" x14ac:dyDescent="0.3"/>
    <row r="32" spans="1:12" ht="14.4" x14ac:dyDescent="0.3">
      <c r="B32" s="246" t="s">
        <v>190</v>
      </c>
      <c r="C32" s="103"/>
      <c r="D32" s="103"/>
      <c r="E32" s="103"/>
      <c r="F32" s="104"/>
      <c r="G32" s="104"/>
      <c r="H32" s="104"/>
      <c r="I32" s="104"/>
      <c r="J32" s="104"/>
      <c r="K32" s="104"/>
      <c r="L32" s="104"/>
    </row>
    <row r="33" spans="2:12" ht="4.95" customHeight="1" x14ac:dyDescent="0.3">
      <c r="B33" s="146"/>
      <c r="C33" s="147"/>
      <c r="D33" s="147"/>
      <c r="E33" s="147"/>
      <c r="F33" s="148"/>
      <c r="G33" s="148"/>
      <c r="H33" s="148"/>
      <c r="I33" s="148"/>
      <c r="J33" s="148"/>
    </row>
    <row r="34" spans="2:12" ht="15.6" x14ac:dyDescent="0.45">
      <c r="B34" s="113"/>
      <c r="C34" s="115" t="s">
        <v>166</v>
      </c>
      <c r="D34" s="115" t="s">
        <v>167</v>
      </c>
      <c r="E34" s="115" t="s">
        <v>192</v>
      </c>
      <c r="F34" s="110"/>
      <c r="G34" s="110"/>
      <c r="H34" s="110"/>
      <c r="I34" s="110"/>
      <c r="J34" s="110"/>
    </row>
    <row r="35" spans="2:12" x14ac:dyDescent="0.3">
      <c r="B35" s="101" t="s">
        <v>168</v>
      </c>
      <c r="C35" s="111">
        <v>0.1145</v>
      </c>
      <c r="D35" s="111">
        <v>7.0000000000000007E-2</v>
      </c>
      <c r="E35" s="111">
        <v>0.04</v>
      </c>
      <c r="F35" s="114"/>
      <c r="G35" s="116"/>
      <c r="H35" s="114"/>
      <c r="I35" s="114"/>
      <c r="J35" s="114"/>
    </row>
    <row r="36" spans="2:12" ht="4.95" customHeight="1" x14ac:dyDescent="0.3">
      <c r="B36" s="108"/>
      <c r="C36" s="108"/>
      <c r="E36" s="110"/>
      <c r="F36" s="110"/>
      <c r="G36" s="110"/>
      <c r="H36" s="109"/>
      <c r="I36" s="109"/>
      <c r="J36" s="110"/>
    </row>
    <row r="37" spans="2:12" x14ac:dyDescent="0.3">
      <c r="C37" s="108" t="s">
        <v>191</v>
      </c>
      <c r="D37" s="312" t="s">
        <v>166</v>
      </c>
      <c r="E37" s="312"/>
      <c r="F37" s="312"/>
      <c r="G37" s="312"/>
      <c r="H37" s="313" t="s">
        <v>167</v>
      </c>
      <c r="I37" s="313"/>
      <c r="J37" s="313"/>
      <c r="K37" s="313"/>
      <c r="L37" s="145" t="s">
        <v>192</v>
      </c>
    </row>
    <row r="38" spans="2:12" ht="18" x14ac:dyDescent="0.35">
      <c r="C38" s="35">
        <f>BS!G1</f>
        <v>45747</v>
      </c>
      <c r="D38" s="35">
        <f>BS!H1</f>
        <v>46112</v>
      </c>
      <c r="E38" s="35">
        <f>BS!I1</f>
        <v>46477</v>
      </c>
      <c r="F38" s="35">
        <f>BS!J1</f>
        <v>46843</v>
      </c>
      <c r="G38" s="35">
        <f>BS!K1</f>
        <v>47208</v>
      </c>
      <c r="H38" s="35">
        <f>BS!L1</f>
        <v>47573</v>
      </c>
      <c r="I38" s="35">
        <f>EDATE(H38,12)</f>
        <v>47938</v>
      </c>
      <c r="J38" s="35">
        <f t="shared" ref="J38:L38" si="2">EDATE(I38,12)</f>
        <v>48304</v>
      </c>
      <c r="K38" s="35">
        <f t="shared" si="2"/>
        <v>48669</v>
      </c>
      <c r="L38" s="35">
        <f t="shared" si="2"/>
        <v>49034</v>
      </c>
    </row>
    <row r="39" spans="2:12" ht="15.6" x14ac:dyDescent="0.45">
      <c r="B39" s="120" t="s">
        <v>169</v>
      </c>
      <c r="C39" s="121" t="s">
        <v>170</v>
      </c>
      <c r="D39" s="122" t="s">
        <v>171</v>
      </c>
      <c r="E39" s="122" t="s">
        <v>172</v>
      </c>
      <c r="F39" s="122" t="s">
        <v>173</v>
      </c>
      <c r="G39" s="122" t="s">
        <v>174</v>
      </c>
      <c r="H39" s="122" t="s">
        <v>175</v>
      </c>
      <c r="I39" s="122" t="s">
        <v>193</v>
      </c>
      <c r="J39" s="122" t="s">
        <v>194</v>
      </c>
      <c r="K39" s="122" t="s">
        <v>195</v>
      </c>
      <c r="L39" s="122" t="s">
        <v>196</v>
      </c>
    </row>
    <row r="40" spans="2:12" x14ac:dyDescent="0.3">
      <c r="B40" s="105" t="s">
        <v>176</v>
      </c>
      <c r="C40" s="134">
        <f>C4</f>
        <v>34</v>
      </c>
      <c r="D40" s="134">
        <f>C40*(1+$C$35)</f>
        <v>37.893000000000001</v>
      </c>
      <c r="E40" s="134">
        <f t="shared" ref="E40" si="3">D40*(1+$C$35)</f>
        <v>42.231748500000002</v>
      </c>
      <c r="F40" s="134">
        <f>E40*(1+$C$35)</f>
        <v>47.067283703250006</v>
      </c>
      <c r="G40" s="134">
        <f>F40*(1+$C$35)</f>
        <v>52.45648768727213</v>
      </c>
      <c r="H40" s="134">
        <f>G40*(1+$D$35)</f>
        <v>56.128441825381181</v>
      </c>
      <c r="I40" s="134">
        <f t="shared" ref="I40:J40" si="4">H40*(1+$D$35)</f>
        <v>60.057432753157869</v>
      </c>
      <c r="J40" s="134">
        <f t="shared" si="4"/>
        <v>64.261453045878923</v>
      </c>
      <c r="K40" s="134">
        <f>J40*(1+$D$35)</f>
        <v>68.759754759090455</v>
      </c>
      <c r="L40" s="108">
        <f>K40*(1+E35)/(L41-E35)</f>
        <v>831.51331336574515</v>
      </c>
    </row>
    <row r="41" spans="2:12" x14ac:dyDescent="0.3">
      <c r="B41" s="105" t="s">
        <v>165</v>
      </c>
      <c r="C41" s="123">
        <f t="shared" ref="C41:H41" si="5">$C$5</f>
        <v>0.126</v>
      </c>
      <c r="D41" s="123">
        <f t="shared" si="5"/>
        <v>0.126</v>
      </c>
      <c r="E41" s="123">
        <f t="shared" si="5"/>
        <v>0.126</v>
      </c>
      <c r="F41" s="123">
        <f t="shared" si="5"/>
        <v>0.126</v>
      </c>
      <c r="G41" s="123">
        <f t="shared" si="5"/>
        <v>0.126</v>
      </c>
      <c r="H41" s="123">
        <f t="shared" si="5"/>
        <v>0.126</v>
      </c>
      <c r="I41" s="123">
        <f t="shared" ref="I41:L41" si="6">$C$5</f>
        <v>0.126</v>
      </c>
      <c r="J41" s="123">
        <f t="shared" si="6"/>
        <v>0.126</v>
      </c>
      <c r="K41" s="123">
        <f t="shared" si="6"/>
        <v>0.126</v>
      </c>
      <c r="L41" s="123">
        <f t="shared" si="6"/>
        <v>0.126</v>
      </c>
    </row>
    <row r="42" spans="2:12" x14ac:dyDescent="0.3">
      <c r="B42" s="124" t="s">
        <v>177</v>
      </c>
      <c r="C42" s="136">
        <f>PV(C41,C39,,-C40,0)</f>
        <v>34</v>
      </c>
      <c r="D42" s="136">
        <f t="shared" ref="D42" si="7">PV(D41,D39,,-D40,0)</f>
        <v>33.652753108348136</v>
      </c>
      <c r="E42" s="136">
        <f t="shared" ref="E42" si="8">PV(E41,E39,,-E40,0)</f>
        <v>33.309052699159864</v>
      </c>
      <c r="F42" s="136">
        <f t="shared" ref="F42" si="9">PV(F41,F39,,-F40,0)</f>
        <v>32.96886255169953</v>
      </c>
      <c r="G42" s="136">
        <f t="shared" ref="G42" si="10">PV(G41,G39,,-G40,0)</f>
        <v>32.632146815159089</v>
      </c>
      <c r="H42" s="136">
        <f>PV(H41,H39,,-H40,0)</f>
        <v>31.00923365206059</v>
      </c>
      <c r="I42" s="136">
        <f t="shared" ref="I42:K42" si="11">PV(I41,I39,,-I40,0)</f>
        <v>29.467033754622413</v>
      </c>
      <c r="J42" s="136">
        <f t="shared" si="11"/>
        <v>28.001532963984005</v>
      </c>
      <c r="K42" s="136">
        <f t="shared" si="11"/>
        <v>26.608916759736136</v>
      </c>
      <c r="L42" s="136">
        <f>PV(L41,L39,,-L40,0)</f>
        <v>285.77464403863843</v>
      </c>
    </row>
    <row r="43" spans="2:12" ht="4.95" customHeight="1" x14ac:dyDescent="0.3">
      <c r="B43" s="127"/>
      <c r="C43" s="128"/>
      <c r="D43" s="129"/>
      <c r="E43" s="130"/>
      <c r="F43" s="130"/>
      <c r="G43" s="130"/>
      <c r="H43" s="130"/>
      <c r="I43" s="130"/>
      <c r="J43" s="130"/>
    </row>
    <row r="44" spans="2:12" x14ac:dyDescent="0.3">
      <c r="B44" s="131" t="s">
        <v>178</v>
      </c>
    </row>
    <row r="45" spans="2:12" x14ac:dyDescent="0.3">
      <c r="B45" s="233" t="s">
        <v>243</v>
      </c>
      <c r="C45" s="234"/>
      <c r="D45" s="235">
        <f>SUM(C42:L42)</f>
        <v>567.42417634340813</v>
      </c>
    </row>
  </sheetData>
  <sheetProtection algorithmName="SHA-512" hashValue="BdYXebniihZcbe6P/k43zauyShxQpwbTe/1BmR3NHm9JznqsahF14sAfT9tg97PJb2YSYZpXRWGpEFUGz8x2/g==" saltValue="ROGJ4MdTZj9oTgqPWWtayg==" spinCount="100000" sheet="1" objects="1" scenarios="1"/>
  <mergeCells count="2">
    <mergeCell ref="D37:G37"/>
    <mergeCell ref="H37:K37"/>
  </mergeCells>
  <phoneticPr fontId="43" type="noConversion"/>
  <pageMargins left="0.7" right="0.7" top="0.75" bottom="0.75" header="0.3" footer="0.3"/>
  <ignoredErrors>
    <ignoredError sqref="E20:J20 C39:L39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6632-80F6-4924-9A27-8FDE8E5203AF}">
  <sheetPr codeName="Sheet7"/>
  <dimension ref="B1:T33"/>
  <sheetViews>
    <sheetView showGridLines="0" zoomScale="97" zoomScaleNormal="99" workbookViewId="0">
      <selection activeCell="R5" sqref="R5"/>
    </sheetView>
  </sheetViews>
  <sheetFormatPr defaultColWidth="11.5546875" defaultRowHeight="14.4" x14ac:dyDescent="0.3"/>
  <cols>
    <col min="1" max="1" width="2" customWidth="1"/>
    <col min="2" max="2" width="37.33203125" bestFit="1" customWidth="1"/>
    <col min="3" max="16" width="15.77734375" customWidth="1"/>
    <col min="17" max="17" width="2.77734375" customWidth="1"/>
    <col min="18" max="18" width="11.44140625" bestFit="1" customWidth="1"/>
    <col min="27" max="27" width="19.88671875" bestFit="1" customWidth="1"/>
    <col min="28" max="28" width="25.5546875" bestFit="1" customWidth="1"/>
  </cols>
  <sheetData>
    <row r="1" spans="2:18" ht="4.05" customHeight="1" x14ac:dyDescent="0.3"/>
    <row r="2" spans="2:18" x14ac:dyDescent="0.3">
      <c r="B2" s="158" t="s">
        <v>197</v>
      </c>
      <c r="C2" s="158" t="s">
        <v>198</v>
      </c>
      <c r="D2" s="158" t="s">
        <v>199</v>
      </c>
      <c r="E2" s="158" t="s">
        <v>200</v>
      </c>
      <c r="F2" s="158" t="s">
        <v>201</v>
      </c>
      <c r="G2" s="158" t="s">
        <v>90</v>
      </c>
      <c r="H2" s="158" t="s">
        <v>202</v>
      </c>
      <c r="I2" s="158" t="s">
        <v>227</v>
      </c>
      <c r="J2" s="158" t="s">
        <v>228</v>
      </c>
      <c r="K2" s="158" t="s">
        <v>85</v>
      </c>
      <c r="L2" s="247" t="s">
        <v>203</v>
      </c>
      <c r="M2" s="247" t="s">
        <v>204</v>
      </c>
      <c r="N2" s="247" t="s">
        <v>205</v>
      </c>
      <c r="O2" s="247" t="s">
        <v>206</v>
      </c>
      <c r="P2" s="247" t="s">
        <v>207</v>
      </c>
      <c r="R2" t="s">
        <v>217</v>
      </c>
    </row>
    <row r="3" spans="2:18" x14ac:dyDescent="0.3">
      <c r="B3" s="149" t="s">
        <v>218</v>
      </c>
      <c r="C3" s="160">
        <v>4081.95</v>
      </c>
      <c r="D3" s="160">
        <v>330645.48055856966</v>
      </c>
      <c r="E3" s="160">
        <f>DCF!C16</f>
        <v>93364.64</v>
      </c>
      <c r="F3" s="160">
        <v>411823.12055856967</v>
      </c>
      <c r="G3" s="160">
        <v>128.61758850989403</v>
      </c>
      <c r="H3" s="160">
        <v>737.04</v>
      </c>
      <c r="I3" s="160">
        <v>270722.51</v>
      </c>
      <c r="J3" s="160">
        <v>17687.390000000029</v>
      </c>
      <c r="K3" s="160">
        <v>26438.380000000026</v>
      </c>
      <c r="L3" s="76"/>
      <c r="M3" s="76"/>
      <c r="N3" s="76"/>
      <c r="O3" s="76"/>
      <c r="P3" s="76"/>
      <c r="R3" s="76">
        <v>137.47</v>
      </c>
    </row>
    <row r="4" spans="2:18" x14ac:dyDescent="0.3">
      <c r="B4" s="149" t="s">
        <v>219</v>
      </c>
      <c r="C4" s="160">
        <v>4302.8</v>
      </c>
      <c r="D4" s="160">
        <v>284992</v>
      </c>
      <c r="E4" s="160">
        <v>11.4</v>
      </c>
      <c r="F4" s="160">
        <v>243300.41</v>
      </c>
      <c r="G4" s="160">
        <v>126.64</v>
      </c>
      <c r="H4" s="160">
        <v>554.96</v>
      </c>
      <c r="I4" s="160">
        <v>32104.78</v>
      </c>
      <c r="J4" s="160">
        <v>8364.0499999999993</v>
      </c>
      <c r="K4" s="160">
        <v>12170</v>
      </c>
      <c r="L4" s="150">
        <f>C4/G4</f>
        <v>33.976626658243845</v>
      </c>
      <c r="M4" s="150">
        <f>C4/H4</f>
        <v>7.7533515929075971</v>
      </c>
      <c r="N4" s="150">
        <f>C4/(I4/R4)</f>
        <v>8.9635021327042264</v>
      </c>
      <c r="O4" s="150">
        <f>F4/K4</f>
        <v>19.991816762530814</v>
      </c>
      <c r="P4" s="150">
        <f>F4/I4</f>
        <v>7.5783235393608059</v>
      </c>
      <c r="R4" s="76">
        <v>66.88</v>
      </c>
    </row>
    <row r="5" spans="2:18" x14ac:dyDescent="0.3">
      <c r="B5" s="149" t="s">
        <v>220</v>
      </c>
      <c r="C5" s="160">
        <v>391.35</v>
      </c>
      <c r="D5" s="160">
        <v>283619</v>
      </c>
      <c r="E5" s="160">
        <v>58.89</v>
      </c>
      <c r="F5" s="160">
        <v>278010.56</v>
      </c>
      <c r="G5" s="160">
        <v>7.79</v>
      </c>
      <c r="H5" s="160">
        <v>29.5</v>
      </c>
      <c r="I5" s="160">
        <v>25152.11</v>
      </c>
      <c r="J5" s="160">
        <v>5322.68</v>
      </c>
      <c r="K5" s="160">
        <v>7400</v>
      </c>
      <c r="L5" s="150">
        <f>C5/G5</f>
        <v>50.237483953786906</v>
      </c>
      <c r="M5" s="150">
        <f t="shared" ref="M5:M11" si="0">C5/H5</f>
        <v>13.266101694915255</v>
      </c>
      <c r="N5" s="150">
        <f t="shared" ref="N5:N11" si="1">C5/(I5/R5)</f>
        <v>11.373559633764327</v>
      </c>
      <c r="O5" s="150">
        <f t="shared" ref="O5:O11" si="2">F5/K5</f>
        <v>37.568994594594592</v>
      </c>
      <c r="P5" s="150">
        <f t="shared" ref="P5:P11" si="3">F5/I5</f>
        <v>11.053170489473844</v>
      </c>
      <c r="R5" s="76">
        <v>730.98</v>
      </c>
    </row>
    <row r="6" spans="2:18" x14ac:dyDescent="0.3">
      <c r="B6" s="149" t="s">
        <v>221</v>
      </c>
      <c r="C6" s="160">
        <v>4357</v>
      </c>
      <c r="D6" s="160">
        <v>124500</v>
      </c>
      <c r="E6" s="160">
        <v>24.35</v>
      </c>
      <c r="F6" s="160">
        <v>119039.92</v>
      </c>
      <c r="G6" s="160">
        <v>83.48</v>
      </c>
      <c r="H6" s="160">
        <v>284.81</v>
      </c>
      <c r="I6" s="160">
        <v>11643.62</v>
      </c>
      <c r="J6" s="160">
        <v>1999.94</v>
      </c>
      <c r="K6" s="160">
        <v>3028</v>
      </c>
      <c r="L6" s="150">
        <f t="shared" ref="L6:L11" si="4">C6/G6</f>
        <v>52.192141830378532</v>
      </c>
      <c r="M6" s="150">
        <f t="shared" si="0"/>
        <v>15.297917910185738</v>
      </c>
      <c r="N6" s="150">
        <f t="shared" si="1"/>
        <v>10.372722572533283</v>
      </c>
      <c r="O6" s="150">
        <f t="shared" si="2"/>
        <v>39.313051519154556</v>
      </c>
      <c r="P6" s="150">
        <f t="shared" si="3"/>
        <v>10.223617740874401</v>
      </c>
      <c r="R6" s="76">
        <v>27.72</v>
      </c>
    </row>
    <row r="7" spans="2:18" x14ac:dyDescent="0.3">
      <c r="B7" s="149" t="s">
        <v>222</v>
      </c>
      <c r="C7" s="160">
        <v>7360</v>
      </c>
      <c r="D7" s="160">
        <v>106800</v>
      </c>
      <c r="E7" s="160">
        <v>223.12</v>
      </c>
      <c r="F7" s="160">
        <v>109920.55</v>
      </c>
      <c r="G7" s="160">
        <v>163.6</v>
      </c>
      <c r="H7" s="160">
        <v>703.75</v>
      </c>
      <c r="I7" s="160">
        <v>24595.05</v>
      </c>
      <c r="J7" s="160">
        <v>2045.54</v>
      </c>
      <c r="K7" s="160">
        <v>1488</v>
      </c>
      <c r="L7" s="150">
        <f t="shared" si="4"/>
        <v>44.987775061124694</v>
      </c>
      <c r="M7" s="150">
        <f t="shared" si="0"/>
        <v>10.458259325044406</v>
      </c>
      <c r="N7" s="150">
        <f t="shared" si="1"/>
        <v>4.4946930378267176</v>
      </c>
      <c r="O7" s="150">
        <f t="shared" si="2"/>
        <v>73.871337365591401</v>
      </c>
      <c r="P7" s="150">
        <f t="shared" si="3"/>
        <v>4.4692143337785453</v>
      </c>
      <c r="R7" s="76">
        <v>15.02</v>
      </c>
    </row>
    <row r="8" spans="2:18" x14ac:dyDescent="0.3">
      <c r="B8" s="149" t="s">
        <v>223</v>
      </c>
      <c r="C8" s="160">
        <v>3091.55</v>
      </c>
      <c r="D8" s="160">
        <v>112580</v>
      </c>
      <c r="E8" s="160">
        <v>145.30000000000001</v>
      </c>
      <c r="F8" s="160">
        <v>103567.13</v>
      </c>
      <c r="G8" s="160">
        <v>59.09</v>
      </c>
      <c r="H8" s="160">
        <v>371.46</v>
      </c>
      <c r="I8" s="160">
        <v>17364.2</v>
      </c>
      <c r="J8" s="160">
        <v>2105.9</v>
      </c>
      <c r="K8" s="160">
        <v>2478</v>
      </c>
      <c r="L8" s="150">
        <f t="shared" si="4"/>
        <v>52.319343374513451</v>
      </c>
      <c r="M8" s="150">
        <f t="shared" si="0"/>
        <v>8.3226996177246555</v>
      </c>
      <c r="N8" s="150">
        <f t="shared" si="1"/>
        <v>6.340061477062001</v>
      </c>
      <c r="O8" s="150">
        <f t="shared" si="2"/>
        <v>41.794644874899113</v>
      </c>
      <c r="P8" s="150">
        <f t="shared" si="3"/>
        <v>5.9644055009732666</v>
      </c>
      <c r="R8" s="76">
        <v>35.61</v>
      </c>
    </row>
    <row r="9" spans="2:18" x14ac:dyDescent="0.3">
      <c r="B9" s="149" t="s">
        <v>224</v>
      </c>
      <c r="C9" s="160">
        <v>5140.2</v>
      </c>
      <c r="D9" s="160">
        <v>108000</v>
      </c>
      <c r="E9" s="160">
        <v>73.22</v>
      </c>
      <c r="F9" s="160">
        <v>103736.54</v>
      </c>
      <c r="G9" s="160">
        <v>83.24</v>
      </c>
      <c r="H9" s="160">
        <v>339.52</v>
      </c>
      <c r="I9" s="160">
        <v>13010.65</v>
      </c>
      <c r="J9" s="160">
        <v>1871.64</v>
      </c>
      <c r="K9" s="160">
        <v>2212</v>
      </c>
      <c r="L9" s="150">
        <f t="shared" si="4"/>
        <v>61.751561749159059</v>
      </c>
      <c r="M9" s="150">
        <f t="shared" si="0"/>
        <v>15.139608859566447</v>
      </c>
      <c r="N9" s="150">
        <f t="shared" si="1"/>
        <v>8.3716676722531158</v>
      </c>
      <c r="O9" s="150">
        <f t="shared" si="2"/>
        <v>46.897169981916818</v>
      </c>
      <c r="P9" s="150">
        <f t="shared" si="3"/>
        <v>7.9732019537840149</v>
      </c>
      <c r="R9" s="76">
        <v>21.19</v>
      </c>
    </row>
    <row r="10" spans="2:18" x14ac:dyDescent="0.3">
      <c r="B10" s="149" t="s">
        <v>225</v>
      </c>
      <c r="C10" s="160">
        <v>668.1</v>
      </c>
      <c r="D10" s="160">
        <v>105900</v>
      </c>
      <c r="E10" s="160">
        <v>116.82</v>
      </c>
      <c r="F10" s="160">
        <v>104729.43</v>
      </c>
      <c r="G10" s="160">
        <v>6.93</v>
      </c>
      <c r="H10" s="160">
        <v>47.38</v>
      </c>
      <c r="I10" s="160">
        <v>11069.29</v>
      </c>
      <c r="J10" s="160">
        <v>972.98</v>
      </c>
      <c r="K10" s="160">
        <v>1771</v>
      </c>
      <c r="L10" s="150">
        <f t="shared" si="4"/>
        <v>96.406926406926416</v>
      </c>
      <c r="M10" s="150">
        <f t="shared" si="0"/>
        <v>14.100886449978894</v>
      </c>
      <c r="N10" s="150">
        <f t="shared" si="1"/>
        <v>9.2181985475129835</v>
      </c>
      <c r="O10" s="150">
        <f t="shared" si="2"/>
        <v>59.135759457933368</v>
      </c>
      <c r="P10" s="150">
        <f t="shared" si="3"/>
        <v>9.461259936274141</v>
      </c>
      <c r="R10" s="76">
        <v>152.72999999999999</v>
      </c>
    </row>
    <row r="11" spans="2:18" x14ac:dyDescent="0.3">
      <c r="B11" s="149" t="s">
        <v>226</v>
      </c>
      <c r="C11" s="160">
        <v>173.4</v>
      </c>
      <c r="D11" s="160">
        <v>98500</v>
      </c>
      <c r="E11" s="160">
        <v>54513.09</v>
      </c>
      <c r="F11" s="160">
        <v>151294.48000000001</v>
      </c>
      <c r="G11" s="160">
        <v>5.55</v>
      </c>
      <c r="H11" s="160">
        <v>21.42</v>
      </c>
      <c r="I11" s="160">
        <v>50976.160000000003</v>
      </c>
      <c r="J11" s="160">
        <v>3382.79</v>
      </c>
      <c r="K11" s="160">
        <v>4648</v>
      </c>
      <c r="L11" s="150">
        <f t="shared" si="4"/>
        <v>31.243243243243246</v>
      </c>
      <c r="M11" s="150">
        <f t="shared" si="0"/>
        <v>8.0952380952380949</v>
      </c>
      <c r="N11" s="150">
        <f t="shared" si="1"/>
        <v>1.9976518042943994</v>
      </c>
      <c r="O11" s="150">
        <f t="shared" si="2"/>
        <v>32.55044750430293</v>
      </c>
      <c r="P11" s="150">
        <f t="shared" si="3"/>
        <v>2.9679458005467656</v>
      </c>
      <c r="R11" s="76">
        <v>587.27</v>
      </c>
    </row>
    <row r="12" spans="2:18" ht="1.2" customHeight="1" x14ac:dyDescent="0.3">
      <c r="D12" s="45"/>
      <c r="R12" s="76"/>
    </row>
    <row r="13" spans="2:18" x14ac:dyDescent="0.3">
      <c r="B13" s="161" t="s">
        <v>208</v>
      </c>
      <c r="C13" s="161"/>
      <c r="D13" s="161"/>
      <c r="E13" s="161"/>
      <c r="F13" s="161"/>
      <c r="G13" s="161"/>
      <c r="H13" s="161"/>
      <c r="I13" s="161"/>
      <c r="J13" s="161"/>
      <c r="K13" s="161"/>
      <c r="L13" s="162">
        <f>AVERAGE(L4:L11)</f>
        <v>52.889387784672017</v>
      </c>
      <c r="M13" s="162">
        <f t="shared" ref="M13:P13" si="5">AVERAGE(M4:M11)</f>
        <v>11.554257943195136</v>
      </c>
      <c r="N13" s="162">
        <f t="shared" si="5"/>
        <v>7.6415071097438814</v>
      </c>
      <c r="O13" s="162">
        <f t="shared" si="5"/>
        <v>43.890402757615455</v>
      </c>
      <c r="P13" s="162">
        <f t="shared" si="5"/>
        <v>7.4613924118832227</v>
      </c>
      <c r="R13" s="76"/>
    </row>
    <row r="14" spans="2:18" x14ac:dyDescent="0.3">
      <c r="B14" s="161" t="s">
        <v>209</v>
      </c>
      <c r="C14" s="161"/>
      <c r="D14" s="161"/>
      <c r="E14" s="161"/>
      <c r="F14" s="161"/>
      <c r="G14" s="161"/>
      <c r="H14" s="161"/>
      <c r="I14" s="161"/>
      <c r="J14" s="161"/>
      <c r="K14" s="161"/>
      <c r="L14" s="162">
        <f>MEDIAN(L4:L11)</f>
        <v>51.214812892082719</v>
      </c>
      <c r="M14" s="162">
        <f t="shared" ref="M14:P14" si="6">MEDIAN(M4:M11)</f>
        <v>11.862180509979829</v>
      </c>
      <c r="N14" s="162">
        <f t="shared" si="6"/>
        <v>8.6675849024786711</v>
      </c>
      <c r="O14" s="162">
        <f t="shared" si="6"/>
        <v>40.553848197026838</v>
      </c>
      <c r="P14" s="162">
        <f t="shared" si="6"/>
        <v>7.7757627465724104</v>
      </c>
      <c r="R14" s="76"/>
    </row>
    <row r="15" spans="2:18" ht="1.95" customHeight="1" x14ac:dyDescent="0.3">
      <c r="R15" s="76"/>
    </row>
    <row r="16" spans="2:18" x14ac:dyDescent="0.3"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224" t="str">
        <f>L2</f>
        <v>P/E</v>
      </c>
      <c r="M16" s="224" t="str">
        <f t="shared" ref="M16:P16" si="7">M2</f>
        <v>P/B</v>
      </c>
      <c r="N16" s="224" t="str">
        <f t="shared" si="7"/>
        <v>P/S</v>
      </c>
      <c r="O16" s="224" t="str">
        <f t="shared" si="7"/>
        <v>EV/EBITDA</v>
      </c>
      <c r="P16" s="224" t="str">
        <f t="shared" si="7"/>
        <v>EV/Sales</v>
      </c>
      <c r="R16" s="76"/>
    </row>
    <row r="17" spans="2:20" ht="4.95" customHeight="1" x14ac:dyDescent="0.3">
      <c r="B17" s="52"/>
      <c r="C17" s="52"/>
      <c r="D17" s="52"/>
      <c r="E17" s="52"/>
      <c r="F17" s="52"/>
      <c r="G17" s="52"/>
      <c r="H17" s="52"/>
      <c r="I17" s="52"/>
      <c r="J17" s="52"/>
      <c r="K17" s="52"/>
    </row>
    <row r="18" spans="2:20" x14ac:dyDescent="0.3">
      <c r="B18" t="s">
        <v>201</v>
      </c>
      <c r="O18" s="83">
        <f>O14*K3</f>
        <v>1072178.0490953114</v>
      </c>
      <c r="P18" s="83">
        <f>P14*I3</f>
        <v>2105074.0079165767</v>
      </c>
    </row>
    <row r="19" spans="2:20" x14ac:dyDescent="0.3">
      <c r="B19" t="s">
        <v>210</v>
      </c>
      <c r="L19" s="76"/>
      <c r="M19" s="76"/>
      <c r="N19" s="76"/>
      <c r="O19" s="83">
        <f>-DCF!C16</f>
        <v>-93364.64</v>
      </c>
      <c r="P19" s="83">
        <f>O19</f>
        <v>-93364.64</v>
      </c>
    </row>
    <row r="20" spans="2:20" x14ac:dyDescent="0.3">
      <c r="B20" t="s">
        <v>211</v>
      </c>
      <c r="O20" s="83">
        <f>DCF!C17</f>
        <v>12187</v>
      </c>
      <c r="P20" s="83">
        <f>O20</f>
        <v>12187</v>
      </c>
    </row>
    <row r="21" spans="2:20" x14ac:dyDescent="0.3">
      <c r="B21" t="s">
        <v>199</v>
      </c>
      <c r="O21" s="83">
        <f>SUM(O18:O20)</f>
        <v>991000.40909531142</v>
      </c>
      <c r="P21" s="83">
        <f>SUM(P18:P20)</f>
        <v>2023896.3679165768</v>
      </c>
    </row>
    <row r="22" spans="2:20" x14ac:dyDescent="0.3">
      <c r="B22" t="s">
        <v>212</v>
      </c>
      <c r="O22" s="83">
        <f>R3</f>
        <v>137.47</v>
      </c>
      <c r="P22" s="83">
        <f>R3</f>
        <v>137.47</v>
      </c>
    </row>
    <row r="23" spans="2:20" ht="15" thickBot="1" x14ac:dyDescent="0.35">
      <c r="B23" s="151" t="s">
        <v>213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2">
        <f>L14*G3</f>
        <v>6587.1257301651112</v>
      </c>
      <c r="M23" s="152">
        <f>M14*H3</f>
        <v>8742.9015230755322</v>
      </c>
      <c r="N23" s="152">
        <f>(I3/R3)*N14</f>
        <v>17069.253949495389</v>
      </c>
      <c r="O23" s="152">
        <f>O21/O22</f>
        <v>7208.8485421932892</v>
      </c>
      <c r="P23" s="152">
        <f>P21/P22</f>
        <v>14722.458484880895</v>
      </c>
    </row>
    <row r="24" spans="2:20" ht="4.05" customHeight="1" x14ac:dyDescent="0.3"/>
    <row r="25" spans="2:20" ht="15" thickBot="1" x14ac:dyDescent="0.35">
      <c r="B25" t="s">
        <v>214</v>
      </c>
      <c r="C25" s="76"/>
      <c r="L25" s="153">
        <f>S28</f>
        <v>0.2</v>
      </c>
      <c r="M25" s="153">
        <f>S29</f>
        <v>0.15</v>
      </c>
      <c r="N25" s="153">
        <f>S30</f>
        <v>0.1</v>
      </c>
      <c r="O25" s="153">
        <f>S26</f>
        <v>0.35</v>
      </c>
      <c r="P25" s="153">
        <f>S27</f>
        <v>0.2</v>
      </c>
      <c r="R25" s="49" t="s">
        <v>229</v>
      </c>
      <c r="S25" s="49" t="s">
        <v>230</v>
      </c>
    </row>
    <row r="26" spans="2:20" x14ac:dyDescent="0.3">
      <c r="B26" s="154" t="s">
        <v>215</v>
      </c>
      <c r="C26" s="155">
        <f>(L25*L23)+(M25*M23)+(N25*N23)+(O25*O23)+(P25*P23)</f>
        <v>9803.3744561877211</v>
      </c>
      <c r="R26" s="51" t="s">
        <v>231</v>
      </c>
      <c r="S26" s="163">
        <v>0.35</v>
      </c>
      <c r="T26" t="s">
        <v>232</v>
      </c>
    </row>
    <row r="27" spans="2:20" ht="15" thickBot="1" x14ac:dyDescent="0.35">
      <c r="B27" s="156" t="s">
        <v>216</v>
      </c>
      <c r="C27" s="157">
        <f>C3</f>
        <v>4081.95</v>
      </c>
      <c r="R27" s="51" t="s">
        <v>233</v>
      </c>
      <c r="S27" s="163">
        <v>0.2</v>
      </c>
      <c r="T27" t="s">
        <v>234</v>
      </c>
    </row>
    <row r="28" spans="2:20" x14ac:dyDescent="0.3">
      <c r="C28" s="150">
        <f>C26/C27</f>
        <v>2.4016400142548835</v>
      </c>
      <c r="R28" s="51" t="s">
        <v>203</v>
      </c>
      <c r="S28" s="163">
        <v>0.2</v>
      </c>
      <c r="T28" t="s">
        <v>235</v>
      </c>
    </row>
    <row r="29" spans="2:20" x14ac:dyDescent="0.3">
      <c r="R29" s="51" t="s">
        <v>204</v>
      </c>
      <c r="S29" s="163">
        <v>0.15</v>
      </c>
      <c r="T29" t="s">
        <v>236</v>
      </c>
    </row>
    <row r="30" spans="2:20" x14ac:dyDescent="0.3">
      <c r="R30" s="51" t="s">
        <v>205</v>
      </c>
      <c r="S30" s="163">
        <v>0.1</v>
      </c>
      <c r="T30" t="s">
        <v>237</v>
      </c>
    </row>
    <row r="33" spans="13:13" x14ac:dyDescent="0.3">
      <c r="M33" s="53"/>
    </row>
  </sheetData>
  <sheetProtection algorithmName="SHA-512" hashValue="QUtq4BFzl/Oid4Z9RRWGKNxeIBanBms7ih35JQonS+c5kLqv/WcM6oVF+AnrWXiB401t4npm7lLdmeifQFBb3Q==" saltValue="fHVfm3ZNyEe0F7JZxPUhjA==" spinCount="100000"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9619-0A60-4D0D-98C3-7F4F61C92B46}">
  <sheetPr codeName="Sheet8"/>
  <dimension ref="B2:V28"/>
  <sheetViews>
    <sheetView showGridLines="0" topLeftCell="A4" zoomScale="118" workbookViewId="0">
      <selection activeCell="L17" sqref="L17"/>
    </sheetView>
  </sheetViews>
  <sheetFormatPr defaultRowHeight="14.4" x14ac:dyDescent="0.3"/>
  <cols>
    <col min="1" max="1" width="2" customWidth="1"/>
    <col min="2" max="2" width="25.6640625" bestFit="1" customWidth="1"/>
    <col min="4" max="4" width="9.109375" bestFit="1" customWidth="1"/>
    <col min="6" max="6" width="16.109375" bestFit="1" customWidth="1"/>
    <col min="7" max="7" width="13.5546875" bestFit="1" customWidth="1"/>
    <col min="8" max="9" width="9.6640625" bestFit="1" customWidth="1"/>
    <col min="10" max="10" width="12.44140625" bestFit="1" customWidth="1"/>
    <col min="11" max="11" width="9.44140625" bestFit="1" customWidth="1"/>
    <col min="12" max="12" width="15.6640625" bestFit="1" customWidth="1"/>
    <col min="14" max="14" width="9" bestFit="1" customWidth="1"/>
    <col min="15" max="15" width="15.5546875" bestFit="1" customWidth="1"/>
    <col min="16" max="16" width="7.88671875" bestFit="1" customWidth="1"/>
    <col min="17" max="17" width="9.33203125" bestFit="1" customWidth="1"/>
    <col min="18" max="19" width="10.44140625" bestFit="1" customWidth="1"/>
    <col min="20" max="20" width="9.33203125" bestFit="1" customWidth="1"/>
    <col min="21" max="21" width="8.77734375" bestFit="1" customWidth="1"/>
  </cols>
  <sheetData>
    <row r="2" spans="2:22" ht="21" x14ac:dyDescent="0.3">
      <c r="B2" s="316" t="s">
        <v>244</v>
      </c>
      <c r="C2" s="316"/>
      <c r="D2" s="272"/>
      <c r="E2" s="272"/>
      <c r="F2" s="272"/>
      <c r="G2" s="272"/>
      <c r="H2" s="272"/>
      <c r="I2" s="272"/>
      <c r="J2" s="272"/>
      <c r="K2" s="272"/>
      <c r="L2" s="272"/>
    </row>
    <row r="3" spans="2:22" ht="15" x14ac:dyDescent="0.3"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</row>
    <row r="4" spans="2:22" ht="15" x14ac:dyDescent="0.35">
      <c r="B4" s="314" t="s">
        <v>245</v>
      </c>
      <c r="C4" s="314"/>
      <c r="D4" s="314"/>
      <c r="E4" s="248"/>
      <c r="F4" s="249" t="s">
        <v>246</v>
      </c>
      <c r="G4" s="250"/>
      <c r="H4" s="250"/>
      <c r="I4" s="250"/>
      <c r="J4" s="250"/>
      <c r="K4" s="250"/>
      <c r="L4" s="250"/>
      <c r="N4" s="275"/>
    </row>
    <row r="5" spans="2:22" ht="15.6" thickBot="1" x14ac:dyDescent="0.4">
      <c r="B5" s="315" t="s">
        <v>247</v>
      </c>
      <c r="C5" s="315"/>
      <c r="D5" s="248"/>
      <c r="E5" s="248"/>
      <c r="F5" s="251" t="s">
        <v>197</v>
      </c>
      <c r="G5" s="252" t="s">
        <v>248</v>
      </c>
      <c r="H5" s="252" t="s">
        <v>200</v>
      </c>
      <c r="I5" s="252" t="s">
        <v>3</v>
      </c>
      <c r="J5" s="252" t="s">
        <v>249</v>
      </c>
      <c r="K5" s="252" t="s">
        <v>250</v>
      </c>
      <c r="L5" s="252" t="s">
        <v>251</v>
      </c>
      <c r="N5" s="276"/>
    </row>
    <row r="6" spans="2:22" ht="15" x14ac:dyDescent="0.3">
      <c r="B6" s="253" t="s">
        <v>252</v>
      </c>
      <c r="C6" s="253"/>
      <c r="D6" s="254">
        <v>0.19298954120724021</v>
      </c>
      <c r="E6" s="248"/>
      <c r="F6" s="255" t="str">
        <f>'RELATIVE VALUATION '!B3</f>
        <v>Larsen &amp; Toubro</v>
      </c>
      <c r="G6" s="256">
        <v>1.05</v>
      </c>
      <c r="H6" s="257">
        <f>DCF!C16</f>
        <v>93364.64</v>
      </c>
      <c r="I6" s="257">
        <v>560342.87</v>
      </c>
      <c r="J6" s="258">
        <f>H6/I6</f>
        <v>0.16662055501839437</v>
      </c>
      <c r="K6" s="259">
        <v>0.24986014973626719</v>
      </c>
      <c r="L6" s="260">
        <f>G6/((1+(1-K6)*J6))</f>
        <v>0.93334269314909146</v>
      </c>
      <c r="N6" s="277"/>
      <c r="O6" s="278"/>
      <c r="P6" s="279"/>
      <c r="Q6" s="279"/>
      <c r="R6" s="279"/>
      <c r="S6" s="279"/>
      <c r="T6" s="279"/>
      <c r="U6" s="279"/>
    </row>
    <row r="7" spans="2:22" ht="15" x14ac:dyDescent="0.3">
      <c r="B7" s="253" t="s">
        <v>253</v>
      </c>
      <c r="C7" s="261"/>
      <c r="D7" s="254">
        <v>0.80701045879275979</v>
      </c>
      <c r="E7" s="248"/>
      <c r="F7" s="255" t="str">
        <f>'RELATIVE VALUATION '!B4</f>
        <v>Hind.Aeronautics</v>
      </c>
      <c r="G7" s="256">
        <v>0.87</v>
      </c>
      <c r="H7" s="257">
        <v>11.4</v>
      </c>
      <c r="I7" s="257">
        <v>287927.7</v>
      </c>
      <c r="J7" s="258">
        <f>H7/I7</f>
        <v>3.9593272894549567E-5</v>
      </c>
      <c r="K7" s="259">
        <v>0.23034417139186877</v>
      </c>
      <c r="L7" s="260">
        <f t="shared" ref="L7:L12" si="0">G7/((1+(1-K7)*J7))</f>
        <v>0.86997348912973727</v>
      </c>
      <c r="N7" s="280"/>
      <c r="O7" s="278"/>
      <c r="P7" s="281"/>
      <c r="Q7" s="281"/>
      <c r="R7" s="281"/>
      <c r="S7" s="281"/>
      <c r="T7" s="281"/>
      <c r="U7" s="281"/>
      <c r="V7" s="282"/>
    </row>
    <row r="8" spans="2:22" ht="15" x14ac:dyDescent="0.3">
      <c r="B8" s="262" t="s">
        <v>254</v>
      </c>
      <c r="C8" s="262"/>
      <c r="D8" s="263">
        <f>D6/D7</f>
        <v>0.23914131360322297</v>
      </c>
      <c r="E8" s="248"/>
      <c r="F8" s="255" t="str">
        <f>'RELATIVE VALUATION '!B5</f>
        <v>Bharat Electron</v>
      </c>
      <c r="G8" s="256">
        <v>0.85</v>
      </c>
      <c r="H8" s="257">
        <v>58.89</v>
      </c>
      <c r="I8" s="257">
        <v>287164.65999999997</v>
      </c>
      <c r="J8" s="258">
        <f t="shared" ref="J8:J13" si="1">H8/I8</f>
        <v>2.0507398090001744E-4</v>
      </c>
      <c r="K8" s="259">
        <v>0.255226088181434</v>
      </c>
      <c r="L8" s="260">
        <f>G8/((1+(1-K8)*J8))</f>
        <v>0.8498701961371089</v>
      </c>
      <c r="N8" s="280"/>
      <c r="O8" s="278"/>
      <c r="P8" s="281"/>
      <c r="Q8" s="281"/>
      <c r="R8" s="281"/>
      <c r="S8" s="281"/>
      <c r="T8" s="281"/>
      <c r="U8" s="281"/>
      <c r="V8" s="282"/>
    </row>
    <row r="9" spans="2:22" ht="15" x14ac:dyDescent="0.3">
      <c r="B9" s="255"/>
      <c r="C9" s="255"/>
      <c r="D9" s="264"/>
      <c r="E9" s="248"/>
      <c r="F9" s="255" t="str">
        <f>'RELATIVE VALUATION '!B6</f>
        <v>Cummins India</v>
      </c>
      <c r="G9" s="256">
        <v>1.58</v>
      </c>
      <c r="H9" s="257">
        <v>24.35</v>
      </c>
      <c r="I9" s="257">
        <v>145212.74</v>
      </c>
      <c r="J9" s="258">
        <f t="shared" si="1"/>
        <v>1.6768501165944532E-4</v>
      </c>
      <c r="K9" s="259">
        <v>0.22865925385971206</v>
      </c>
      <c r="L9" s="260">
        <f t="shared" si="0"/>
        <v>1.579795665623499</v>
      </c>
      <c r="N9" s="280"/>
      <c r="O9" s="278"/>
      <c r="P9" s="281"/>
      <c r="Q9" s="281"/>
      <c r="R9" s="281"/>
      <c r="S9" s="281"/>
      <c r="T9" s="281"/>
      <c r="U9" s="281"/>
      <c r="V9" s="282"/>
    </row>
    <row r="10" spans="2:22" ht="15" x14ac:dyDescent="0.3">
      <c r="B10" s="265" t="s">
        <v>255</v>
      </c>
      <c r="C10" s="265"/>
      <c r="D10" s="266"/>
      <c r="E10" s="248"/>
      <c r="F10" s="255" t="str">
        <f>'RELATIVE VALUATION '!B7</f>
        <v>Polycab India</v>
      </c>
      <c r="G10" s="256">
        <v>0.87</v>
      </c>
      <c r="H10" s="257">
        <v>223.12</v>
      </c>
      <c r="I10" s="257">
        <v>122256.29</v>
      </c>
      <c r="J10" s="258">
        <f t="shared" si="1"/>
        <v>1.8250185736864747E-3</v>
      </c>
      <c r="K10" s="259">
        <v>0.24263102356665492</v>
      </c>
      <c r="L10" s="260">
        <f t="shared" si="0"/>
        <v>0.86879913501978689</v>
      </c>
      <c r="N10" s="280"/>
      <c r="O10" s="278"/>
      <c r="P10" s="281"/>
      <c r="Q10" s="281"/>
      <c r="R10" s="281"/>
      <c r="S10" s="281"/>
      <c r="T10" s="281"/>
      <c r="U10" s="281"/>
      <c r="V10" s="282"/>
    </row>
    <row r="11" spans="2:22" ht="15" x14ac:dyDescent="0.3">
      <c r="B11" s="253" t="s">
        <v>256</v>
      </c>
      <c r="C11" s="253"/>
      <c r="D11" s="267">
        <v>6.6000000000000003E-2</v>
      </c>
      <c r="E11" s="248"/>
      <c r="F11" s="255" t="str">
        <f>'RELATIVE VALUATION '!B8</f>
        <v>Siemens</v>
      </c>
      <c r="G11" s="256">
        <v>0.86</v>
      </c>
      <c r="H11" s="257">
        <v>145.30000000000001</v>
      </c>
      <c r="I11" s="257">
        <v>111985.57</v>
      </c>
      <c r="J11" s="258">
        <f t="shared" si="1"/>
        <v>1.2974885960753695E-3</v>
      </c>
      <c r="K11" s="259">
        <v>0.21974805483512413</v>
      </c>
      <c r="L11" s="260">
        <f t="shared" si="0"/>
        <v>0.85913024403232163</v>
      </c>
      <c r="N11" s="280"/>
      <c r="O11" s="278"/>
      <c r="P11" s="281"/>
      <c r="Q11" s="281"/>
      <c r="R11" s="281"/>
      <c r="S11" s="281"/>
      <c r="T11" s="281"/>
      <c r="U11" s="281"/>
      <c r="V11" s="282"/>
    </row>
    <row r="12" spans="2:22" ht="15" x14ac:dyDescent="0.3">
      <c r="B12" s="253" t="s">
        <v>257</v>
      </c>
      <c r="C12" s="253"/>
      <c r="D12" s="254">
        <v>0.06</v>
      </c>
      <c r="E12" s="248"/>
      <c r="F12" s="255" t="str">
        <f>'RELATIVE VALUATION '!B9</f>
        <v>A B B</v>
      </c>
      <c r="G12" s="256">
        <v>0.86</v>
      </c>
      <c r="H12" s="257">
        <v>73.22</v>
      </c>
      <c r="I12" s="257">
        <v>110810.46</v>
      </c>
      <c r="J12" s="258">
        <f t="shared" si="1"/>
        <v>6.6076794555315437E-4</v>
      </c>
      <c r="K12" s="259">
        <v>0.25441283676387988</v>
      </c>
      <c r="L12" s="260">
        <f t="shared" si="0"/>
        <v>0.85957652094688097</v>
      </c>
      <c r="N12" s="280"/>
      <c r="O12" s="278"/>
      <c r="P12" s="281"/>
      <c r="Q12" s="281"/>
      <c r="R12" s="281"/>
      <c r="S12" s="281"/>
      <c r="T12" s="281"/>
      <c r="U12" s="281"/>
      <c r="V12" s="282"/>
    </row>
    <row r="13" spans="2:22" ht="15" x14ac:dyDescent="0.3">
      <c r="B13" s="261" t="s">
        <v>248</v>
      </c>
      <c r="C13" s="261"/>
      <c r="D13" s="268">
        <f>L15*(1+(1-D18)*D8)</f>
        <v>1.0260084413725856</v>
      </c>
      <c r="E13" s="248"/>
      <c r="F13" s="255" t="str">
        <f>'RELATIVE VALUATION '!B10</f>
        <v>CG Power &amp; Ind</v>
      </c>
      <c r="G13" s="256">
        <v>0.97</v>
      </c>
      <c r="H13" s="257">
        <v>116.82</v>
      </c>
      <c r="I13" s="257">
        <v>109704.97</v>
      </c>
      <c r="J13" s="258">
        <f t="shared" si="1"/>
        <v>1.0648560407062687E-3</v>
      </c>
      <c r="K13" s="259">
        <v>0.27818868372441524</v>
      </c>
      <c r="L13" s="260">
        <v>0.96925500623476268</v>
      </c>
      <c r="N13" s="280"/>
      <c r="O13" s="278"/>
      <c r="P13" s="281"/>
      <c r="Q13" s="281"/>
      <c r="R13" s="281"/>
      <c r="S13" s="281"/>
      <c r="T13" s="281"/>
      <c r="U13" s="281"/>
      <c r="V13" s="282"/>
    </row>
    <row r="14" spans="2:22" ht="15" x14ac:dyDescent="0.3">
      <c r="B14" s="262" t="s">
        <v>258</v>
      </c>
      <c r="C14" s="262"/>
      <c r="D14" s="263">
        <f>D11+D12*D13</f>
        <v>0.12756050648235515</v>
      </c>
      <c r="E14" s="248"/>
      <c r="F14" s="255" t="str">
        <f>'RELATIVE VALUATION '!B11</f>
        <v>Ashok Leyland</v>
      </c>
      <c r="G14" s="256">
        <v>1.99</v>
      </c>
      <c r="H14" s="257">
        <v>54513.09</v>
      </c>
      <c r="I14" s="257">
        <v>105767.44</v>
      </c>
      <c r="J14" s="258">
        <f>H14/I14</f>
        <v>0.5154052135515429</v>
      </c>
      <c r="K14" s="259">
        <v>0.26402368846449231</v>
      </c>
      <c r="L14" s="260">
        <v>1.4427335956696337</v>
      </c>
      <c r="N14" s="280"/>
      <c r="O14" s="278"/>
      <c r="P14" s="281"/>
      <c r="Q14" s="281"/>
      <c r="R14" s="281"/>
      <c r="S14" s="281"/>
      <c r="T14" s="281"/>
      <c r="U14" s="281"/>
      <c r="V14" s="282"/>
    </row>
    <row r="15" spans="2:22" ht="15" x14ac:dyDescent="0.3">
      <c r="B15" s="255"/>
      <c r="C15" s="255"/>
      <c r="D15" s="264"/>
      <c r="E15" s="248"/>
      <c r="F15" s="273" t="s">
        <v>209</v>
      </c>
      <c r="G15" s="274">
        <f>MEDIAN(G6:G14)</f>
        <v>0.87</v>
      </c>
      <c r="H15" s="283"/>
      <c r="I15" s="273"/>
      <c r="J15" s="263">
        <f>MEDIAN(J6:J14)</f>
        <v>1.0648560407062687E-3</v>
      </c>
      <c r="K15" s="273"/>
      <c r="L15" s="274">
        <f>MEDIAN(L6:L14)</f>
        <v>0.86997348912973727</v>
      </c>
      <c r="N15" s="280"/>
      <c r="O15" s="278"/>
      <c r="P15" s="281"/>
      <c r="Q15" s="281"/>
      <c r="R15" s="281"/>
      <c r="S15" s="281"/>
      <c r="T15" s="281"/>
      <c r="U15" s="281"/>
      <c r="V15" s="282"/>
    </row>
    <row r="16" spans="2:22" ht="15" x14ac:dyDescent="0.3">
      <c r="B16" s="265" t="s">
        <v>259</v>
      </c>
      <c r="C16" s="265"/>
      <c r="D16" s="266"/>
      <c r="E16" s="248"/>
      <c r="F16" s="255"/>
      <c r="G16" s="248"/>
      <c r="H16" s="248"/>
      <c r="I16" s="248"/>
      <c r="J16" s="248"/>
      <c r="K16" s="248"/>
      <c r="L16" s="248"/>
      <c r="N16" s="280"/>
      <c r="O16" s="278"/>
      <c r="P16" s="281"/>
      <c r="Q16" s="281"/>
      <c r="R16" s="281"/>
      <c r="S16" s="281"/>
      <c r="T16" s="281"/>
      <c r="U16" s="281"/>
      <c r="V16" s="282"/>
    </row>
    <row r="17" spans="2:17" ht="15" x14ac:dyDescent="0.3">
      <c r="B17" s="253" t="s">
        <v>260</v>
      </c>
      <c r="C17" s="253"/>
      <c r="D17" s="267">
        <v>7.4999999999999997E-2</v>
      </c>
      <c r="E17" s="248"/>
      <c r="F17" s="248"/>
      <c r="G17" s="248"/>
      <c r="H17" s="248"/>
      <c r="I17" s="248"/>
      <c r="J17" s="248"/>
      <c r="K17" s="248"/>
      <c r="L17" s="248"/>
    </row>
    <row r="18" spans="2:17" ht="15" x14ac:dyDescent="0.3">
      <c r="B18" s="261" t="s">
        <v>250</v>
      </c>
      <c r="C18" s="261"/>
      <c r="D18" s="254">
        <v>0.25</v>
      </c>
      <c r="E18" s="248"/>
      <c r="F18" s="248"/>
      <c r="G18" s="248"/>
      <c r="H18" s="248"/>
      <c r="I18" s="248"/>
      <c r="J18" s="248"/>
      <c r="K18" s="248"/>
      <c r="L18" s="248"/>
    </row>
    <row r="19" spans="2:17" ht="15" x14ac:dyDescent="0.3">
      <c r="B19" s="262" t="s">
        <v>261</v>
      </c>
      <c r="C19" s="262"/>
      <c r="D19" s="263">
        <f>D17*(1-D18)</f>
        <v>5.6249999999999994E-2</v>
      </c>
      <c r="E19" s="248"/>
      <c r="F19" s="248"/>
      <c r="G19" s="248"/>
      <c r="I19" s="248"/>
      <c r="J19" s="248"/>
      <c r="K19" s="248"/>
      <c r="L19" s="248"/>
      <c r="O19" s="49"/>
      <c r="P19" s="49"/>
      <c r="Q19" s="49"/>
    </row>
    <row r="20" spans="2:17" ht="15" x14ac:dyDescent="0.3">
      <c r="B20" s="253"/>
      <c r="C20" s="253"/>
      <c r="D20" s="264"/>
      <c r="E20" s="248"/>
      <c r="H20" s="248"/>
      <c r="O20" s="51"/>
      <c r="P20" s="50"/>
      <c r="Q20" s="51"/>
    </row>
    <row r="21" spans="2:17" ht="15" x14ac:dyDescent="0.3">
      <c r="B21" s="269" t="s">
        <v>120</v>
      </c>
      <c r="C21" s="270"/>
      <c r="D21" s="271">
        <f>(D14*D7)+(D19*D6)</f>
        <v>0.1137983245530695</v>
      </c>
      <c r="E21" s="248"/>
      <c r="F21" s="248"/>
      <c r="G21" s="248"/>
      <c r="I21" s="248"/>
      <c r="J21" s="248"/>
      <c r="K21" s="248"/>
      <c r="L21" s="248"/>
      <c r="O21" s="51"/>
      <c r="P21" s="50"/>
      <c r="Q21" s="51"/>
    </row>
    <row r="22" spans="2:17" x14ac:dyDescent="0.3">
      <c r="O22" s="51"/>
      <c r="P22" s="50"/>
      <c r="Q22" s="51"/>
    </row>
    <row r="23" spans="2:17" x14ac:dyDescent="0.3">
      <c r="O23" s="51"/>
      <c r="P23" s="50"/>
      <c r="Q23" s="51"/>
    </row>
    <row r="24" spans="2:17" x14ac:dyDescent="0.3">
      <c r="O24" s="51"/>
      <c r="P24" s="50"/>
      <c r="Q24" s="51"/>
    </row>
    <row r="25" spans="2:17" x14ac:dyDescent="0.3">
      <c r="O25" s="51"/>
      <c r="P25" s="50"/>
      <c r="Q25" s="51"/>
    </row>
    <row r="26" spans="2:17" x14ac:dyDescent="0.3">
      <c r="O26" s="51"/>
      <c r="P26" s="50"/>
      <c r="Q26" s="51"/>
    </row>
    <row r="27" spans="2:17" x14ac:dyDescent="0.3">
      <c r="O27" s="51"/>
      <c r="P27" s="50"/>
      <c r="Q27" s="51"/>
    </row>
    <row r="28" spans="2:17" x14ac:dyDescent="0.3">
      <c r="O28" s="51"/>
      <c r="P28" s="50"/>
      <c r="Q28" s="51"/>
    </row>
  </sheetData>
  <sheetProtection algorithmName="SHA-512" hashValue="ksFVQHnYm2JWYIROPQAb3HLB0iNFYG3IOQEqZd62z4ZVbklAyg6I8ZlW7U9cfCaMYnuUh35FsHBnWmFHmAMvRw==" saltValue="mtRhIrX7U2eFgQJUSsFXZg==" spinCount="100000" sheet="1" objects="1" scenarios="1"/>
  <mergeCells count="3">
    <mergeCell ref="B4:D4"/>
    <mergeCell ref="B5:C5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IS</vt:lpstr>
      <vt:lpstr>BS</vt:lpstr>
      <vt:lpstr>CFS</vt:lpstr>
      <vt:lpstr>NOTES </vt:lpstr>
      <vt:lpstr>DCF</vt:lpstr>
      <vt:lpstr>DDM</vt:lpstr>
      <vt:lpstr>RELATIVE VALUATION 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lakha</dc:creator>
  <cp:lastModifiedBy>kamal lakha</cp:lastModifiedBy>
  <dcterms:created xsi:type="dcterms:W3CDTF">2025-12-17T16:34:35Z</dcterms:created>
  <dcterms:modified xsi:type="dcterms:W3CDTF">2026-06-20T18:59:07Z</dcterms:modified>
</cp:coreProperties>
</file>