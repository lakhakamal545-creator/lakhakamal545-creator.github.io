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M\RBS\LG FM\"/>
    </mc:Choice>
  </mc:AlternateContent>
  <xr:revisionPtr revIDLastSave="0" documentId="13_ncr:1_{CFC5D02D-B2CE-4562-AAD2-DFD95BCC5AE8}" xr6:coauthVersionLast="47" xr6:coauthVersionMax="47" xr10:uidLastSave="{00000000-0000-0000-0000-000000000000}"/>
  <bookViews>
    <workbookView xWindow="-108" yWindow="-108" windowWidth="23256" windowHeight="12456" activeTab="1" xr2:uid="{55EB0646-FA71-47BC-8749-35FFD9385D44}"/>
  </bookViews>
  <sheets>
    <sheet name="INDEX" sheetId="9" r:id="rId1"/>
    <sheet name="P&amp;L" sheetId="2" r:id="rId2"/>
    <sheet name="BS" sheetId="1" r:id="rId3"/>
    <sheet name="CFS" sheetId="3" r:id="rId4"/>
    <sheet name="DCF" sheetId="6" r:id="rId5"/>
    <sheet name="WACC" sheetId="7" r:id="rId6"/>
    <sheet name="rP&amp;L" sheetId="4" r:id="rId7"/>
    <sheet name="rBS" sheetId="5" r:id="rId8"/>
    <sheet name="rdcf" sheetId="8" r:id="rId9"/>
  </sheets>
  <definedNames>
    <definedName name="_xlchart.v1.0" hidden="1">DCF!$L$34:$L$36</definedName>
    <definedName name="_xlchart.v1.1" hidden="1">DCF!$N$34:$N$36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6" l="1"/>
  <c r="G45" i="3"/>
  <c r="N17" i="6"/>
  <c r="N16" i="6"/>
  <c r="N18" i="6"/>
  <c r="D7" i="6"/>
  <c r="D16" i="6" s="1"/>
  <c r="F18" i="6"/>
  <c r="E20" i="6"/>
  <c r="I35" i="6"/>
  <c r="N34" i="6" s="1"/>
  <c r="C1" i="8"/>
  <c r="D1" i="8" s="1"/>
  <c r="E1" i="8" s="1"/>
  <c r="F1" i="8" s="1"/>
  <c r="G1" i="8" s="1"/>
  <c r="C3" i="8"/>
  <c r="C4" i="8" s="1"/>
  <c r="D3" i="8"/>
  <c r="D4" i="8" s="1"/>
  <c r="E3" i="8"/>
  <c r="F3" i="8"/>
  <c r="G3" i="8"/>
  <c r="E4" i="8"/>
  <c r="F4" i="8"/>
  <c r="G4" i="8"/>
  <c r="L4" i="8"/>
  <c r="C5" i="8"/>
  <c r="D5" i="8"/>
  <c r="E5" i="8"/>
  <c r="F5" i="8"/>
  <c r="G5" i="8"/>
  <c r="C7" i="8"/>
  <c r="D7" i="8"/>
  <c r="E7" i="8"/>
  <c r="F7" i="8"/>
  <c r="G7" i="8"/>
  <c r="C15" i="8"/>
  <c r="J24" i="8" s="1"/>
  <c r="D13" i="6"/>
  <c r="D11" i="6"/>
  <c r="I31" i="6" s="1"/>
  <c r="D10" i="6"/>
  <c r="F22" i="6"/>
  <c r="G22" i="6"/>
  <c r="H22" i="6"/>
  <c r="I22" i="6"/>
  <c r="E22" i="6"/>
  <c r="F21" i="6"/>
  <c r="G21" i="6"/>
  <c r="H21" i="6"/>
  <c r="I21" i="6"/>
  <c r="E21" i="6"/>
  <c r="F19" i="6"/>
  <c r="G19" i="6"/>
  <c r="H19" i="6"/>
  <c r="I19" i="6"/>
  <c r="E19" i="6"/>
  <c r="D8" i="6"/>
  <c r="G16" i="6" s="1"/>
  <c r="D4" i="6"/>
  <c r="D3" i="6"/>
  <c r="F17" i="6"/>
  <c r="G17" i="6" s="1"/>
  <c r="E16" i="6" l="1"/>
  <c r="E15" i="6" s="1"/>
  <c r="I20" i="6"/>
  <c r="H20" i="6"/>
  <c r="G20" i="6"/>
  <c r="G24" i="6" s="1"/>
  <c r="F20" i="6"/>
  <c r="F24" i="6" s="1"/>
  <c r="F16" i="6"/>
  <c r="G18" i="6" s="1"/>
  <c r="D32" i="6"/>
  <c r="E24" i="6"/>
  <c r="I24" i="6"/>
  <c r="H24" i="6"/>
  <c r="H17" i="6"/>
  <c r="H16" i="6" s="1"/>
  <c r="E18" i="6" l="1"/>
  <c r="E27" i="6" s="1"/>
  <c r="E28" i="6" s="1"/>
  <c r="J25" i="6"/>
  <c r="J26" i="6" s="1"/>
  <c r="F27" i="6"/>
  <c r="F28" i="6" s="1"/>
  <c r="H18" i="6"/>
  <c r="G15" i="6"/>
  <c r="I17" i="6"/>
  <c r="I16" i="6" s="1"/>
  <c r="J16" i="6" s="1"/>
  <c r="F15" i="6"/>
  <c r="F26" i="6" l="1"/>
  <c r="J27" i="6"/>
  <c r="J28" i="6" s="1"/>
  <c r="E26" i="6"/>
  <c r="I18" i="6"/>
  <c r="H26" i="6"/>
  <c r="H27" i="6"/>
  <c r="H28" i="6" s="1"/>
  <c r="I15" i="6"/>
  <c r="G26" i="6"/>
  <c r="G27" i="6"/>
  <c r="G28" i="6" s="1"/>
  <c r="H15" i="6"/>
  <c r="I26" i="6" l="1"/>
  <c r="D30" i="6" s="1"/>
  <c r="I27" i="6"/>
  <c r="I28" i="6" s="1"/>
  <c r="D21" i="7" l="1"/>
  <c r="D18" i="7"/>
  <c r="D13" i="7"/>
  <c r="D14" i="7"/>
  <c r="L15" i="7"/>
  <c r="L6" i="7"/>
  <c r="G15" i="7"/>
  <c r="J6" i="7"/>
  <c r="K8" i="7"/>
  <c r="D7" i="7"/>
  <c r="D6" i="7"/>
  <c r="D8" i="7" s="1"/>
  <c r="J8" i="7"/>
  <c r="L8" i="7" s="1"/>
  <c r="J10" i="7"/>
  <c r="J13" i="7"/>
  <c r="D19" i="7"/>
  <c r="J12" i="7"/>
  <c r="J11" i="7"/>
  <c r="J9" i="7"/>
  <c r="L9" i="7" s="1"/>
  <c r="J7" i="7"/>
  <c r="L7" i="7" s="1"/>
  <c r="L11" i="7" l="1"/>
  <c r="L12" i="7"/>
  <c r="L10" i="7"/>
  <c r="J14" i="7"/>
  <c r="J15" i="7"/>
  <c r="H4" i="5" l="1"/>
  <c r="G9" i="1" l="1"/>
  <c r="G31" i="5"/>
  <c r="F31" i="5"/>
  <c r="E31" i="5"/>
  <c r="D31" i="5"/>
  <c r="H3" i="4" l="1"/>
  <c r="H14" i="4"/>
  <c r="C23" i="2"/>
  <c r="H5" i="2"/>
  <c r="I5" i="2"/>
  <c r="J5" i="2"/>
  <c r="K5" i="2"/>
  <c r="C5" i="2"/>
  <c r="D5" i="2"/>
  <c r="E5" i="2"/>
  <c r="F5" i="2"/>
  <c r="G5" i="2"/>
  <c r="C1" i="3"/>
  <c r="C1" i="1"/>
  <c r="G23" i="1" l="1"/>
  <c r="H23" i="1" s="1"/>
  <c r="I23" i="1" s="1"/>
  <c r="J23" i="1" s="1"/>
  <c r="K23" i="1" s="1"/>
  <c r="G22" i="1"/>
  <c r="H22" i="1" s="1"/>
  <c r="G21" i="1"/>
  <c r="H21" i="1" s="1"/>
  <c r="I21" i="1" s="1"/>
  <c r="J21" i="1" s="1"/>
  <c r="K21" i="1" s="1"/>
  <c r="G20" i="1"/>
  <c r="H20" i="1" s="1"/>
  <c r="I20" i="1" s="1"/>
  <c r="H9" i="1"/>
  <c r="I9" i="1" s="1"/>
  <c r="J9" i="1" s="1"/>
  <c r="K9" i="1" s="1"/>
  <c r="G10" i="1"/>
  <c r="H10" i="1" s="1"/>
  <c r="I10" i="1" s="1"/>
  <c r="J10" i="1" s="1"/>
  <c r="K10" i="1" s="1"/>
  <c r="G11" i="1"/>
  <c r="H11" i="1" s="1"/>
  <c r="I11" i="1" s="1"/>
  <c r="J11" i="1" s="1"/>
  <c r="K11" i="1" s="1"/>
  <c r="G12" i="1"/>
  <c r="H12" i="1" s="1"/>
  <c r="I12" i="1" s="1"/>
  <c r="J12" i="1" s="1"/>
  <c r="K12" i="1" s="1"/>
  <c r="H44" i="1"/>
  <c r="I44" i="1" s="1"/>
  <c r="J44" i="1" s="1"/>
  <c r="K44" i="1" s="1"/>
  <c r="H45" i="1"/>
  <c r="I45" i="1"/>
  <c r="J45" i="1"/>
  <c r="H46" i="1"/>
  <c r="I46" i="1" s="1"/>
  <c r="J46" i="1" s="1"/>
  <c r="K46" i="1" s="1"/>
  <c r="H47" i="1"/>
  <c r="I47" i="1" s="1"/>
  <c r="J47" i="1" s="1"/>
  <c r="K47" i="1" s="1"/>
  <c r="G47" i="1"/>
  <c r="G46" i="1"/>
  <c r="G45" i="1"/>
  <c r="G44" i="1"/>
  <c r="G37" i="1"/>
  <c r="H37" i="1" s="1"/>
  <c r="I37" i="1" s="1"/>
  <c r="J37" i="1" s="1"/>
  <c r="K37" i="1" s="1"/>
  <c r="G36" i="1"/>
  <c r="H36" i="1" s="1"/>
  <c r="I36" i="1" s="1"/>
  <c r="J36" i="1" s="1"/>
  <c r="K36" i="1" s="1"/>
  <c r="H29" i="1"/>
  <c r="I29" i="1" s="1"/>
  <c r="J29" i="1" s="1"/>
  <c r="K29" i="1" s="1"/>
  <c r="G29" i="1"/>
  <c r="H42" i="1"/>
  <c r="I42" i="1"/>
  <c r="J42" i="1"/>
  <c r="K42" i="1"/>
  <c r="G42" i="1"/>
  <c r="E42" i="5"/>
  <c r="F42" i="5"/>
  <c r="G42" i="5"/>
  <c r="C48" i="1"/>
  <c r="E34" i="5"/>
  <c r="E35" i="5" s="1"/>
  <c r="F34" i="5"/>
  <c r="F35" i="5" s="1"/>
  <c r="G34" i="5"/>
  <c r="G35" i="5" s="1"/>
  <c r="D34" i="5"/>
  <c r="D35" i="5" s="1"/>
  <c r="E28" i="5"/>
  <c r="F28" i="5"/>
  <c r="G28" i="5"/>
  <c r="D28" i="5"/>
  <c r="E39" i="5"/>
  <c r="F39" i="5"/>
  <c r="G39" i="5"/>
  <c r="G52" i="3" s="1"/>
  <c r="D39" i="5"/>
  <c r="E38" i="5"/>
  <c r="F38" i="5"/>
  <c r="G38" i="5"/>
  <c r="H38" i="5" s="1"/>
  <c r="H40" i="5" s="1"/>
  <c r="D38" i="5"/>
  <c r="E21" i="4"/>
  <c r="F21" i="4"/>
  <c r="G21" i="4"/>
  <c r="D21" i="4"/>
  <c r="D8" i="5"/>
  <c r="E6" i="5"/>
  <c r="G21" i="5"/>
  <c r="E21" i="5"/>
  <c r="F21" i="5"/>
  <c r="D21" i="5"/>
  <c r="E16" i="5"/>
  <c r="F8" i="5"/>
  <c r="E14" i="5"/>
  <c r="F14" i="5" s="1"/>
  <c r="G8" i="5"/>
  <c r="E8" i="5"/>
  <c r="D5" i="5"/>
  <c r="E3" i="5" s="1"/>
  <c r="G26" i="5"/>
  <c r="G12" i="5"/>
  <c r="G16" i="5" s="1"/>
  <c r="F12" i="5"/>
  <c r="F16" i="5" s="1"/>
  <c r="D12" i="5"/>
  <c r="D16" i="5" s="1"/>
  <c r="E26" i="5"/>
  <c r="F26" i="5"/>
  <c r="D26" i="5"/>
  <c r="D1" i="5"/>
  <c r="K45" i="1" l="1"/>
  <c r="H35" i="5"/>
  <c r="G16" i="1" s="1"/>
  <c r="G25" i="3" s="1"/>
  <c r="I22" i="1"/>
  <c r="J20" i="1"/>
  <c r="H16" i="5"/>
  <c r="L12" i="5" s="1"/>
  <c r="D13" i="5"/>
  <c r="D15" i="5" s="1"/>
  <c r="D32" i="5" s="1"/>
  <c r="G35" i="1"/>
  <c r="G38" i="1" s="1"/>
  <c r="H42" i="5"/>
  <c r="G18" i="1" s="1"/>
  <c r="G26" i="3" s="1"/>
  <c r="H21" i="4"/>
  <c r="D40" i="5"/>
  <c r="G40" i="5"/>
  <c r="F40" i="5"/>
  <c r="E40" i="5"/>
  <c r="I38" i="5"/>
  <c r="H35" i="1" s="1"/>
  <c r="H38" i="1" s="1"/>
  <c r="E5" i="5"/>
  <c r="F6" i="5"/>
  <c r="G6" i="5" s="1"/>
  <c r="D7" i="5"/>
  <c r="D29" i="5" s="1"/>
  <c r="G14" i="5"/>
  <c r="I11" i="4"/>
  <c r="J11" i="4"/>
  <c r="K11" i="4" s="1"/>
  <c r="L11" i="4" s="1"/>
  <c r="H9" i="4"/>
  <c r="I9" i="4"/>
  <c r="J9" i="4" s="1"/>
  <c r="K9" i="4" s="1"/>
  <c r="L9" i="4" s="1"/>
  <c r="I7" i="4"/>
  <c r="J7" i="4"/>
  <c r="K7" i="4"/>
  <c r="L7" i="4" s="1"/>
  <c r="H7" i="4"/>
  <c r="J5" i="4"/>
  <c r="I5" i="4"/>
  <c r="K5" i="4"/>
  <c r="L5" i="4" s="1"/>
  <c r="H5" i="4"/>
  <c r="I3" i="4"/>
  <c r="J3" i="4" s="1"/>
  <c r="K3" i="4" s="1"/>
  <c r="L3" i="4" s="1"/>
  <c r="E14" i="4"/>
  <c r="F14" i="4"/>
  <c r="G14" i="4"/>
  <c r="D14" i="4"/>
  <c r="G12" i="4"/>
  <c r="F12" i="4"/>
  <c r="E12" i="4"/>
  <c r="G10" i="4"/>
  <c r="F10" i="4"/>
  <c r="E10" i="4"/>
  <c r="G8" i="4"/>
  <c r="F8" i="4"/>
  <c r="E8" i="4"/>
  <c r="G6" i="4"/>
  <c r="F6" i="4"/>
  <c r="E6" i="4"/>
  <c r="F4" i="4"/>
  <c r="G4" i="4"/>
  <c r="E4" i="4"/>
  <c r="D1" i="4"/>
  <c r="D15" i="2"/>
  <c r="E19" i="4" s="1"/>
  <c r="E15" i="2"/>
  <c r="F19" i="4" s="1"/>
  <c r="F15" i="2"/>
  <c r="G19" i="4" s="1"/>
  <c r="C15" i="2"/>
  <c r="D19" i="4" s="1"/>
  <c r="H19" i="4" s="1"/>
  <c r="D10" i="2"/>
  <c r="E43" i="5" s="1"/>
  <c r="E10" i="2"/>
  <c r="F43" i="5" s="1"/>
  <c r="F10" i="2"/>
  <c r="G43" i="5" s="1"/>
  <c r="C10" i="2"/>
  <c r="D17" i="4" s="1"/>
  <c r="D55" i="3"/>
  <c r="C55" i="3"/>
  <c r="E55" i="3"/>
  <c r="C48" i="3"/>
  <c r="D48" i="3"/>
  <c r="C36" i="3"/>
  <c r="D36" i="3"/>
  <c r="C5" i="3"/>
  <c r="D5" i="3"/>
  <c r="B5" i="3"/>
  <c r="B4" i="3"/>
  <c r="E20" i="3"/>
  <c r="C44" i="2"/>
  <c r="C29" i="2"/>
  <c r="D44" i="2"/>
  <c r="D29" i="2"/>
  <c r="F44" i="2"/>
  <c r="E44" i="2"/>
  <c r="C50" i="1"/>
  <c r="C38" i="1"/>
  <c r="C31" i="1"/>
  <c r="C13" i="1"/>
  <c r="D48" i="1"/>
  <c r="D50" i="1" s="1"/>
  <c r="D38" i="1"/>
  <c r="D31" i="1"/>
  <c r="D13" i="1"/>
  <c r="F48" i="1"/>
  <c r="F50" i="1" s="1"/>
  <c r="E48" i="1"/>
  <c r="E50" i="1" s="1"/>
  <c r="F55" i="3"/>
  <c r="E48" i="3"/>
  <c r="F48" i="3"/>
  <c r="E36" i="3"/>
  <c r="F36" i="3"/>
  <c r="F20" i="3"/>
  <c r="D1" i="3"/>
  <c r="E1" i="3" s="1"/>
  <c r="F1" i="3" s="1"/>
  <c r="G1" i="3" s="1"/>
  <c r="H1" i="3" s="1"/>
  <c r="I1" i="3" s="1"/>
  <c r="J1" i="3" s="1"/>
  <c r="K1" i="3" s="1"/>
  <c r="F29" i="2"/>
  <c r="E29" i="2"/>
  <c r="D1" i="2"/>
  <c r="D1" i="1"/>
  <c r="E1" i="1" s="1"/>
  <c r="F1" i="1" s="1"/>
  <c r="G1" i="1" s="1"/>
  <c r="H1" i="1" s="1"/>
  <c r="I1" i="1" s="1"/>
  <c r="J1" i="1" s="1"/>
  <c r="K1" i="1" s="1"/>
  <c r="C52" i="1" l="1"/>
  <c r="G22" i="2"/>
  <c r="G12" i="3" s="1"/>
  <c r="H12" i="5"/>
  <c r="J22" i="1"/>
  <c r="K20" i="1"/>
  <c r="E11" i="5"/>
  <c r="E13" i="5" s="1"/>
  <c r="D25" i="5"/>
  <c r="E17" i="4"/>
  <c r="H43" i="5"/>
  <c r="E22" i="5"/>
  <c r="H15" i="4"/>
  <c r="G17" i="4"/>
  <c r="F17" i="4"/>
  <c r="E1" i="2"/>
  <c r="E1" i="5"/>
  <c r="E1" i="4"/>
  <c r="D52" i="1"/>
  <c r="D54" i="1" s="1"/>
  <c r="G53" i="3"/>
  <c r="G55" i="3" s="1"/>
  <c r="C54" i="1"/>
  <c r="J38" i="5"/>
  <c r="I35" i="1" s="1"/>
  <c r="I38" i="1" s="1"/>
  <c r="I40" i="5"/>
  <c r="H22" i="2" s="1"/>
  <c r="F3" i="5"/>
  <c r="F5" i="5" s="1"/>
  <c r="F22" i="5" s="1"/>
  <c r="E7" i="5"/>
  <c r="E29" i="5" s="1"/>
  <c r="C20" i="3"/>
  <c r="D20" i="3"/>
  <c r="K22" i="1" l="1"/>
  <c r="E15" i="5"/>
  <c r="E32" i="5" s="1"/>
  <c r="E25" i="5"/>
  <c r="F11" i="5"/>
  <c r="F13" i="5" s="1"/>
  <c r="H17" i="4"/>
  <c r="F7" i="5"/>
  <c r="F29" i="5" s="1"/>
  <c r="G21" i="2"/>
  <c r="I14" i="4"/>
  <c r="F1" i="2"/>
  <c r="F1" i="5"/>
  <c r="F1" i="4"/>
  <c r="H12" i="3"/>
  <c r="H53" i="3"/>
  <c r="H55" i="3" s="1"/>
  <c r="K38" i="5"/>
  <c r="J35" i="1" s="1"/>
  <c r="J38" i="1" s="1"/>
  <c r="J40" i="5"/>
  <c r="I22" i="2" s="1"/>
  <c r="G3" i="5"/>
  <c r="G5" i="5" s="1"/>
  <c r="E38" i="1"/>
  <c r="E52" i="1" s="1"/>
  <c r="F38" i="1"/>
  <c r="E31" i="1"/>
  <c r="F31" i="1"/>
  <c r="E13" i="1"/>
  <c r="F13" i="1"/>
  <c r="G22" i="5" l="1"/>
  <c r="H22" i="5" s="1"/>
  <c r="H3" i="5"/>
  <c r="F15" i="5"/>
  <c r="F32" i="5" s="1"/>
  <c r="F25" i="5"/>
  <c r="G11" i="5"/>
  <c r="G13" i="5" s="1"/>
  <c r="J14" i="4"/>
  <c r="H21" i="2"/>
  <c r="G1" i="2"/>
  <c r="G1" i="5"/>
  <c r="G1" i="4"/>
  <c r="L38" i="5"/>
  <c r="K40" i="5"/>
  <c r="J22" i="2" s="1"/>
  <c r="I53" i="3"/>
  <c r="I55" i="3" s="1"/>
  <c r="I12" i="3"/>
  <c r="G7" i="5"/>
  <c r="G29" i="5" s="1"/>
  <c r="H29" i="5" s="1"/>
  <c r="E54" i="1"/>
  <c r="F52" i="1"/>
  <c r="F54" i="1" s="1"/>
  <c r="G25" i="5" l="1"/>
  <c r="H25" i="5" s="1"/>
  <c r="G15" i="5"/>
  <c r="G32" i="5" s="1"/>
  <c r="H32" i="5" s="1"/>
  <c r="H11" i="5"/>
  <c r="L40" i="5"/>
  <c r="K22" i="2" s="1"/>
  <c r="K53" i="3" s="1"/>
  <c r="K55" i="3" s="1"/>
  <c r="K35" i="1"/>
  <c r="K38" i="1" s="1"/>
  <c r="K14" i="4"/>
  <c r="I21" i="2"/>
  <c r="H1" i="2"/>
  <c r="H1" i="5"/>
  <c r="H1" i="4"/>
  <c r="J12" i="3"/>
  <c r="J53" i="3"/>
  <c r="J55" i="3" s="1"/>
  <c r="K12" i="3" l="1"/>
  <c r="L14" i="4"/>
  <c r="K21" i="2" s="1"/>
  <c r="J21" i="2"/>
  <c r="I1" i="2"/>
  <c r="I1" i="5"/>
  <c r="I1" i="4"/>
  <c r="J1" i="2" l="1"/>
  <c r="J1" i="5"/>
  <c r="J1" i="4"/>
  <c r="K1" i="2" l="1"/>
  <c r="K1" i="5"/>
  <c r="K1" i="4"/>
  <c r="L1" i="5" l="1"/>
  <c r="L1" i="4"/>
  <c r="H11" i="4" l="1"/>
  <c r="G3" i="2"/>
  <c r="G15" i="2" l="1"/>
  <c r="G10" i="2"/>
  <c r="H3" i="2"/>
  <c r="H13" i="5" l="1"/>
  <c r="H24" i="5" s="1"/>
  <c r="G44" i="3"/>
  <c r="G48" i="3" s="1"/>
  <c r="H5" i="5"/>
  <c r="H14" i="5"/>
  <c r="I11" i="5"/>
  <c r="I12" i="5"/>
  <c r="I4" i="5"/>
  <c r="H16" i="1"/>
  <c r="H25" i="3" s="1"/>
  <c r="H15" i="2"/>
  <c r="G43" i="1"/>
  <c r="H18" i="1"/>
  <c r="H10" i="2"/>
  <c r="I3" i="2"/>
  <c r="I18" i="1" l="1"/>
  <c r="H26" i="3"/>
  <c r="I13" i="5"/>
  <c r="I16" i="1"/>
  <c r="I25" i="3" s="1"/>
  <c r="J12" i="5"/>
  <c r="J4" i="5"/>
  <c r="I15" i="2"/>
  <c r="H43" i="1"/>
  <c r="H21" i="5"/>
  <c r="H6" i="5" s="1"/>
  <c r="I3" i="5"/>
  <c r="I5" i="5" s="1"/>
  <c r="I21" i="5" s="1"/>
  <c r="G32" i="3"/>
  <c r="G48" i="1"/>
  <c r="H44" i="3"/>
  <c r="I10" i="2"/>
  <c r="J3" i="2"/>
  <c r="K3" i="2"/>
  <c r="G36" i="3" l="1"/>
  <c r="C6" i="8"/>
  <c r="C9" i="8" s="1"/>
  <c r="C11" i="8" s="1"/>
  <c r="I44" i="3"/>
  <c r="I48" i="3" s="1"/>
  <c r="I43" i="1"/>
  <c r="J3" i="5"/>
  <c r="J5" i="5" s="1"/>
  <c r="J21" i="5" s="1"/>
  <c r="I6" i="5"/>
  <c r="H7" i="5"/>
  <c r="G3" i="1" s="1"/>
  <c r="H26" i="5"/>
  <c r="G18" i="2" s="1"/>
  <c r="J11" i="5"/>
  <c r="J13" i="5" s="1"/>
  <c r="J24" i="5" s="1"/>
  <c r="I24" i="5"/>
  <c r="I26" i="5" s="1"/>
  <c r="H18" i="2" s="1"/>
  <c r="H15" i="5"/>
  <c r="G5" i="1" s="1"/>
  <c r="G6" i="1" s="1"/>
  <c r="J16" i="1"/>
  <c r="J25" i="3" s="1"/>
  <c r="K4" i="5"/>
  <c r="J15" i="2"/>
  <c r="K12" i="5"/>
  <c r="H32" i="3"/>
  <c r="H48" i="1"/>
  <c r="H50" i="1" s="1"/>
  <c r="H52" i="1" s="1"/>
  <c r="J18" i="1"/>
  <c r="I26" i="3"/>
  <c r="L4" i="5"/>
  <c r="K16" i="1"/>
  <c r="K15" i="2"/>
  <c r="K10" i="2"/>
  <c r="J10" i="2"/>
  <c r="E6" i="8" l="1"/>
  <c r="E9" i="8" s="1"/>
  <c r="E11" i="8" s="1"/>
  <c r="H36" i="3"/>
  <c r="D6" i="8"/>
  <c r="D9" i="8" s="1"/>
  <c r="D11" i="8" s="1"/>
  <c r="G4" i="1"/>
  <c r="G13" i="1" s="1"/>
  <c r="K25" i="3"/>
  <c r="J6" i="5"/>
  <c r="J7" i="5" s="1"/>
  <c r="I3" i="1" s="1"/>
  <c r="I4" i="1" s="1"/>
  <c r="J26" i="5"/>
  <c r="I18" i="2" s="1"/>
  <c r="I14" i="5"/>
  <c r="J14" i="5" s="1"/>
  <c r="J15" i="5" s="1"/>
  <c r="I5" i="1" s="1"/>
  <c r="I6" i="1" s="1"/>
  <c r="H9" i="3"/>
  <c r="H20" i="3" s="1"/>
  <c r="K3" i="5"/>
  <c r="K5" i="5" s="1"/>
  <c r="K21" i="5" s="1"/>
  <c r="I32" i="3"/>
  <c r="I36" i="3" s="1"/>
  <c r="I48" i="1"/>
  <c r="I50" i="1" s="1"/>
  <c r="I52" i="1" s="1"/>
  <c r="J43" i="1"/>
  <c r="K44" i="3"/>
  <c r="K48" i="3" s="1"/>
  <c r="J44" i="3"/>
  <c r="J48" i="3" s="1"/>
  <c r="G9" i="3"/>
  <c r="G20" i="3" s="1"/>
  <c r="I7" i="5"/>
  <c r="H3" i="1" s="1"/>
  <c r="H4" i="1" s="1"/>
  <c r="K11" i="5"/>
  <c r="K13" i="5" s="1"/>
  <c r="K24" i="5" s="1"/>
  <c r="K18" i="1"/>
  <c r="K26" i="3" s="1"/>
  <c r="J26" i="3"/>
  <c r="G50" i="1"/>
  <c r="G52" i="1" s="1"/>
  <c r="K14" i="5" l="1"/>
  <c r="I13" i="1"/>
  <c r="I9" i="3"/>
  <c r="I20" i="3" s="1"/>
  <c r="I15" i="5"/>
  <c r="H5" i="1" s="1"/>
  <c r="J32" i="3"/>
  <c r="J36" i="3" s="1"/>
  <c r="J48" i="1"/>
  <c r="J50" i="1" s="1"/>
  <c r="J52" i="1" s="1"/>
  <c r="L11" i="5"/>
  <c r="L13" i="5" s="1"/>
  <c r="L24" i="5" s="1"/>
  <c r="K15" i="5"/>
  <c r="J5" i="1" s="1"/>
  <c r="J6" i="1" s="1"/>
  <c r="K43" i="1"/>
  <c r="K26" i="5"/>
  <c r="J18" i="2" s="1"/>
  <c r="L3" i="5"/>
  <c r="L5" i="5" s="1"/>
  <c r="L21" i="5" s="1"/>
  <c r="K6" i="5"/>
  <c r="F6" i="8" l="1"/>
  <c r="F9" i="8" s="1"/>
  <c r="F11" i="8" s="1"/>
  <c r="H6" i="1"/>
  <c r="H13" i="1" s="1"/>
  <c r="L14" i="5"/>
  <c r="J9" i="3"/>
  <c r="J20" i="3" s="1"/>
  <c r="L26" i="5"/>
  <c r="K18" i="2" s="1"/>
  <c r="L15" i="5"/>
  <c r="K5" i="1" s="1"/>
  <c r="K6" i="1" s="1"/>
  <c r="K48" i="1"/>
  <c r="K50" i="1" s="1"/>
  <c r="K52" i="1" s="1"/>
  <c r="K32" i="3"/>
  <c r="G6" i="8" s="1"/>
  <c r="G9" i="8" s="1"/>
  <c r="L6" i="5"/>
  <c r="L7" i="5" s="1"/>
  <c r="K3" i="1" s="1"/>
  <c r="K4" i="1" s="1"/>
  <c r="K7" i="5"/>
  <c r="J3" i="1" s="1"/>
  <c r="J4" i="1" s="1"/>
  <c r="J13" i="1" s="1"/>
  <c r="H9" i="8" l="1"/>
  <c r="H11" i="8" s="1"/>
  <c r="G11" i="8"/>
  <c r="C13" i="8" s="1"/>
  <c r="K36" i="3"/>
  <c r="K9" i="3"/>
  <c r="K20" i="3" s="1"/>
  <c r="K13" i="1"/>
  <c r="G11" i="2"/>
  <c r="G16" i="2"/>
  <c r="G19" i="2" s="1"/>
  <c r="G23" i="2" l="1"/>
  <c r="G29" i="2" s="1"/>
  <c r="G38" i="3" s="1"/>
  <c r="G31" i="2" l="1"/>
  <c r="G6" i="3"/>
  <c r="G22" i="3" s="1"/>
  <c r="G37" i="3" l="1"/>
  <c r="G40" i="3" s="1"/>
  <c r="G57" i="3" s="1"/>
  <c r="G38" i="2"/>
  <c r="G46" i="2"/>
  <c r="G30" i="1" s="1"/>
  <c r="G50" i="2" l="1"/>
  <c r="G49" i="2"/>
  <c r="G31" i="1" l="1"/>
  <c r="G54" i="1" s="1"/>
  <c r="F11" i="2"/>
  <c r="F16" i="2"/>
  <c r="F19" i="2" s="1"/>
  <c r="F23" i="2" s="1"/>
  <c r="E11" i="2"/>
  <c r="E16" i="2" s="1"/>
  <c r="E19" i="2" s="1"/>
  <c r="E23" i="2" s="1"/>
  <c r="C11" i="2"/>
  <c r="C16" i="2" s="1"/>
  <c r="C19" i="2" s="1"/>
  <c r="D11" i="2"/>
  <c r="D16" i="2"/>
  <c r="D19" i="2"/>
  <c r="D23" i="2" s="1"/>
  <c r="F23" i="4" l="1"/>
  <c r="E6" i="3"/>
  <c r="E22" i="3" s="1"/>
  <c r="E37" i="3" s="1"/>
  <c r="E40" i="3" s="1"/>
  <c r="E57" i="3" s="1"/>
  <c r="E31" i="2"/>
  <c r="E23" i="4"/>
  <c r="D4" i="3"/>
  <c r="D6" i="3" s="1"/>
  <c r="D22" i="3" s="1"/>
  <c r="D37" i="3" s="1"/>
  <c r="D40" i="3" s="1"/>
  <c r="D57" i="3" s="1"/>
  <c r="D31" i="2"/>
  <c r="D38" i="2" s="1"/>
  <c r="D46" i="2" s="1"/>
  <c r="C4" i="3"/>
  <c r="C6" i="3" s="1"/>
  <c r="C22" i="3" s="1"/>
  <c r="C37" i="3" s="1"/>
  <c r="C40" i="3" s="1"/>
  <c r="C57" i="3" s="1"/>
  <c r="C61" i="3" s="1"/>
  <c r="C31" i="2"/>
  <c r="C38" i="2" s="1"/>
  <c r="C46" i="2" s="1"/>
  <c r="D23" i="4"/>
  <c r="F31" i="2"/>
  <c r="F6" i="3"/>
  <c r="F22" i="3" s="1"/>
  <c r="F37" i="3" s="1"/>
  <c r="F40" i="3" s="1"/>
  <c r="F57" i="3" s="1"/>
  <c r="G23" i="4"/>
  <c r="E38" i="2" l="1"/>
  <c r="E46" i="2"/>
  <c r="C19" i="1"/>
  <c r="C24" i="1" s="1"/>
  <c r="C26" i="1" s="1"/>
  <c r="C57" i="1" s="1"/>
  <c r="D58" i="3"/>
  <c r="D61" i="3" s="1"/>
  <c r="F38" i="2"/>
  <c r="F46" i="2"/>
  <c r="E58" i="3" l="1"/>
  <c r="E61" i="3" s="1"/>
  <c r="D19" i="1"/>
  <c r="D24" i="1" s="1"/>
  <c r="D26" i="1" s="1"/>
  <c r="D57" i="1" s="1"/>
  <c r="F58" i="3" l="1"/>
  <c r="F61" i="3" s="1"/>
  <c r="E19" i="1"/>
  <c r="E24" i="1" s="1"/>
  <c r="E26" i="1" s="1"/>
  <c r="E57" i="1" s="1"/>
  <c r="G58" i="3" l="1"/>
  <c r="F19" i="1"/>
  <c r="G61" i="3"/>
  <c r="C16" i="8" l="1"/>
  <c r="C17" i="8" s="1"/>
  <c r="C18" i="8" s="1"/>
  <c r="F16" i="8" s="1"/>
  <c r="D12" i="6"/>
  <c r="F24" i="1"/>
  <c r="F26" i="1" s="1"/>
  <c r="F57" i="1" s="1"/>
  <c r="H58" i="3"/>
  <c r="G19" i="1"/>
  <c r="H11" i="2"/>
  <c r="H16" i="2"/>
  <c r="H19" i="2" s="1"/>
  <c r="K11" i="2"/>
  <c r="K16" i="2" s="1"/>
  <c r="K19" i="2" s="1"/>
  <c r="J11" i="2"/>
  <c r="J16" i="2"/>
  <c r="J19" i="2" s="1"/>
  <c r="I11" i="2"/>
  <c r="I16" i="2" s="1"/>
  <c r="I19" i="2" s="1"/>
  <c r="I32" i="6" l="1"/>
  <c r="H33" i="6" s="1"/>
  <c r="D25" i="6" s="1"/>
  <c r="D27" i="6" s="1"/>
  <c r="D28" i="6" s="1"/>
  <c r="N31" i="6" s="1"/>
  <c r="D31" i="6"/>
  <c r="D33" i="6" s="1"/>
  <c r="D35" i="6" s="1"/>
  <c r="G24" i="1"/>
  <c r="G26" i="1" s="1"/>
  <c r="G57" i="1" s="1"/>
  <c r="I23" i="2"/>
  <c r="I29" i="2" s="1"/>
  <c r="I38" i="3" s="1"/>
  <c r="K23" i="2"/>
  <c r="K29" i="2" s="1"/>
  <c r="K38" i="3" s="1"/>
  <c r="J23" i="2"/>
  <c r="J6" i="3" s="1"/>
  <c r="J22" i="3" s="1"/>
  <c r="J37" i="3" s="1"/>
  <c r="H23" i="2"/>
  <c r="H29" i="2" s="1"/>
  <c r="H38" i="3" s="1"/>
  <c r="N30" i="6" l="1"/>
  <c r="N35" i="6"/>
  <c r="N36" i="6" s="1"/>
  <c r="I6" i="3"/>
  <c r="I22" i="3" s="1"/>
  <c r="I37" i="3" s="1"/>
  <c r="I40" i="3" s="1"/>
  <c r="I57" i="3" s="1"/>
  <c r="K6" i="3"/>
  <c r="K22" i="3" s="1"/>
  <c r="K37" i="3" s="1"/>
  <c r="K40" i="3" s="1"/>
  <c r="K57" i="3" s="1"/>
  <c r="J29" i="2"/>
  <c r="J38" i="3" s="1"/>
  <c r="J40" i="3" s="1"/>
  <c r="J57" i="3" s="1"/>
  <c r="H31" i="2"/>
  <c r="H46" i="2" s="1"/>
  <c r="H6" i="3"/>
  <c r="H22" i="3" s="1"/>
  <c r="H37" i="3" s="1"/>
  <c r="H40" i="3" s="1"/>
  <c r="I31" i="2"/>
  <c r="I38" i="2" s="1"/>
  <c r="K31" i="2"/>
  <c r="H38" i="2" l="1"/>
  <c r="J31" i="2"/>
  <c r="J46" i="2" s="1"/>
  <c r="J50" i="2" s="1"/>
  <c r="I46" i="2"/>
  <c r="I49" i="2" s="1"/>
  <c r="K46" i="2"/>
  <c r="K38" i="2"/>
  <c r="H30" i="1"/>
  <c r="H50" i="2"/>
  <c r="H49" i="2"/>
  <c r="I50" i="2" l="1"/>
  <c r="J49" i="2"/>
  <c r="J38" i="2"/>
  <c r="K50" i="2"/>
  <c r="K49" i="2"/>
  <c r="I30" i="1"/>
  <c r="H31" i="1"/>
  <c r="H54" i="1" s="1"/>
  <c r="I31" i="1" l="1"/>
  <c r="I54" i="1" s="1"/>
  <c r="J30" i="1"/>
  <c r="J31" i="1" l="1"/>
  <c r="J54" i="1" s="1"/>
  <c r="K30" i="1"/>
  <c r="K31" i="1" s="1"/>
  <c r="K54" i="1" s="1"/>
  <c r="H48" i="3" l="1"/>
  <c r="H57" i="3"/>
  <c r="H61" i="3" s="1"/>
  <c r="H19" i="1" s="1"/>
  <c r="H24" i="1" s="1"/>
  <c r="H26" i="1" s="1"/>
  <c r="H57" i="1" s="1"/>
  <c r="I58" i="3" l="1"/>
  <c r="I61" i="3" s="1"/>
  <c r="J58" i="3" l="1"/>
  <c r="J61" i="3" s="1"/>
  <c r="I19" i="1"/>
  <c r="I24" i="1" s="1"/>
  <c r="I26" i="1" s="1"/>
  <c r="I57" i="1" s="1"/>
  <c r="K58" i="3" l="1"/>
  <c r="K61" i="3" s="1"/>
  <c r="K19" i="1" s="1"/>
  <c r="K24" i="1" s="1"/>
  <c r="K26" i="1" s="1"/>
  <c r="K57" i="1" s="1"/>
  <c r="J19" i="1"/>
  <c r="J24" i="1" s="1"/>
  <c r="J26" i="1" s="1"/>
  <c r="J5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lakha</author>
  </authors>
  <commentList>
    <comment ref="D5" authorId="0" shapeId="0" xr:uid="{74767F0B-27AD-4502-A40A-9213D8AE5C39}">
      <text>
        <r>
          <rPr>
            <sz val="9"/>
            <color indexed="81"/>
            <rFont val="Tahoma"/>
            <family val="2"/>
          </rPr>
          <t xml:space="preserve">ICICI SECURITIES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lakha</author>
  </authors>
  <commentList>
    <comment ref="L3" authorId="0" shapeId="0" xr:uid="{1594997D-BAE0-4F7B-941C-A9CCE8C79BA0}">
      <text>
        <r>
          <rPr>
            <sz val="9"/>
            <color indexed="81"/>
            <rFont val="Tahoma"/>
            <family val="2"/>
          </rPr>
          <t xml:space="preserve">ICICI SECURITIES </t>
        </r>
      </text>
    </comment>
  </commentList>
</comments>
</file>

<file path=xl/sharedStrings.xml><?xml version="1.0" encoding="utf-8"?>
<sst xmlns="http://schemas.openxmlformats.org/spreadsheetml/2006/main" count="312" uniqueCount="270">
  <si>
    <t>Particulars</t>
  </si>
  <si>
    <t>Non-current assets</t>
  </si>
  <si>
    <t>Property, plant and equipment</t>
  </si>
  <si>
    <t>Capital work-in-progress</t>
  </si>
  <si>
    <t>Intangible assets</t>
  </si>
  <si>
    <t>Intangible assets under development</t>
  </si>
  <si>
    <t>Financial assets</t>
  </si>
  <si>
    <t>Deferred tax assets (net)</t>
  </si>
  <si>
    <t>Other non-current assets</t>
  </si>
  <si>
    <t>Total non-current assets</t>
  </si>
  <si>
    <t>Current assets</t>
  </si>
  <si>
    <t>Assets classified as held for sale</t>
  </si>
  <si>
    <t>Total current assets</t>
  </si>
  <si>
    <t>Total assets</t>
  </si>
  <si>
    <t>Equity</t>
  </si>
  <si>
    <t>Total equity</t>
  </si>
  <si>
    <t>LIABILITIES</t>
  </si>
  <si>
    <t>Non-current liabilities</t>
  </si>
  <si>
    <t>Total non-current liabilities</t>
  </si>
  <si>
    <t>Current liabilities</t>
  </si>
  <si>
    <t>Total current liabilities</t>
  </si>
  <si>
    <t>Total liabilities</t>
  </si>
  <si>
    <t>Total equity and liabilities</t>
  </si>
  <si>
    <t>Income</t>
  </si>
  <si>
    <t>Revenue from operations</t>
  </si>
  <si>
    <t>Other income</t>
  </si>
  <si>
    <t>Cost of materials consumed</t>
  </si>
  <si>
    <t>Purchases of stock-in-trade</t>
  </si>
  <si>
    <t>Changes in inventories of finished goods, stock-in-trade and work-in-progress</t>
  </si>
  <si>
    <t>Employee benefits expense</t>
  </si>
  <si>
    <t>Depreciation and amortisation expense</t>
  </si>
  <si>
    <t>Other expenses</t>
  </si>
  <si>
    <t>Profit before tax</t>
  </si>
  <si>
    <t>Tax expense</t>
  </si>
  <si>
    <t>Total tax expense</t>
  </si>
  <si>
    <t>Other Comprehensive Income</t>
  </si>
  <si>
    <t>Income tax relating to these items</t>
  </si>
  <si>
    <t>Other Comprehensive Income for the year (net of tax)</t>
  </si>
  <si>
    <t>Total Comprehensive Income for the year</t>
  </si>
  <si>
    <t>Earnings per equity share from operations attributable to the equity holders of the Company</t>
  </si>
  <si>
    <t>Basic earnings per share (INR)</t>
  </si>
  <si>
    <t>Diluted earnings per share (INR)</t>
  </si>
  <si>
    <t>A. CASH FLOW FROM OPERATING ACTIVITIES</t>
  </si>
  <si>
    <t>Adjustments for</t>
  </si>
  <si>
    <t>Interest income on bank deposits</t>
  </si>
  <si>
    <t>Operating profit before change in operating assets and liabilities</t>
  </si>
  <si>
    <t>Changes in working capital</t>
  </si>
  <si>
    <t>Adjustment for increase/ (decrease) in operating liabilities:</t>
  </si>
  <si>
    <t>Cash generated from operations</t>
  </si>
  <si>
    <t>Net income tax (paid)/refunds</t>
  </si>
  <si>
    <t>Net cash inflow from operating activities (A)</t>
  </si>
  <si>
    <t>B. CASH FLOWS FROM INVESTING ACTIVITIES</t>
  </si>
  <si>
    <t>Purchase of property, plant and equipment and intangible assets (including Capital work-in-progress and Intangible assets under development)</t>
  </si>
  <si>
    <t>Proceeds from government grant</t>
  </si>
  <si>
    <t>Proceeds from sale of property, plant and equipment (including intangible assets under development)</t>
  </si>
  <si>
    <t>Net cash inflow from investing activities (B)</t>
  </si>
  <si>
    <t>C. CASH FLOWS FROM FINANCING ACTIVITIES</t>
  </si>
  <si>
    <t>Principal payment of lease liabilities</t>
  </si>
  <si>
    <t>Interest paid on lease liabilities</t>
  </si>
  <si>
    <t>Interim dividend</t>
  </si>
  <si>
    <t>Net cash outflow from financing activities (C)</t>
  </si>
  <si>
    <t>Net increase/(decrease) in cash and cash equivalents (A+B+C)</t>
  </si>
  <si>
    <t>Cash and cash equivalents at the beginning of the year</t>
  </si>
  <si>
    <t>Effect of exchange differences on restatement of foreign currency accounts</t>
  </si>
  <si>
    <t>Cash and cash equivalents at the end of the year</t>
  </si>
  <si>
    <t xml:space="preserve">                 (i) Trade receivables</t>
  </si>
  <si>
    <t xml:space="preserve">                 (ii) Loans</t>
  </si>
  <si>
    <t xml:space="preserve">                 (iii) Other financial assets</t>
  </si>
  <si>
    <t xml:space="preserve">                 (ii) Cash and cash equivalents</t>
  </si>
  <si>
    <t xml:space="preserve">                 (iii) Loans</t>
  </si>
  <si>
    <t xml:space="preserve">                 (iv) Other financial assets</t>
  </si>
  <si>
    <t>#</t>
  </si>
  <si>
    <t xml:space="preserve">  (a) Equity share capital</t>
  </si>
  <si>
    <t xml:space="preserve">  (b) Other equity</t>
  </si>
  <si>
    <t xml:space="preserve">  (a) Inventories</t>
  </si>
  <si>
    <t xml:space="preserve">  (b) Financial assets</t>
  </si>
  <si>
    <t xml:space="preserve">  (c) Other current assets</t>
  </si>
  <si>
    <t xml:space="preserve">  (a) Financial liabilities - Lease liabilities</t>
  </si>
  <si>
    <t xml:space="preserve">  (b) Provisions</t>
  </si>
  <si>
    <t xml:space="preserve">  (c) Other non-current liabilities</t>
  </si>
  <si>
    <t xml:space="preserve">  (a) Financial liabilities</t>
  </si>
  <si>
    <t xml:space="preserve">                 (i) Lease liabilities</t>
  </si>
  <si>
    <t xml:space="preserve">                 (iii) Other financial liabilities</t>
  </si>
  <si>
    <t xml:space="preserve">                 (ii) Trade payables </t>
  </si>
  <si>
    <t xml:space="preserve">  (b) Other current liabilities</t>
  </si>
  <si>
    <t xml:space="preserve">  (c) Provisions</t>
  </si>
  <si>
    <t xml:space="preserve">  (d) Current tax liabilities (net)</t>
  </si>
  <si>
    <t xml:space="preserve">CHECK </t>
  </si>
  <si>
    <t xml:space="preserve">                 Current tax</t>
  </si>
  <si>
    <t xml:space="preserve">                 Current tax expense relating to previous year</t>
  </si>
  <si>
    <t xml:space="preserve">                 Deferred tax</t>
  </si>
  <si>
    <t xml:space="preserve">Items that will not be reclassified to profit or loss </t>
  </si>
  <si>
    <t xml:space="preserve">    Remeasurement of post-employment benefit obligation</t>
  </si>
  <si>
    <t xml:space="preserve">Outstanding share </t>
  </si>
  <si>
    <t xml:space="preserve">     Depreciation and amortisation expense</t>
  </si>
  <si>
    <t xml:space="preserve">     Profit on sale of property, plant and equipment (net)</t>
  </si>
  <si>
    <t xml:space="preserve">     Interest income on bank deposits</t>
  </si>
  <si>
    <t xml:space="preserve">     Interest on lease liabilities</t>
  </si>
  <si>
    <t xml:space="preserve">     Property, plant and equipment written-off</t>
  </si>
  <si>
    <t xml:space="preserve">     Allowance for doubtful trade receivables, other assets and other financial assets</t>
  </si>
  <si>
    <t xml:space="preserve">     Trade receivables written-off</t>
  </si>
  <si>
    <t xml:space="preserve">     Unrealised (gain)/loss on foreign currency (net)</t>
  </si>
  <si>
    <t xml:space="preserve">     Provision for warranty expenses</t>
  </si>
  <si>
    <t xml:space="preserve">     Adjustment for (increase) / decrease in operating assets:</t>
  </si>
  <si>
    <t xml:space="preserve">     Inventories</t>
  </si>
  <si>
    <t xml:space="preserve">     Other assets</t>
  </si>
  <si>
    <t xml:space="preserve">     Trade receivables</t>
  </si>
  <si>
    <t xml:space="preserve">     Other financial assets</t>
  </si>
  <si>
    <t xml:space="preserve">     Loans</t>
  </si>
  <si>
    <t xml:space="preserve">     Trade payables</t>
  </si>
  <si>
    <t xml:space="preserve">     Provisions</t>
  </si>
  <si>
    <t xml:space="preserve">     Other liabilities</t>
  </si>
  <si>
    <t xml:space="preserve">     Other financial liabilities</t>
  </si>
  <si>
    <t>Liabilities classified as held-for-sale</t>
  </si>
  <si>
    <t>Profit for the year from continuing operations</t>
  </si>
  <si>
    <t xml:space="preserve">Discontinued Operations </t>
  </si>
  <si>
    <t xml:space="preserve">   Loss from Discontinued Operations  before tax</t>
  </si>
  <si>
    <t xml:space="preserve">   Tax expenses of Discontinued Operations </t>
  </si>
  <si>
    <t xml:space="preserve">   Loss after tax from Discontinued Operations </t>
  </si>
  <si>
    <t>Profit for the year from</t>
  </si>
  <si>
    <t xml:space="preserve">     Provision for service tax liability written-back</t>
  </si>
  <si>
    <t xml:space="preserve">     Sundry advances written-off/(written-back)</t>
  </si>
  <si>
    <t>COGS</t>
  </si>
  <si>
    <t xml:space="preserve">GROSS PROFIT </t>
  </si>
  <si>
    <t xml:space="preserve">TOTAL EXPENSES </t>
  </si>
  <si>
    <t>EBITDA</t>
  </si>
  <si>
    <t>EBIT</t>
  </si>
  <si>
    <t>Finance costs( Interest)</t>
  </si>
  <si>
    <t>REVENUE (growth rate)</t>
  </si>
  <si>
    <t xml:space="preserve">Domestic </t>
  </si>
  <si>
    <t>Africa</t>
  </si>
  <si>
    <t>Europe</t>
  </si>
  <si>
    <t>Asia(excluding India)</t>
  </si>
  <si>
    <t xml:space="preserve">Others </t>
  </si>
  <si>
    <t>Other income (Cagar)</t>
  </si>
  <si>
    <t>COGS (% OF REVENUE )</t>
  </si>
  <si>
    <t>TOTAL EXPENSES(% OF REVENUE)</t>
  </si>
  <si>
    <t>Opening Gross PP&amp;E</t>
  </si>
  <si>
    <t>Capex on PP&amp;E</t>
  </si>
  <si>
    <t>Closing Gross PP&amp;E</t>
  </si>
  <si>
    <t>Accum Dep</t>
  </si>
  <si>
    <t>Net PP&amp;E</t>
  </si>
  <si>
    <t>D&amp;A</t>
  </si>
  <si>
    <t xml:space="preserve">Owned </t>
  </si>
  <si>
    <t xml:space="preserve">Right of use of issue </t>
  </si>
  <si>
    <t>amortisation</t>
  </si>
  <si>
    <t>Opening Gross Intangibles</t>
  </si>
  <si>
    <t>Additions to Intangibles</t>
  </si>
  <si>
    <t>Closing Gross Intangibles</t>
  </si>
  <si>
    <t>Accum Amort</t>
  </si>
  <si>
    <t>Net Intangibles</t>
  </si>
  <si>
    <t>Capex (% revenue )</t>
  </si>
  <si>
    <t>INTANGIBLES</t>
  </si>
  <si>
    <t>DEP</t>
  </si>
  <si>
    <t>TANGIBLES</t>
  </si>
  <si>
    <t>INTEREST</t>
  </si>
  <si>
    <t>DEBT</t>
  </si>
  <si>
    <t xml:space="preserve">TOTAL </t>
  </si>
  <si>
    <t>TAX</t>
  </si>
  <si>
    <t>CWIP</t>
  </si>
  <si>
    <t xml:space="preserve">INVENTORIES </t>
  </si>
  <si>
    <t xml:space="preserve">      LONG </t>
  </si>
  <si>
    <t xml:space="preserve">      SHORT</t>
  </si>
  <si>
    <t>Payable Days</t>
  </si>
  <si>
    <t xml:space="preserve">Days Sales Outstanding </t>
  </si>
  <si>
    <t>SALES</t>
  </si>
  <si>
    <t>NOPAT</t>
  </si>
  <si>
    <t xml:space="preserve">CHANGE IN WC </t>
  </si>
  <si>
    <t xml:space="preserve">CAPEX </t>
  </si>
  <si>
    <t>FCFF</t>
  </si>
  <si>
    <t>WACC</t>
  </si>
  <si>
    <t>EV</t>
  </si>
  <si>
    <t>CASH</t>
  </si>
  <si>
    <t xml:space="preserve">Equity value </t>
  </si>
  <si>
    <t>intrinsic value</t>
  </si>
  <si>
    <t>Terminal Growth</t>
  </si>
  <si>
    <t>Under Development (intang)</t>
  </si>
  <si>
    <t>TOTAL</t>
  </si>
  <si>
    <t>TV</t>
  </si>
  <si>
    <t>PV OF FCFF AND TV</t>
  </si>
  <si>
    <t>WACC Calculator</t>
  </si>
  <si>
    <t>WACC Calculation</t>
  </si>
  <si>
    <t>Comparable Companies Unlevered Beta</t>
  </si>
  <si>
    <t xml:space="preserve">Capital Structure </t>
  </si>
  <si>
    <t>Company</t>
  </si>
  <si>
    <t>Levered Beta</t>
  </si>
  <si>
    <t>Debt</t>
  </si>
  <si>
    <t>Debt/Equity</t>
  </si>
  <si>
    <t>Tax Rate</t>
  </si>
  <si>
    <t>Unlevered Beta</t>
  </si>
  <si>
    <t>Debt to Total Capitalization</t>
  </si>
  <si>
    <t>Equity to Total Capitalization</t>
  </si>
  <si>
    <t>Debt / Equity</t>
  </si>
  <si>
    <t>Cost of Equity Calculation</t>
  </si>
  <si>
    <t>Risk Free Rate</t>
  </si>
  <si>
    <t>Equity Risk Premium</t>
  </si>
  <si>
    <t>Cost of Equity</t>
  </si>
  <si>
    <t>Median</t>
  </si>
  <si>
    <t>Cost of Debt Calculation</t>
  </si>
  <si>
    <t>Cost of Debt</t>
  </si>
  <si>
    <t>After-Tax Cost of Debt</t>
  </si>
  <si>
    <t>Titan Company</t>
  </si>
  <si>
    <t>Asian Paints</t>
  </si>
  <si>
    <t>LG Electronics</t>
  </si>
  <si>
    <t>Havells India</t>
  </si>
  <si>
    <t>Dixon Technolog.</t>
  </si>
  <si>
    <t>Berger Paints</t>
  </si>
  <si>
    <t>Kalyan Jewellers</t>
  </si>
  <si>
    <t>Voltas</t>
  </si>
  <si>
    <t>Blue Star</t>
  </si>
  <si>
    <t>Sensitivity Analysis- Value per Share</t>
  </si>
  <si>
    <t>Current Share Price</t>
  </si>
  <si>
    <t>Discount/Premium</t>
  </si>
  <si>
    <t>Assumptions</t>
  </si>
  <si>
    <t>Discount Rate</t>
  </si>
  <si>
    <t>Perpetural Growth Rate</t>
  </si>
  <si>
    <t>EV/EBITDA Mulltiple</t>
  </si>
  <si>
    <t>Transaction Date</t>
  </si>
  <si>
    <t>Fiscal Year End</t>
  </si>
  <si>
    <t>Current Price</t>
  </si>
  <si>
    <t>Shares Outstanding</t>
  </si>
  <si>
    <t>Cash</t>
  </si>
  <si>
    <t>Capex</t>
  </si>
  <si>
    <t>Discounted Cash Flow</t>
  </si>
  <si>
    <t>Entry</t>
  </si>
  <si>
    <t>Exit</t>
  </si>
  <si>
    <t>Terminal Value</t>
  </si>
  <si>
    <t>Date</t>
  </si>
  <si>
    <t>Perpetural Growth</t>
  </si>
  <si>
    <t>Time Periods</t>
  </si>
  <si>
    <t>EV/EBITDA</t>
  </si>
  <si>
    <t>Year Fraction</t>
  </si>
  <si>
    <t>Average</t>
  </si>
  <si>
    <t>Less: Cash Taxes</t>
  </si>
  <si>
    <t>Plus: D&amp;A</t>
  </si>
  <si>
    <t>Less: Capex</t>
  </si>
  <si>
    <t>Less: Changes in NWC</t>
  </si>
  <si>
    <t>Unlevered FCF</t>
  </si>
  <si>
    <t>(Entry)/Exit</t>
  </si>
  <si>
    <t>Transaction CF</t>
  </si>
  <si>
    <t>Intrinsic Value</t>
  </si>
  <si>
    <t>Market Value</t>
  </si>
  <si>
    <t>Rate of Return</t>
  </si>
  <si>
    <t>Enterprise Value</t>
  </si>
  <si>
    <t>Market Cap</t>
  </si>
  <si>
    <t>Plus: Cash</t>
  </si>
  <si>
    <t>Plus: Debt</t>
  </si>
  <si>
    <t>Internal Rate of Return (IRR)</t>
  </si>
  <si>
    <t>Less: Debt</t>
  </si>
  <si>
    <t>Less: Cash</t>
  </si>
  <si>
    <t>Equity Value</t>
  </si>
  <si>
    <t>Market Value vs Intrinsic Value</t>
  </si>
  <si>
    <t>Equity Value/Share</t>
  </si>
  <si>
    <t xml:space="preserve">Target Price Downside </t>
  </si>
  <si>
    <t xml:space="preserve">Downside </t>
  </si>
  <si>
    <t>Incorporated in 1997, LG Electronics India Limited is a manufacturer and distributor of home appliances and consumer electronics.</t>
  </si>
  <si>
    <t>NOTES</t>
  </si>
  <si>
    <t>ROUGH DCF</t>
  </si>
  <si>
    <t xml:space="preserve">MODEL </t>
  </si>
  <si>
    <t>INCOME STATEMENT</t>
  </si>
  <si>
    <t>BALANCE SHEET</t>
  </si>
  <si>
    <t xml:space="preserve">CASH FLOW STATEMENT </t>
  </si>
  <si>
    <t xml:space="preserve">DISCOUNT CASH FLOW </t>
  </si>
  <si>
    <t>WORKING NOTES 1</t>
  </si>
  <si>
    <t>WORKING NOTES 2</t>
  </si>
  <si>
    <t>DCF</t>
  </si>
  <si>
    <t>LG Electronics India Ltd (LGEIL) is a leading player in India’s home appliances and consumer electronics industry, holding the #1 market share across multiple key categories such as washing machines, refrigerators, panel televisions, inverter air conditioners, and microwaves in the offline channel.</t>
  </si>
  <si>
    <t>Business Profile</t>
  </si>
  <si>
    <t>Market Leadership</t>
  </si>
  <si>
    <t>It has a 78% Market share in the Indian home appliances and consumer electronics market (excluding mobile phones) in 2024 and 77% in H1FY25.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</si>
</sst>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yyyy\ &quot;A&quot;"/>
    <numFmt numFmtId="165" formatCode="yyyy\ &quot;E&quot;"/>
    <numFmt numFmtId="166" formatCode="#,##0.00;\(#,##0.00\)"/>
    <numFmt numFmtId="167" formatCode="[Green]#,##0.00;[Red]\(#,##0.00\)"/>
    <numFmt numFmtId="168" formatCode="_(#,##0.00%_);\(#,##0.00%\);_(&quot;–&quot;_);_(@_)"/>
    <numFmt numFmtId="169" formatCode="_(#,##0.00_);\(#,##0.00\);_(&quot;–&quot;_);_(@_)"/>
    <numFmt numFmtId="170" formatCode="_(#,##0_);\(#,##0\);_(&quot;–&quot;_);_(@_)"/>
    <numFmt numFmtId="171" formatCode="#,##0.0;\(#,##0.0\);\-"/>
    <numFmt numFmtId="172" formatCode="0.00\x"/>
    <numFmt numFmtId="173" formatCode="_-* #,##0_-;\(#,##0\)_-;_-* &quot;-&quot;_-;_-@_-"/>
    <numFmt numFmtId="174" formatCode="0.0\x"/>
    <numFmt numFmtId="175" formatCode="_-* #,##0_-;\-* #,##0_-;_-* &quot;-&quot;??_-;_-@_-"/>
    <numFmt numFmtId="176" formatCode="_(* #,##0_);_(* \(#,##0\);_(* &quot;-&quot;??_);_(@_)"/>
    <numFmt numFmtId="177" formatCode="_-* #,##0.00_-;\(#,##0.00\)_-;_-* &quot;-&quot;_-;_-@_-"/>
    <numFmt numFmtId="178" formatCode="General\ \A"/>
  </numFmts>
  <fonts count="5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0"/>
      <name val="Calibri"/>
      <family val="2"/>
    </font>
    <font>
      <b/>
      <sz val="10"/>
      <color theme="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</font>
    <font>
      <i/>
      <sz val="11"/>
      <color theme="0"/>
      <name val="Calibri"/>
      <family val="2"/>
    </font>
    <font>
      <b/>
      <i/>
      <u/>
      <sz val="10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9"/>
      <color theme="0" tint="-0.249977111117893"/>
      <name val="Calibri"/>
      <family val="2"/>
    </font>
    <font>
      <sz val="9"/>
      <color rgb="FF0070C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rgb="FF0432FF"/>
      <name val="Calibri"/>
      <family val="2"/>
    </font>
    <font>
      <sz val="2"/>
      <color theme="0"/>
      <name val="Calibri"/>
      <family val="2"/>
    </font>
    <font>
      <sz val="11"/>
      <color theme="1"/>
      <name val="Arial Narrow"/>
      <family val="2"/>
    </font>
    <font>
      <b/>
      <sz val="14"/>
      <color theme="0"/>
      <name val="Open Sans"/>
      <family val="2"/>
    </font>
    <font>
      <b/>
      <sz val="14"/>
      <color rgb="FF3271D2"/>
      <name val="Open Sans"/>
      <family val="2"/>
    </font>
    <font>
      <sz val="10"/>
      <color theme="3"/>
      <name val="Open Sans"/>
      <family val="2"/>
    </font>
    <font>
      <b/>
      <sz val="10"/>
      <color rgb="FF000000"/>
      <name val="Open Sans"/>
      <family val="2"/>
    </font>
    <font>
      <sz val="10"/>
      <color rgb="FF000000"/>
      <name val="Open Sans"/>
      <family val="2"/>
    </font>
    <font>
      <sz val="10"/>
      <color rgb="FF606F7B"/>
      <name val="Arial"/>
      <family val="2"/>
    </font>
    <font>
      <b/>
      <sz val="10"/>
      <color theme="1"/>
      <name val="Open Sans"/>
      <family val="2"/>
    </font>
    <font>
      <u/>
      <sz val="11"/>
      <color theme="10"/>
      <name val="Calibri"/>
      <family val="2"/>
    </font>
    <font>
      <sz val="10"/>
      <color theme="1"/>
      <name val="Open Sans"/>
      <family val="2"/>
    </font>
    <font>
      <sz val="10"/>
      <color rgb="FF3271D2"/>
      <name val="Open Sans"/>
      <family val="2"/>
    </font>
    <font>
      <sz val="10"/>
      <name val="Open Sans"/>
      <family val="2"/>
    </font>
    <font>
      <sz val="11"/>
      <color theme="1"/>
      <name val="Arial"/>
      <family val="2"/>
    </font>
    <font>
      <b/>
      <sz val="10"/>
      <name val="Open Sans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9"/>
      <color indexed="81"/>
      <name val="Tahoma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271D2"/>
      <name val="Arial"/>
      <family val="2"/>
    </font>
    <font>
      <sz val="11"/>
      <color rgb="FF0432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9E5F7"/>
        <bgColor rgb="FF000000"/>
      </patternFill>
    </fill>
    <fill>
      <patternFill patternType="solid">
        <fgColor rgb="FFFF66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333B6C"/>
      </bottom>
      <diagonal/>
    </border>
    <border>
      <left/>
      <right/>
      <top style="thin">
        <color indexed="64"/>
      </top>
      <bottom style="thin">
        <color rgb="FF333B6C"/>
      </bottom>
      <diagonal/>
    </border>
    <border>
      <left/>
      <right style="thin">
        <color indexed="64"/>
      </right>
      <top style="thin">
        <color indexed="64"/>
      </top>
      <bottom style="thin">
        <color rgb="FF333B6C"/>
      </bottom>
      <diagonal/>
    </border>
    <border>
      <left/>
      <right style="thin">
        <color rgb="FF333B6C"/>
      </right>
      <top/>
      <bottom/>
      <diagonal/>
    </border>
    <border>
      <left/>
      <right style="thin">
        <color rgb="FF333B6C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2" fillId="0" borderId="0" applyNumberFormat="0" applyFill="0" applyBorder="0" applyAlignment="0" applyProtection="0"/>
  </cellStyleXfs>
  <cellXfs count="261">
    <xf numFmtId="0" fontId="0" fillId="0" borderId="0" xfId="0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9" fontId="8" fillId="0" borderId="0" xfId="1" applyFont="1"/>
    <xf numFmtId="0" fontId="2" fillId="0" borderId="3" xfId="0" applyFont="1" applyBorder="1"/>
    <xf numFmtId="0" fontId="9" fillId="2" borderId="0" xfId="0" applyFont="1" applyFill="1" applyAlignment="1">
      <alignment wrapText="1"/>
    </xf>
    <xf numFmtId="164" fontId="9" fillId="2" borderId="0" xfId="0" applyNumberFormat="1" applyFont="1" applyFill="1" applyAlignment="1">
      <alignment wrapText="1"/>
    </xf>
    <xf numFmtId="165" fontId="9" fillId="2" borderId="0" xfId="0" applyNumberFormat="1" applyFont="1" applyFill="1" applyAlignment="1">
      <alignment wrapText="1"/>
    </xf>
    <xf numFmtId="166" fontId="10" fillId="0" borderId="0" xfId="0" applyNumberFormat="1" applyFont="1" applyAlignment="1">
      <alignment horizontal="right" wrapText="1"/>
    </xf>
    <xf numFmtId="166" fontId="10" fillId="0" borderId="0" xfId="0" applyNumberFormat="1" applyFont="1" applyAlignment="1">
      <alignment wrapText="1"/>
    </xf>
    <xf numFmtId="166" fontId="11" fillId="0" borderId="0" xfId="0" applyNumberFormat="1" applyFont="1"/>
    <xf numFmtId="166" fontId="5" fillId="0" borderId="1" xfId="0" applyNumberFormat="1" applyFont="1" applyBorder="1" applyAlignment="1">
      <alignment horizontal="right" wrapText="1"/>
    </xf>
    <xf numFmtId="166" fontId="4" fillId="0" borderId="0" xfId="0" applyNumberFormat="1" applyFont="1" applyAlignment="1">
      <alignment horizontal="right" wrapText="1"/>
    </xf>
    <xf numFmtId="166" fontId="4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right" wrapText="1"/>
    </xf>
    <xf numFmtId="166" fontId="5" fillId="0" borderId="2" xfId="0" applyNumberFormat="1" applyFont="1" applyBorder="1" applyAlignment="1">
      <alignment horizontal="right" wrapText="1"/>
    </xf>
    <xf numFmtId="166" fontId="0" fillId="0" borderId="0" xfId="0" applyNumberFormat="1"/>
    <xf numFmtId="0" fontId="4" fillId="0" borderId="0" xfId="0" applyFont="1" applyAlignment="1">
      <alignment vertical="center"/>
    </xf>
    <xf numFmtId="4" fontId="5" fillId="0" borderId="1" xfId="0" applyNumberFormat="1" applyFont="1" applyBorder="1" applyAlignment="1">
      <alignment wrapText="1"/>
    </xf>
    <xf numFmtId="0" fontId="12" fillId="0" borderId="0" xfId="0" applyFont="1"/>
    <xf numFmtId="0" fontId="3" fillId="0" borderId="0" xfId="0" applyFont="1"/>
    <xf numFmtId="4" fontId="7" fillId="0" borderId="2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wrapText="1"/>
    </xf>
    <xf numFmtId="0" fontId="0" fillId="0" borderId="5" xfId="0" applyBorder="1"/>
    <xf numFmtId="0" fontId="2" fillId="0" borderId="5" xfId="0" applyFont="1" applyBorder="1"/>
    <xf numFmtId="0" fontId="6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4" fontId="5" fillId="0" borderId="6" xfId="0" applyNumberFormat="1" applyFont="1" applyBorder="1" applyAlignment="1">
      <alignment wrapText="1"/>
    </xf>
    <xf numFmtId="4" fontId="9" fillId="0" borderId="0" xfId="0" applyNumberFormat="1" applyFont="1" applyAlignment="1">
      <alignment wrapText="1"/>
    </xf>
    <xf numFmtId="0" fontId="14" fillId="2" borderId="0" xfId="0" applyFont="1" applyFill="1" applyAlignment="1">
      <alignment wrapText="1"/>
    </xf>
    <xf numFmtId="164" fontId="14" fillId="2" borderId="0" xfId="0" applyNumberFormat="1" applyFont="1" applyFill="1" applyAlignment="1">
      <alignment wrapText="1"/>
    </xf>
    <xf numFmtId="165" fontId="14" fillId="2" borderId="0" xfId="0" applyNumberFormat="1" applyFont="1" applyFill="1" applyAlignment="1">
      <alignment wrapText="1"/>
    </xf>
    <xf numFmtId="3" fontId="0" fillId="0" borderId="0" xfId="0" applyNumberFormat="1"/>
    <xf numFmtId="0" fontId="4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4" fontId="5" fillId="0" borderId="7" xfId="0" applyNumberFormat="1" applyFont="1" applyBorder="1" applyAlignment="1">
      <alignment wrapText="1"/>
    </xf>
    <xf numFmtId="0" fontId="2" fillId="0" borderId="0" xfId="0" applyFont="1"/>
    <xf numFmtId="4" fontId="0" fillId="0" borderId="0" xfId="0" applyNumberFormat="1"/>
    <xf numFmtId="10" fontId="0" fillId="0" borderId="0" xfId="0" applyNumberFormat="1"/>
    <xf numFmtId="10" fontId="16" fillId="0" borderId="0" xfId="0" applyNumberFormat="1" applyFont="1"/>
    <xf numFmtId="10" fontId="0" fillId="3" borderId="0" xfId="0" applyNumberFormat="1" applyFill="1"/>
    <xf numFmtId="0" fontId="0" fillId="3" borderId="0" xfId="0" applyFill="1"/>
    <xf numFmtId="166" fontId="2" fillId="3" borderId="0" xfId="0" applyNumberFormat="1" applyFont="1" applyFill="1"/>
    <xf numFmtId="2" fontId="5" fillId="0" borderId="4" xfId="0" applyNumberFormat="1" applyFont="1" applyBorder="1" applyAlignment="1">
      <alignment horizontal="right" wrapText="1"/>
    </xf>
    <xf numFmtId="43" fontId="19" fillId="0" borderId="0" xfId="2" applyFont="1" applyFill="1"/>
    <xf numFmtId="167" fontId="20" fillId="0" borderId="3" xfId="0" applyNumberFormat="1" applyFont="1" applyBorder="1" applyAlignment="1">
      <alignment horizontal="center"/>
    </xf>
    <xf numFmtId="4" fontId="4" fillId="0" borderId="0" xfId="0" applyNumberFormat="1" applyFont="1" applyAlignment="1">
      <alignment wrapText="1"/>
    </xf>
    <xf numFmtId="10" fontId="5" fillId="0" borderId="0" xfId="1" applyNumberFormat="1" applyFont="1" applyFill="1" applyBorder="1" applyAlignment="1">
      <alignment wrapText="1"/>
    </xf>
    <xf numFmtId="166" fontId="0" fillId="0" borderId="8" xfId="0" applyNumberFormat="1" applyBorder="1"/>
    <xf numFmtId="0" fontId="0" fillId="0" borderId="4" xfId="0" applyBorder="1"/>
    <xf numFmtId="166" fontId="0" fillId="0" borderId="4" xfId="0" applyNumberFormat="1" applyBorder="1"/>
    <xf numFmtId="10" fontId="22" fillId="3" borderId="0" xfId="0" applyNumberFormat="1" applyFont="1" applyFill="1"/>
    <xf numFmtId="166" fontId="21" fillId="2" borderId="0" xfId="0" applyNumberFormat="1" applyFont="1" applyFill="1"/>
    <xf numFmtId="166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0" fillId="3" borderId="14" xfId="0" applyFill="1" applyBorder="1"/>
    <xf numFmtId="0" fontId="0" fillId="0" borderId="13" xfId="0" applyBorder="1"/>
    <xf numFmtId="166" fontId="0" fillId="3" borderId="0" xfId="0" applyNumberFormat="1" applyFill="1"/>
    <xf numFmtId="166" fontId="0" fillId="3" borderId="14" xfId="0" applyNumberFormat="1" applyFill="1" applyBorder="1"/>
    <xf numFmtId="166" fontId="2" fillId="3" borderId="14" xfId="0" applyNumberFormat="1" applyFont="1" applyFill="1" applyBorder="1"/>
    <xf numFmtId="4" fontId="0" fillId="3" borderId="0" xfId="0" applyNumberFormat="1" applyFill="1"/>
    <xf numFmtId="4" fontId="0" fillId="3" borderId="14" xfId="0" applyNumberFormat="1" applyFill="1" applyBorder="1"/>
    <xf numFmtId="4" fontId="2" fillId="0" borderId="0" xfId="0" applyNumberFormat="1" applyFont="1"/>
    <xf numFmtId="4" fontId="2" fillId="3" borderId="0" xfId="0" applyNumberFormat="1" applyFont="1" applyFill="1"/>
    <xf numFmtId="4" fontId="2" fillId="3" borderId="14" xfId="0" applyNumberFormat="1" applyFont="1" applyFill="1" applyBorder="1"/>
    <xf numFmtId="10" fontId="0" fillId="3" borderId="0" xfId="1" applyNumberFormat="1" applyFont="1" applyFill="1" applyBorder="1"/>
    <xf numFmtId="0" fontId="0" fillId="0" borderId="14" xfId="0" applyBorder="1"/>
    <xf numFmtId="10" fontId="17" fillId="0" borderId="0" xfId="1" applyNumberFormat="1" applyFont="1" applyBorder="1" applyAlignment="1">
      <alignment horizontal="right" wrapText="1"/>
    </xf>
    <xf numFmtId="0" fontId="2" fillId="0" borderId="8" xfId="0" applyFont="1" applyBorder="1"/>
    <xf numFmtId="0" fontId="2" fillId="0" borderId="17" xfId="0" applyFont="1" applyBorder="1"/>
    <xf numFmtId="0" fontId="2" fillId="0" borderId="18" xfId="0" applyFont="1" applyBorder="1"/>
    <xf numFmtId="166" fontId="2" fillId="3" borderId="18" xfId="0" applyNumberFormat="1" applyFont="1" applyFill="1" applyBorder="1"/>
    <xf numFmtId="166" fontId="2" fillId="3" borderId="19" xfId="0" applyNumberFormat="1" applyFont="1" applyFill="1" applyBorder="1"/>
    <xf numFmtId="10" fontId="2" fillId="3" borderId="0" xfId="1" applyNumberFormat="1" applyFont="1" applyFill="1"/>
    <xf numFmtId="10" fontId="2" fillId="0" borderId="0" xfId="1" applyNumberFormat="1" applyFont="1" applyFill="1"/>
    <xf numFmtId="166" fontId="2" fillId="0" borderId="0" xfId="0" applyNumberFormat="1" applyFont="1"/>
    <xf numFmtId="43" fontId="18" fillId="0" borderId="0" xfId="2" applyFont="1" applyFill="1"/>
    <xf numFmtId="0" fontId="2" fillId="0" borderId="10" xfId="0" applyFont="1" applyBorder="1"/>
    <xf numFmtId="10" fontId="16" fillId="0" borderId="14" xfId="0" applyNumberFormat="1" applyFont="1" applyBorder="1"/>
    <xf numFmtId="0" fontId="0" fillId="0" borderId="15" xfId="0" applyBorder="1"/>
    <xf numFmtId="0" fontId="0" fillId="0" borderId="8" xfId="0" applyBorder="1"/>
    <xf numFmtId="10" fontId="16" fillId="0" borderId="8" xfId="0" applyNumberFormat="1" applyFont="1" applyBorder="1"/>
    <xf numFmtId="10" fontId="17" fillId="0" borderId="8" xfId="1" applyNumberFormat="1" applyFont="1" applyBorder="1" applyAlignment="1">
      <alignment horizontal="right" wrapText="1"/>
    </xf>
    <xf numFmtId="10" fontId="16" fillId="0" borderId="16" xfId="0" applyNumberFormat="1" applyFont="1" applyBorder="1"/>
    <xf numFmtId="166" fontId="5" fillId="3" borderId="0" xfId="0" applyNumberFormat="1" applyFont="1" applyFill="1" applyAlignment="1">
      <alignment horizontal="right" wrapText="1"/>
    </xf>
    <xf numFmtId="9" fontId="2" fillId="3" borderId="0" xfId="1" applyFont="1" applyFill="1"/>
    <xf numFmtId="10" fontId="2" fillId="3" borderId="0" xfId="0" applyNumberFormat="1" applyFont="1" applyFill="1"/>
    <xf numFmtId="0" fontId="21" fillId="2" borderId="0" xfId="0" applyFont="1" applyFill="1" applyAlignment="1">
      <alignment horizontal="center"/>
    </xf>
    <xf numFmtId="0" fontId="23" fillId="0" borderId="0" xfId="0" applyFont="1"/>
    <xf numFmtId="166" fontId="23" fillId="0" borderId="0" xfId="0" applyNumberFormat="1" applyFont="1"/>
    <xf numFmtId="166" fontId="0" fillId="0" borderId="5" xfId="0" applyNumberFormat="1" applyBorder="1"/>
    <xf numFmtId="0" fontId="26" fillId="4" borderId="0" xfId="3" applyFont="1" applyFill="1" applyAlignment="1">
      <alignment vertical="center"/>
    </xf>
    <xf numFmtId="0" fontId="27" fillId="0" borderId="0" xfId="0" applyFont="1" applyAlignment="1">
      <alignment vertical="top"/>
    </xf>
    <xf numFmtId="0" fontId="28" fillId="0" borderId="0" xfId="0" applyFont="1" applyAlignment="1">
      <alignment horizontal="centerContinuous"/>
    </xf>
    <xf numFmtId="0" fontId="29" fillId="0" borderId="0" xfId="0" applyFont="1" applyAlignment="1">
      <alignment horizontal="centerContinuous"/>
    </xf>
    <xf numFmtId="0" fontId="30" fillId="0" borderId="0" xfId="0" applyFont="1" applyAlignment="1">
      <alignment vertical="center" wrapText="1"/>
    </xf>
    <xf numFmtId="0" fontId="28" fillId="0" borderId="21" xfId="0" applyFont="1" applyBorder="1"/>
    <xf numFmtId="0" fontId="28" fillId="0" borderId="21" xfId="0" applyFont="1" applyBorder="1" applyAlignment="1">
      <alignment horizontal="right"/>
    </xf>
    <xf numFmtId="0" fontId="32" fillId="0" borderId="0" xfId="4" applyFill="1" applyBorder="1" applyAlignment="1">
      <alignment vertical="center" wrapText="1"/>
    </xf>
    <xf numFmtId="0" fontId="33" fillId="0" borderId="0" xfId="0" applyFont="1" applyAlignment="1">
      <alignment horizontal="left" vertical="top"/>
    </xf>
    <xf numFmtId="168" fontId="34" fillId="0" borderId="0" xfId="1" applyNumberFormat="1" applyFont="1" applyFill="1" applyAlignment="1">
      <alignment vertical="top"/>
    </xf>
    <xf numFmtId="0" fontId="33" fillId="0" borderId="0" xfId="0" applyFont="1" applyAlignment="1">
      <alignment vertical="top"/>
    </xf>
    <xf numFmtId="169" fontId="34" fillId="0" borderId="0" xfId="0" applyNumberFormat="1" applyFont="1" applyAlignment="1">
      <alignment horizontal="right" vertical="top"/>
    </xf>
    <xf numFmtId="170" fontId="34" fillId="0" borderId="0" xfId="2" applyNumberFormat="1" applyFont="1" applyFill="1" applyBorder="1" applyAlignment="1">
      <alignment horizontal="right" vertical="top"/>
    </xf>
    <xf numFmtId="168" fontId="35" fillId="0" borderId="0" xfId="1" applyNumberFormat="1" applyFont="1" applyFill="1" applyBorder="1" applyAlignment="1">
      <alignment horizontal="right" vertical="top"/>
    </xf>
    <xf numFmtId="168" fontId="34" fillId="0" borderId="0" xfId="0" applyNumberFormat="1" applyFont="1" applyAlignment="1">
      <alignment horizontal="right" vertical="top"/>
    </xf>
    <xf numFmtId="169" fontId="35" fillId="0" borderId="0" xfId="0" applyNumberFormat="1" applyFont="1" applyAlignment="1">
      <alignment horizontal="right" vertical="top"/>
    </xf>
    <xf numFmtId="0" fontId="32" fillId="0" borderId="0" xfId="4" applyFill="1" applyBorder="1" applyAlignment="1">
      <alignment horizontal="left" vertical="center" indent="2"/>
    </xf>
    <xf numFmtId="0" fontId="32" fillId="0" borderId="0" xfId="4" applyFill="1" applyBorder="1" applyAlignment="1">
      <alignment horizontal="left" vertical="center"/>
    </xf>
    <xf numFmtId="0" fontId="32" fillId="0" borderId="0" xfId="4" applyFill="1" applyBorder="1" applyAlignment="1">
      <alignment horizontal="right" vertical="center" wrapText="1"/>
    </xf>
    <xf numFmtId="0" fontId="33" fillId="0" borderId="22" xfId="0" applyFont="1" applyBorder="1" applyAlignment="1">
      <alignment horizontal="left" vertical="top"/>
    </xf>
    <xf numFmtId="0" fontId="36" fillId="0" borderId="0" xfId="0" applyFont="1" applyAlignment="1">
      <alignment horizontal="left" vertical="center" indent="2"/>
    </xf>
    <xf numFmtId="0" fontId="36" fillId="0" borderId="0" xfId="0" applyFont="1" applyAlignment="1">
      <alignment horizontal="right" vertical="center" wrapText="1"/>
    </xf>
    <xf numFmtId="10" fontId="0" fillId="0" borderId="0" xfId="1" applyNumberFormat="1" applyFont="1" applyFill="1" applyBorder="1"/>
    <xf numFmtId="0" fontId="31" fillId="0" borderId="6" xfId="0" applyFont="1" applyBorder="1" applyAlignment="1">
      <alignment horizontal="left" vertical="top"/>
    </xf>
    <xf numFmtId="168" fontId="37" fillId="0" borderId="6" xfId="1" applyNumberFormat="1" applyFont="1" applyFill="1" applyBorder="1" applyAlignment="1">
      <alignment vertical="top"/>
    </xf>
    <xf numFmtId="10" fontId="27" fillId="0" borderId="0" xfId="1" applyNumberFormat="1" applyFont="1" applyFill="1" applyAlignment="1">
      <alignment vertical="top"/>
    </xf>
    <xf numFmtId="0" fontId="31" fillId="0" borderId="20" xfId="0" applyFont="1" applyBorder="1" applyAlignment="1">
      <alignment horizontal="left" vertical="top"/>
    </xf>
    <xf numFmtId="10" fontId="27" fillId="0" borderId="20" xfId="1" applyNumberFormat="1" applyFont="1" applyFill="1" applyBorder="1" applyAlignment="1">
      <alignment vertical="top"/>
    </xf>
    <xf numFmtId="168" fontId="34" fillId="0" borderId="0" xfId="1" applyNumberFormat="1" applyFont="1" applyFill="1" applyBorder="1" applyAlignment="1">
      <alignment vertical="top"/>
    </xf>
    <xf numFmtId="169" fontId="35" fillId="0" borderId="0" xfId="0" applyNumberFormat="1" applyFont="1" applyAlignment="1">
      <alignment vertical="top"/>
    </xf>
    <xf numFmtId="0" fontId="31" fillId="0" borderId="6" xfId="0" applyFont="1" applyBorder="1" applyAlignment="1">
      <alignment vertical="top"/>
    </xf>
    <xf numFmtId="169" fontId="37" fillId="0" borderId="6" xfId="0" applyNumberFormat="1" applyFont="1" applyBorder="1" applyAlignment="1">
      <alignment vertical="top"/>
    </xf>
    <xf numFmtId="0" fontId="27" fillId="0" borderId="6" xfId="0" applyFont="1" applyBorder="1" applyAlignment="1">
      <alignment vertical="top"/>
    </xf>
    <xf numFmtId="0" fontId="37" fillId="5" borderId="23" xfId="0" applyFont="1" applyFill="1" applyBorder="1" applyAlignment="1">
      <alignment horizontal="left" vertical="top"/>
    </xf>
    <xf numFmtId="0" fontId="37" fillId="5" borderId="24" xfId="0" applyFont="1" applyFill="1" applyBorder="1" applyAlignment="1">
      <alignment horizontal="left" vertical="top"/>
    </xf>
    <xf numFmtId="168" fontId="37" fillId="5" borderId="25" xfId="1" applyNumberFormat="1" applyFont="1" applyFill="1" applyBorder="1" applyAlignment="1">
      <alignment vertical="top"/>
    </xf>
    <xf numFmtId="168" fontId="33" fillId="0" borderId="0" xfId="1" applyNumberFormat="1" applyFont="1" applyFill="1" applyAlignment="1">
      <alignment vertical="top"/>
    </xf>
    <xf numFmtId="168" fontId="33" fillId="0" borderId="0" xfId="0" applyNumberFormat="1" applyFont="1" applyAlignment="1">
      <alignment horizontal="right" vertical="top"/>
    </xf>
    <xf numFmtId="9" fontId="2" fillId="0" borderId="28" xfId="1" applyFont="1" applyBorder="1"/>
    <xf numFmtId="10" fontId="2" fillId="0" borderId="29" xfId="0" applyNumberFormat="1" applyFont="1" applyBorder="1"/>
    <xf numFmtId="10" fontId="2" fillId="0" borderId="30" xfId="0" applyNumberFormat="1" applyFont="1" applyBorder="1"/>
    <xf numFmtId="10" fontId="2" fillId="0" borderId="31" xfId="0" applyNumberFormat="1" applyFont="1" applyBorder="1"/>
    <xf numFmtId="171" fontId="0" fillId="0" borderId="0" xfId="0" applyNumberFormat="1"/>
    <xf numFmtId="171" fontId="0" fillId="0" borderId="27" xfId="0" applyNumberFormat="1" applyBorder="1"/>
    <xf numFmtId="171" fontId="21" fillId="2" borderId="0" xfId="0" applyNumberFormat="1" applyFont="1" applyFill="1"/>
    <xf numFmtId="10" fontId="2" fillId="0" borderId="32" xfId="0" applyNumberFormat="1" applyFont="1" applyBorder="1"/>
    <xf numFmtId="171" fontId="0" fillId="0" borderId="22" xfId="0" applyNumberFormat="1" applyBorder="1"/>
    <xf numFmtId="171" fontId="0" fillId="0" borderId="33" xfId="0" applyNumberFormat="1" applyBorder="1"/>
    <xf numFmtId="0" fontId="0" fillId="0" borderId="22" xfId="0" applyBorder="1"/>
    <xf numFmtId="0" fontId="0" fillId="0" borderId="1" xfId="0" applyBorder="1"/>
    <xf numFmtId="172" fontId="2" fillId="0" borderId="18" xfId="1" applyNumberFormat="1" applyFont="1" applyBorder="1"/>
    <xf numFmtId="171" fontId="3" fillId="0" borderId="6" xfId="0" applyNumberFormat="1" applyFont="1" applyBorder="1"/>
    <xf numFmtId="0" fontId="36" fillId="0" borderId="0" xfId="0" applyFont="1"/>
    <xf numFmtId="173" fontId="5" fillId="0" borderId="0" xfId="2" applyNumberFormat="1" applyFont="1"/>
    <xf numFmtId="173" fontId="4" fillId="0" borderId="0" xfId="2" applyNumberFormat="1" applyFont="1"/>
    <xf numFmtId="173" fontId="4" fillId="0" borderId="0" xfId="2" applyNumberFormat="1" applyFont="1" applyAlignment="1">
      <alignment horizontal="center"/>
    </xf>
    <xf numFmtId="173" fontId="42" fillId="0" borderId="0" xfId="2" applyNumberFormat="1" applyFont="1"/>
    <xf numFmtId="166" fontId="36" fillId="0" borderId="0" xfId="0" applyNumberFormat="1" applyFont="1"/>
    <xf numFmtId="173" fontId="43" fillId="0" borderId="34" xfId="2" applyNumberFormat="1" applyFont="1" applyFill="1" applyBorder="1"/>
    <xf numFmtId="173" fontId="42" fillId="0" borderId="34" xfId="2" applyNumberFormat="1" applyFont="1" applyFill="1" applyBorder="1"/>
    <xf numFmtId="173" fontId="44" fillId="0" borderId="0" xfId="2" applyNumberFormat="1" applyFont="1" applyBorder="1"/>
    <xf numFmtId="173" fontId="42" fillId="0" borderId="0" xfId="2" applyNumberFormat="1" applyFont="1" applyBorder="1"/>
    <xf numFmtId="10" fontId="45" fillId="0" borderId="0" xfId="1" applyNumberFormat="1" applyFont="1" applyBorder="1" applyAlignment="1">
      <alignment horizontal="right"/>
    </xf>
    <xf numFmtId="173" fontId="44" fillId="0" borderId="0" xfId="2" applyNumberFormat="1" applyFont="1"/>
    <xf numFmtId="10" fontId="45" fillId="0" borderId="0" xfId="1" applyNumberFormat="1" applyFont="1" applyAlignment="1">
      <alignment horizontal="right"/>
    </xf>
    <xf numFmtId="10" fontId="46" fillId="3" borderId="0" xfId="0" applyNumberFormat="1" applyFont="1" applyFill="1"/>
    <xf numFmtId="174" fontId="45" fillId="0" borderId="0" xfId="2" applyNumberFormat="1" applyFont="1" applyAlignment="1">
      <alignment horizontal="right"/>
    </xf>
    <xf numFmtId="14" fontId="45" fillId="0" borderId="0" xfId="2" applyNumberFormat="1" applyFont="1"/>
    <xf numFmtId="14" fontId="45" fillId="0" borderId="0" xfId="2" applyNumberFormat="1" applyFont="1" applyFill="1"/>
    <xf numFmtId="43" fontId="45" fillId="0" borderId="0" xfId="2" applyFont="1" applyAlignment="1">
      <alignment horizontal="right"/>
    </xf>
    <xf numFmtId="175" fontId="45" fillId="0" borderId="0" xfId="2" applyNumberFormat="1" applyFont="1" applyAlignment="1">
      <alignment horizontal="right"/>
    </xf>
    <xf numFmtId="173" fontId="45" fillId="0" borderId="0" xfId="2" applyNumberFormat="1" applyFont="1"/>
    <xf numFmtId="14" fontId="42" fillId="0" borderId="0" xfId="2" applyNumberFormat="1" applyFont="1"/>
    <xf numFmtId="173" fontId="4" fillId="0" borderId="0" xfId="2" applyNumberFormat="1" applyFont="1" applyBorder="1"/>
    <xf numFmtId="173" fontId="5" fillId="0" borderId="34" xfId="2" applyNumberFormat="1" applyFont="1" applyFill="1" applyBorder="1"/>
    <xf numFmtId="173" fontId="4" fillId="0" borderId="34" xfId="2" applyNumberFormat="1" applyFont="1" applyFill="1" applyBorder="1"/>
    <xf numFmtId="14" fontId="48" fillId="0" borderId="0" xfId="2" applyNumberFormat="1" applyFont="1" applyBorder="1"/>
    <xf numFmtId="14" fontId="48" fillId="0" borderId="0" xfId="2" applyNumberFormat="1" applyFont="1" applyFill="1" applyBorder="1"/>
    <xf numFmtId="173" fontId="49" fillId="0" borderId="0" xfId="2" applyNumberFormat="1" applyFont="1" applyBorder="1"/>
    <xf numFmtId="173" fontId="50" fillId="0" borderId="0" xfId="2" applyNumberFormat="1" applyFont="1" applyBorder="1"/>
    <xf numFmtId="14" fontId="50" fillId="0" borderId="0" xfId="2" applyNumberFormat="1" applyFont="1" applyBorder="1"/>
    <xf numFmtId="1" fontId="48" fillId="0" borderId="0" xfId="2" applyNumberFormat="1" applyFont="1"/>
    <xf numFmtId="176" fontId="49" fillId="0" borderId="0" xfId="2" applyNumberFormat="1" applyFont="1" applyBorder="1"/>
    <xf numFmtId="173" fontId="50" fillId="0" borderId="0" xfId="2" applyNumberFormat="1" applyFont="1"/>
    <xf numFmtId="43" fontId="48" fillId="0" borderId="0" xfId="2" applyFont="1" applyBorder="1"/>
    <xf numFmtId="173" fontId="49" fillId="0" borderId="36" xfId="2" applyNumberFormat="1" applyFont="1" applyBorder="1"/>
    <xf numFmtId="173" fontId="45" fillId="0" borderId="0" xfId="2" applyNumberFormat="1" applyFont="1" applyBorder="1"/>
    <xf numFmtId="176" fontId="49" fillId="0" borderId="0" xfId="2" applyNumberFormat="1" applyFont="1"/>
    <xf numFmtId="176" fontId="45" fillId="0" borderId="0" xfId="2" applyNumberFormat="1" applyFont="1"/>
    <xf numFmtId="173" fontId="49" fillId="0" borderId="0" xfId="2" applyNumberFormat="1" applyFont="1"/>
    <xf numFmtId="173" fontId="49" fillId="0" borderId="6" xfId="2" applyNumberFormat="1" applyFont="1" applyBorder="1"/>
    <xf numFmtId="173" fontId="49" fillId="0" borderId="0" xfId="2" applyNumberFormat="1" applyFont="1" applyFill="1"/>
    <xf numFmtId="173" fontId="45" fillId="0" borderId="6" xfId="2" applyNumberFormat="1" applyFont="1" applyBorder="1"/>
    <xf numFmtId="173" fontId="51" fillId="0" borderId="0" xfId="2" applyNumberFormat="1" applyFont="1" applyAlignment="1">
      <alignment horizontal="center"/>
    </xf>
    <xf numFmtId="173" fontId="51" fillId="0" borderId="0" xfId="2" applyNumberFormat="1" applyFont="1"/>
    <xf numFmtId="9" fontId="49" fillId="0" borderId="0" xfId="1" applyFont="1" applyBorder="1"/>
    <xf numFmtId="9" fontId="49" fillId="0" borderId="0" xfId="1" applyFont="1"/>
    <xf numFmtId="177" fontId="4" fillId="0" borderId="0" xfId="2" applyNumberFormat="1" applyFont="1"/>
    <xf numFmtId="177" fontId="49" fillId="0" borderId="0" xfId="2" applyNumberFormat="1" applyFont="1"/>
    <xf numFmtId="177" fontId="9" fillId="2" borderId="0" xfId="2" applyNumberFormat="1" applyFont="1" applyFill="1"/>
    <xf numFmtId="178" fontId="9" fillId="2" borderId="35" xfId="2" applyNumberFormat="1" applyFont="1" applyFill="1" applyBorder="1"/>
    <xf numFmtId="173" fontId="47" fillId="0" borderId="6" xfId="2" applyNumberFormat="1" applyFont="1" applyBorder="1"/>
    <xf numFmtId="173" fontId="9" fillId="2" borderId="0" xfId="2" applyNumberFormat="1" applyFont="1" applyFill="1" applyBorder="1"/>
    <xf numFmtId="173" fontId="51" fillId="2" borderId="0" xfId="2" applyNumberFormat="1" applyFont="1" applyFill="1" applyBorder="1"/>
    <xf numFmtId="173" fontId="9" fillId="2" borderId="34" xfId="2" applyNumberFormat="1" applyFont="1" applyFill="1" applyBorder="1" applyAlignment="1">
      <alignment horizontal="right"/>
    </xf>
    <xf numFmtId="173" fontId="9" fillId="2" borderId="35" xfId="2" applyNumberFormat="1" applyFont="1" applyFill="1" applyBorder="1" applyAlignment="1">
      <alignment horizontal="right"/>
    </xf>
    <xf numFmtId="173" fontId="5" fillId="0" borderId="0" xfId="2" applyNumberFormat="1" applyFont="1" applyBorder="1"/>
    <xf numFmtId="0" fontId="0" fillId="0" borderId="10" xfId="0" applyBorder="1"/>
    <xf numFmtId="0" fontId="52" fillId="0" borderId="13" xfId="0" applyFont="1" applyBorder="1" applyAlignment="1">
      <alignment vertical="center" wrapText="1"/>
    </xf>
    <xf numFmtId="0" fontId="52" fillId="0" borderId="0" xfId="0" applyFont="1" applyAlignment="1">
      <alignment vertical="center" wrapText="1"/>
    </xf>
    <xf numFmtId="0" fontId="52" fillId="0" borderId="14" xfId="0" applyFont="1" applyBorder="1" applyAlignment="1">
      <alignment vertical="center" wrapText="1"/>
    </xf>
    <xf numFmtId="0" fontId="2" fillId="6" borderId="1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2" fillId="0" borderId="41" xfId="4" applyBorder="1" applyAlignment="1">
      <alignment horizontal="center" vertical="center"/>
    </xf>
    <xf numFmtId="0" fontId="32" fillId="0" borderId="7" xfId="4" applyBorder="1" applyAlignment="1">
      <alignment horizontal="center" vertical="center"/>
    </xf>
    <xf numFmtId="0" fontId="32" fillId="0" borderId="42" xfId="4" applyBorder="1" applyAlignment="1">
      <alignment horizontal="center" vertical="center"/>
    </xf>
    <xf numFmtId="0" fontId="32" fillId="0" borderId="41" xfId="4" quotePrefix="1" applyBorder="1" applyAlignment="1">
      <alignment horizontal="center" vertical="center"/>
    </xf>
    <xf numFmtId="0" fontId="32" fillId="0" borderId="7" xfId="4" quotePrefix="1" applyBorder="1" applyAlignment="1">
      <alignment horizontal="center" vertical="center"/>
    </xf>
    <xf numFmtId="0" fontId="32" fillId="0" borderId="42" xfId="4" quotePrefix="1" applyBorder="1" applyAlignment="1">
      <alignment horizontal="center" vertical="center"/>
    </xf>
    <xf numFmtId="0" fontId="52" fillId="0" borderId="13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173" fontId="49" fillId="0" borderId="37" xfId="2" applyNumberFormat="1" applyFont="1" applyBorder="1"/>
    <xf numFmtId="173" fontId="49" fillId="0" borderId="0" xfId="2" applyNumberFormat="1" applyFont="1" applyBorder="1"/>
    <xf numFmtId="0" fontId="25" fillId="4" borderId="0" xfId="3" applyFont="1" applyFill="1" applyAlignment="1">
      <alignment horizontal="center" vertical="center"/>
    </xf>
    <xf numFmtId="0" fontId="28" fillId="0" borderId="20" xfId="0" applyFont="1" applyBorder="1" applyAlignment="1">
      <alignment horizontal="left"/>
    </xf>
    <xf numFmtId="0" fontId="31" fillId="0" borderId="0" xfId="0" applyFont="1" applyAlignment="1">
      <alignment horizontal="left" vertical="top"/>
    </xf>
    <xf numFmtId="0" fontId="2" fillId="3" borderId="0" xfId="0" applyFont="1" applyFill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38" fillId="2" borderId="26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9" fillId="2" borderId="26" xfId="0" applyFont="1" applyFill="1" applyBorder="1" applyAlignment="1">
      <alignment horizontal="center"/>
    </xf>
    <xf numFmtId="0" fontId="39" fillId="2" borderId="0" xfId="0" applyFont="1" applyFill="1" applyAlignment="1">
      <alignment horizontal="center"/>
    </xf>
    <xf numFmtId="0" fontId="39" fillId="2" borderId="27" xfId="0" applyFont="1" applyFill="1" applyBorder="1" applyAlignment="1">
      <alignment horizontal="center"/>
    </xf>
    <xf numFmtId="0" fontId="40" fillId="2" borderId="6" xfId="0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40" fillId="2" borderId="22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4" builtinId="8"/>
    <cellStyle name="Normal" xfId="0" builtinId="0"/>
    <cellStyle name="Normal 2" xfId="3" xr:uid="{142336C7-D719-44AA-B222-FBFB3376057D}"/>
    <cellStyle name="Percent" xfId="1" builtinId="5"/>
  </cellStyles>
  <dxfs count="0"/>
  <tableStyles count="0" defaultTableStyle="TableStyleMedium2" defaultPivotStyle="PivotStyleLight16"/>
  <colors>
    <mruColors>
      <color rgb="FFFF6600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42849320"/>
        <c:axId val="542849648"/>
      </c:barChart>
      <c:dateAx>
        <c:axId val="542849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648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54284964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3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</a:t>
            </a:r>
            <a:r>
              <a:rPr lang="en-IN" baseline="0"/>
              <a:t> Flow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DCF!$E$16:$I$16</c:f>
              <c:numCache>
                <c:formatCode>m/d/yyyy</c:formatCode>
                <c:ptCount val="5"/>
                <c:pt idx="0">
                  <c:v>46203</c:v>
                </c:pt>
                <c:pt idx="1">
                  <c:v>46568</c:v>
                </c:pt>
                <c:pt idx="2">
                  <c:v>46934</c:v>
                </c:pt>
                <c:pt idx="3">
                  <c:v>47299</c:v>
                </c:pt>
                <c:pt idx="4">
                  <c:v>47664</c:v>
                </c:pt>
              </c:numCache>
            </c:numRef>
          </c:cat>
          <c:val>
            <c:numRef>
              <c:f>DCF!$E$24:$I$24</c:f>
              <c:numCache>
                <c:formatCode>_-* #,##0_-;\(#,##0\)_-;_-* "-"_-;_-@_-</c:formatCode>
                <c:ptCount val="5"/>
                <c:pt idx="0">
                  <c:v>10119.299290571831</c:v>
                </c:pt>
                <c:pt idx="1">
                  <c:v>28453.342362918534</c:v>
                </c:pt>
                <c:pt idx="2">
                  <c:v>14090.960459130249</c:v>
                </c:pt>
                <c:pt idx="3">
                  <c:v>32472.546215968679</c:v>
                </c:pt>
                <c:pt idx="4">
                  <c:v>18480.692805525432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A-4331-9108-531F94CED1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5931712"/>
        <c:axId val="825932672"/>
      </c:barChart>
      <c:dateAx>
        <c:axId val="82593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32672"/>
        <c:crosses val="autoZero"/>
        <c:auto val="1"/>
        <c:lblOffset val="100"/>
        <c:baseTimeUnit val="years"/>
      </c:dateAx>
      <c:valAx>
        <c:axId val="825932672"/>
        <c:scaling>
          <c:orientation val="minMax"/>
        </c:scaling>
        <c:delete val="0"/>
        <c:axPos val="l"/>
        <c:numFmt formatCode="_-* #,##0_-;\(#,##0\)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Market Value  Vs  Intrinsic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Market Value  Vs  Intrinsic value</a:t>
          </a:r>
        </a:p>
      </cx:txPr>
    </cx:title>
    <cx:plotArea>
      <cx:plotAreaRegion>
        <cx:series layoutId="waterfall" uniqueId="{2D1057CD-185F-47D3-BE43-8061E2F5531E}"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1</xdr:row>
      <xdr:rowOff>132978</xdr:rowOff>
    </xdr:from>
    <xdr:to>
      <xdr:col>8</xdr:col>
      <xdr:colOff>571500</xdr:colOff>
      <xdr:row>9</xdr:row>
      <xdr:rowOff>39973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0D0CF5A-4512-A52C-89BA-7B8CAC787E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t="21802" b="24702"/>
        <a:stretch>
          <a:fillRect/>
        </a:stretch>
      </xdr:blipFill>
      <xdr:spPr>
        <a:xfrm>
          <a:off x="777875" y="323478"/>
          <a:ext cx="4206875" cy="1314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714376</xdr:colOff>
      <xdr:row>1</xdr:row>
      <xdr:rowOff>28575</xdr:rowOff>
    </xdr:from>
    <xdr:to>
      <xdr:col>9</xdr:col>
      <xdr:colOff>771525</xdr:colOff>
      <xdr:row>12</xdr:row>
      <xdr:rowOff>51063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524B0-1361-4543-8BC0-CAE0A4F54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581252</xdr:colOff>
      <xdr:row>1</xdr:row>
      <xdr:rowOff>188900</xdr:rowOff>
    </xdr:from>
    <xdr:to>
      <xdr:col>14</xdr:col>
      <xdr:colOff>185370</xdr:colOff>
      <xdr:row>13</xdr:row>
      <xdr:rowOff>121226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81892-6A61-CAA6-F509-6BFEAB54BE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7512" y="356540"/>
              <a:ext cx="3917038" cy="20506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591671</xdr:colOff>
      <xdr:row>1</xdr:row>
      <xdr:rowOff>192028</xdr:rowOff>
    </xdr:from>
    <xdr:to>
      <xdr:col>9</xdr:col>
      <xdr:colOff>353597</xdr:colOff>
      <xdr:row>13</xdr:row>
      <xdr:rowOff>100140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5059D9-DA84-343D-B943-9829C8B04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3B09-FA83-4301-B1B9-0CD8BE475736}">
  <sheetPr codeName="Sheet1"/>
  <dimension ref="C1:I43"/>
  <sheetViews>
    <sheetView showGridLines="0" zoomScale="112" workbookViewId="0">
      <selection activeCell="M20" sqref="M20"/>
    </sheetView>
  </sheetViews>
  <sheetFormatPr defaultRowHeight="14.4" x14ac:dyDescent="0.3"/>
  <cols>
    <col min="1" max="1" width="2" customWidth="1"/>
    <col min="14" max="14" width="92.77734375" customWidth="1"/>
  </cols>
  <sheetData>
    <row r="1" spans="3:9" ht="15" thickBot="1" x14ac:dyDescent="0.35"/>
    <row r="2" spans="3:9" ht="4.95" customHeight="1" x14ac:dyDescent="0.3">
      <c r="C2" s="214"/>
      <c r="D2" s="68"/>
      <c r="E2" s="68"/>
      <c r="F2" s="68"/>
      <c r="G2" s="68"/>
      <c r="H2" s="68"/>
      <c r="I2" s="69"/>
    </row>
    <row r="3" spans="3:9" x14ac:dyDescent="0.3">
      <c r="C3" s="72"/>
      <c r="I3" s="82"/>
    </row>
    <row r="4" spans="3:9" x14ac:dyDescent="0.3">
      <c r="C4" s="72"/>
      <c r="I4" s="82"/>
    </row>
    <row r="5" spans="3:9" x14ac:dyDescent="0.3">
      <c r="C5" s="72"/>
      <c r="I5" s="82"/>
    </row>
    <row r="6" spans="3:9" x14ac:dyDescent="0.3">
      <c r="C6" s="72"/>
      <c r="I6" s="82"/>
    </row>
    <row r="7" spans="3:9" x14ac:dyDescent="0.3">
      <c r="C7" s="72"/>
      <c r="I7" s="82"/>
    </row>
    <row r="8" spans="3:9" x14ac:dyDescent="0.3">
      <c r="C8" s="72"/>
      <c r="I8" s="82"/>
    </row>
    <row r="9" spans="3:9" x14ac:dyDescent="0.3">
      <c r="C9" s="72"/>
      <c r="I9" s="82"/>
    </row>
    <row r="10" spans="3:9" x14ac:dyDescent="0.3">
      <c r="C10" s="233" t="s">
        <v>255</v>
      </c>
      <c r="D10" s="234"/>
      <c r="E10" s="234"/>
      <c r="F10" s="234"/>
      <c r="G10" s="234"/>
      <c r="H10" s="234"/>
      <c r="I10" s="235"/>
    </row>
    <row r="11" spans="3:9" x14ac:dyDescent="0.3">
      <c r="C11" s="233"/>
      <c r="D11" s="234"/>
      <c r="E11" s="234"/>
      <c r="F11" s="234"/>
      <c r="G11" s="234"/>
      <c r="H11" s="234"/>
      <c r="I11" s="235"/>
    </row>
    <row r="12" spans="3:9" x14ac:dyDescent="0.3">
      <c r="C12" s="233"/>
      <c r="D12" s="234"/>
      <c r="E12" s="234"/>
      <c r="F12" s="234"/>
      <c r="G12" s="234"/>
      <c r="H12" s="234"/>
      <c r="I12" s="235"/>
    </row>
    <row r="13" spans="3:9" x14ac:dyDescent="0.3">
      <c r="C13" s="233"/>
      <c r="D13" s="234"/>
      <c r="E13" s="234"/>
      <c r="F13" s="234"/>
      <c r="G13" s="234"/>
      <c r="H13" s="234"/>
      <c r="I13" s="235"/>
    </row>
    <row r="14" spans="3:9" ht="4.95" customHeight="1" thickBot="1" x14ac:dyDescent="0.35">
      <c r="C14" s="215"/>
      <c r="D14" s="216"/>
      <c r="E14" s="216"/>
      <c r="F14" s="216"/>
      <c r="G14" s="216"/>
      <c r="H14" s="216"/>
      <c r="I14" s="217"/>
    </row>
    <row r="15" spans="3:9" ht="15" thickBot="1" x14ac:dyDescent="0.35">
      <c r="C15" s="72"/>
      <c r="D15" s="241">
        <v>1</v>
      </c>
      <c r="E15" s="230" t="s">
        <v>259</v>
      </c>
      <c r="F15" s="231"/>
      <c r="G15" s="232"/>
      <c r="H15" s="236" t="s">
        <v>258</v>
      </c>
      <c r="I15" s="82"/>
    </row>
    <row r="16" spans="3:9" ht="15" thickBot="1" x14ac:dyDescent="0.35">
      <c r="C16" s="72"/>
      <c r="D16" s="241"/>
      <c r="E16" s="230"/>
      <c r="F16" s="231"/>
      <c r="G16" s="232"/>
      <c r="H16" s="237"/>
      <c r="I16" s="82"/>
    </row>
    <row r="17" spans="3:9" ht="15" thickBot="1" x14ac:dyDescent="0.35">
      <c r="C17" s="72"/>
      <c r="D17" s="241">
        <v>2</v>
      </c>
      <c r="E17" s="227" t="s">
        <v>260</v>
      </c>
      <c r="F17" s="228"/>
      <c r="G17" s="229"/>
      <c r="H17" s="237"/>
      <c r="I17" s="82"/>
    </row>
    <row r="18" spans="3:9" ht="15" thickBot="1" x14ac:dyDescent="0.35">
      <c r="C18" s="72"/>
      <c r="D18" s="241"/>
      <c r="E18" s="227"/>
      <c r="F18" s="228"/>
      <c r="G18" s="229"/>
      <c r="H18" s="237"/>
      <c r="I18" s="82"/>
    </row>
    <row r="19" spans="3:9" ht="15" thickBot="1" x14ac:dyDescent="0.35">
      <c r="C19" s="72"/>
      <c r="D19" s="241">
        <v>3</v>
      </c>
      <c r="E19" s="227" t="s">
        <v>261</v>
      </c>
      <c r="F19" s="228"/>
      <c r="G19" s="229"/>
      <c r="H19" s="237"/>
      <c r="I19" s="82"/>
    </row>
    <row r="20" spans="3:9" ht="15" thickBot="1" x14ac:dyDescent="0.35">
      <c r="C20" s="72"/>
      <c r="D20" s="241"/>
      <c r="E20" s="227"/>
      <c r="F20" s="228"/>
      <c r="G20" s="229"/>
      <c r="H20" s="237"/>
      <c r="I20" s="82"/>
    </row>
    <row r="21" spans="3:9" ht="15" thickBot="1" x14ac:dyDescent="0.35">
      <c r="C21" s="72"/>
      <c r="D21" s="241">
        <v>4</v>
      </c>
      <c r="E21" s="227" t="s">
        <v>262</v>
      </c>
      <c r="F21" s="228"/>
      <c r="G21" s="229"/>
      <c r="H21" s="237"/>
      <c r="I21" s="82"/>
    </row>
    <row r="22" spans="3:9" ht="15" thickBot="1" x14ac:dyDescent="0.35">
      <c r="C22" s="72"/>
      <c r="D22" s="241"/>
      <c r="E22" s="227"/>
      <c r="F22" s="228"/>
      <c r="G22" s="229"/>
      <c r="H22" s="237"/>
      <c r="I22" s="82"/>
    </row>
    <row r="23" spans="3:9" ht="15" thickBot="1" x14ac:dyDescent="0.35">
      <c r="C23" s="72"/>
      <c r="D23" s="241">
        <v>5</v>
      </c>
      <c r="E23" s="227" t="s">
        <v>170</v>
      </c>
      <c r="F23" s="228"/>
      <c r="G23" s="229"/>
      <c r="H23" s="237"/>
      <c r="I23" s="82"/>
    </row>
    <row r="24" spans="3:9" ht="15" thickBot="1" x14ac:dyDescent="0.35">
      <c r="C24" s="72"/>
      <c r="D24" s="241"/>
      <c r="E24" s="227"/>
      <c r="F24" s="228"/>
      <c r="G24" s="229"/>
      <c r="H24" s="238"/>
      <c r="I24" s="82"/>
    </row>
    <row r="25" spans="3:9" ht="15" thickBot="1" x14ac:dyDescent="0.35">
      <c r="C25" s="72"/>
      <c r="D25" s="241">
        <v>6</v>
      </c>
      <c r="E25" s="230" t="s">
        <v>263</v>
      </c>
      <c r="F25" s="231"/>
      <c r="G25" s="232"/>
      <c r="H25" s="236" t="s">
        <v>256</v>
      </c>
      <c r="I25" s="82"/>
    </row>
    <row r="26" spans="3:9" ht="15" thickBot="1" x14ac:dyDescent="0.35">
      <c r="C26" s="72"/>
      <c r="D26" s="241"/>
      <c r="E26" s="230"/>
      <c r="F26" s="231"/>
      <c r="G26" s="232"/>
      <c r="H26" s="237"/>
      <c r="I26" s="82"/>
    </row>
    <row r="27" spans="3:9" ht="15" thickBot="1" x14ac:dyDescent="0.35">
      <c r="C27" s="72"/>
      <c r="D27" s="241">
        <v>7</v>
      </c>
      <c r="E27" s="227" t="s">
        <v>264</v>
      </c>
      <c r="F27" s="228"/>
      <c r="G27" s="229"/>
      <c r="H27" s="237"/>
      <c r="I27" s="82"/>
    </row>
    <row r="28" spans="3:9" ht="15" thickBot="1" x14ac:dyDescent="0.35">
      <c r="C28" s="72"/>
      <c r="D28" s="241"/>
      <c r="E28" s="227"/>
      <c r="F28" s="228"/>
      <c r="G28" s="229"/>
      <c r="H28" s="238"/>
      <c r="I28" s="82"/>
    </row>
    <row r="29" spans="3:9" ht="15" thickBot="1" x14ac:dyDescent="0.35">
      <c r="C29" s="72"/>
      <c r="D29" s="241">
        <v>8</v>
      </c>
      <c r="E29" s="227" t="s">
        <v>265</v>
      </c>
      <c r="F29" s="228"/>
      <c r="G29" s="229"/>
      <c r="H29" s="239" t="s">
        <v>257</v>
      </c>
      <c r="I29" s="82"/>
    </row>
    <row r="30" spans="3:9" ht="15" thickBot="1" x14ac:dyDescent="0.35">
      <c r="C30" s="72"/>
      <c r="D30" s="241"/>
      <c r="E30" s="227"/>
      <c r="F30" s="228"/>
      <c r="G30" s="229"/>
      <c r="H30" s="240"/>
      <c r="I30" s="82"/>
    </row>
    <row r="31" spans="3:9" ht="4.95" customHeight="1" x14ac:dyDescent="0.3">
      <c r="C31" s="72"/>
      <c r="I31" s="82"/>
    </row>
    <row r="32" spans="3:9" x14ac:dyDescent="0.3">
      <c r="C32" s="218" t="s">
        <v>267</v>
      </c>
      <c r="D32" s="219"/>
      <c r="E32" s="219"/>
      <c r="F32" s="219"/>
      <c r="G32" s="219"/>
      <c r="H32" s="219"/>
      <c r="I32" s="220"/>
    </row>
    <row r="33" spans="3:9" x14ac:dyDescent="0.3">
      <c r="C33" s="221" t="s">
        <v>266</v>
      </c>
      <c r="D33" s="222"/>
      <c r="E33" s="222"/>
      <c r="F33" s="222"/>
      <c r="G33" s="222"/>
      <c r="H33" s="222"/>
      <c r="I33" s="223"/>
    </row>
    <row r="34" spans="3:9" x14ac:dyDescent="0.3">
      <c r="C34" s="221"/>
      <c r="D34" s="222"/>
      <c r="E34" s="222"/>
      <c r="F34" s="222"/>
      <c r="G34" s="222"/>
      <c r="H34" s="222"/>
      <c r="I34" s="223"/>
    </row>
    <row r="35" spans="3:9" x14ac:dyDescent="0.3">
      <c r="C35" s="221"/>
      <c r="D35" s="222"/>
      <c r="E35" s="222"/>
      <c r="F35" s="222"/>
      <c r="G35" s="222"/>
      <c r="H35" s="222"/>
      <c r="I35" s="223"/>
    </row>
    <row r="36" spans="3:9" x14ac:dyDescent="0.3">
      <c r="C36" s="221"/>
      <c r="D36" s="222"/>
      <c r="E36" s="222"/>
      <c r="F36" s="222"/>
      <c r="G36" s="222"/>
      <c r="H36" s="222"/>
      <c r="I36" s="223"/>
    </row>
    <row r="37" spans="3:9" x14ac:dyDescent="0.3">
      <c r="C37" s="221"/>
      <c r="D37" s="222"/>
      <c r="E37" s="222"/>
      <c r="F37" s="222"/>
      <c r="G37" s="222"/>
      <c r="H37" s="222"/>
      <c r="I37" s="223"/>
    </row>
    <row r="38" spans="3:9" x14ac:dyDescent="0.3">
      <c r="C38" s="221"/>
      <c r="D38" s="222"/>
      <c r="E38" s="222"/>
      <c r="F38" s="222"/>
      <c r="G38" s="222"/>
      <c r="H38" s="222"/>
      <c r="I38" s="223"/>
    </row>
    <row r="39" spans="3:9" x14ac:dyDescent="0.3">
      <c r="C39" s="218" t="s">
        <v>268</v>
      </c>
      <c r="D39" s="219"/>
      <c r="E39" s="219"/>
      <c r="F39" s="219"/>
      <c r="G39" s="219"/>
      <c r="H39" s="219"/>
      <c r="I39" s="220"/>
    </row>
    <row r="40" spans="3:9" ht="14.4" customHeight="1" x14ac:dyDescent="0.3">
      <c r="C40" s="221" t="s">
        <v>269</v>
      </c>
      <c r="D40" s="222"/>
      <c r="E40" s="222"/>
      <c r="F40" s="222"/>
      <c r="G40" s="222"/>
      <c r="H40" s="222"/>
      <c r="I40" s="223"/>
    </row>
    <row r="41" spans="3:9" x14ac:dyDescent="0.3">
      <c r="C41" s="221"/>
      <c r="D41" s="222"/>
      <c r="E41" s="222"/>
      <c r="F41" s="222"/>
      <c r="G41" s="222"/>
      <c r="H41" s="222"/>
      <c r="I41" s="223"/>
    </row>
    <row r="42" spans="3:9" x14ac:dyDescent="0.3">
      <c r="C42" s="221"/>
      <c r="D42" s="222"/>
      <c r="E42" s="222"/>
      <c r="F42" s="222"/>
      <c r="G42" s="222"/>
      <c r="H42" s="222"/>
      <c r="I42" s="223"/>
    </row>
    <row r="43" spans="3:9" ht="15" thickBot="1" x14ac:dyDescent="0.35">
      <c r="C43" s="224"/>
      <c r="D43" s="225"/>
      <c r="E43" s="225"/>
      <c r="F43" s="225"/>
      <c r="G43" s="225"/>
      <c r="H43" s="225"/>
      <c r="I43" s="226"/>
    </row>
  </sheetData>
  <sheetProtection algorithmName="SHA-512" hashValue="EUY/YE5RWyq9SWgwy3I9zAEC3PcM0H4k8f0vkSTAcwy2c071PbIWEXvNpSVqygztZL3iPJ2sOWTmxtpJdusn8Q==" saltValue="1jt0xtlDWy7PkK6VL0FmIw==" spinCount="100000" sheet="1" objects="1" scenarios="1"/>
  <mergeCells count="24">
    <mergeCell ref="C10:I13"/>
    <mergeCell ref="H15:H24"/>
    <mergeCell ref="H25:H28"/>
    <mergeCell ref="H29:H30"/>
    <mergeCell ref="E15:G16"/>
    <mergeCell ref="E17:G18"/>
    <mergeCell ref="E19:G20"/>
    <mergeCell ref="D21:D22"/>
    <mergeCell ref="D23:D24"/>
    <mergeCell ref="D25:D26"/>
    <mergeCell ref="D27:D28"/>
    <mergeCell ref="D29:D30"/>
    <mergeCell ref="D15:D16"/>
    <mergeCell ref="D17:D18"/>
    <mergeCell ref="D19:D20"/>
    <mergeCell ref="C32:I32"/>
    <mergeCell ref="C39:I39"/>
    <mergeCell ref="C40:I43"/>
    <mergeCell ref="C33:I38"/>
    <mergeCell ref="E21:G22"/>
    <mergeCell ref="E23:G24"/>
    <mergeCell ref="E25:G26"/>
    <mergeCell ref="E27:G28"/>
    <mergeCell ref="E29:G30"/>
  </mergeCells>
  <hyperlinks>
    <hyperlink ref="E15" location="'P&amp;L'!A1" display="'P&amp;L'!A1" xr:uid="{C5FD537C-1F53-4961-ACD6-7074F2379A69}"/>
    <hyperlink ref="E17" location="BS!A1" display="BS!A1" xr:uid="{9C63DF16-E0AB-45D7-83A8-BA23FFFA1B39}"/>
    <hyperlink ref="E19" location="CFS!A1" display="CFS!A1" xr:uid="{8614FBC5-3AD6-4EFE-8937-B9740073727B}"/>
    <hyperlink ref="E21" location="DCF!A1" display="DCF!A1" xr:uid="{5A5EEACC-C2C5-4E59-B238-1AEE7C49182E}"/>
    <hyperlink ref="E23" location="WACC!A1" display="WACC!A1" xr:uid="{30974E64-2309-463A-8680-866AA7D08F0D}"/>
    <hyperlink ref="E25" location="'rP&amp;L'!A1" display="'rP&amp;L'!A1" xr:uid="{5CE5FFF3-8783-4B63-A082-5A9ACFC26091}"/>
    <hyperlink ref="E27" location="rBS!A1" display="rBS!A1" xr:uid="{131B2108-8F90-46A6-BC8E-CB1606824564}"/>
    <hyperlink ref="E29" location="Sheet2!A1" display="Sheet2!A1" xr:uid="{A5244476-0C2F-4B85-B9A5-D78B93000A34}"/>
    <hyperlink ref="E29:G30" location="rdcf!A1" display="DCF" xr:uid="{5AE7DF45-1012-4B56-B039-3CB6A48B606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C35B-E007-4E7A-9B27-386C45BE9ECB}">
  <sheetPr codeName="Sheet2"/>
  <dimension ref="A1:M66"/>
  <sheetViews>
    <sheetView showGridLines="0" tabSelected="1" zoomScale="85"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2" style="27" customWidth="1"/>
    <col min="2" max="2" width="76.6640625" customWidth="1"/>
    <col min="3" max="11" width="15.77734375" customWidth="1"/>
    <col min="12" max="12" width="10.33203125" bestFit="1" customWidth="1"/>
  </cols>
  <sheetData>
    <row r="1" spans="1:13" x14ac:dyDescent="0.3">
      <c r="B1" s="41" t="s">
        <v>0</v>
      </c>
      <c r="C1" s="42">
        <v>44652</v>
      </c>
      <c r="D1" s="42">
        <f t="shared" ref="D1:K1" si="0">EDATE(C1,12)</f>
        <v>45017</v>
      </c>
      <c r="E1" s="42">
        <f t="shared" si="0"/>
        <v>45383</v>
      </c>
      <c r="F1" s="42">
        <f t="shared" si="0"/>
        <v>45748</v>
      </c>
      <c r="G1" s="43">
        <f t="shared" si="0"/>
        <v>46113</v>
      </c>
      <c r="H1" s="43">
        <f t="shared" si="0"/>
        <v>46478</v>
      </c>
      <c r="I1" s="43">
        <f t="shared" si="0"/>
        <v>46844</v>
      </c>
      <c r="J1" s="43">
        <f t="shared" si="0"/>
        <v>47209</v>
      </c>
      <c r="K1" s="43">
        <f t="shared" si="0"/>
        <v>47574</v>
      </c>
    </row>
    <row r="2" spans="1:13" x14ac:dyDescent="0.3">
      <c r="B2" s="1" t="s">
        <v>23</v>
      </c>
      <c r="C2" s="2"/>
    </row>
    <row r="3" spans="1:13" x14ac:dyDescent="0.3">
      <c r="B3" s="2" t="s">
        <v>24</v>
      </c>
      <c r="C3" s="15">
        <v>168342</v>
      </c>
      <c r="D3" s="15">
        <v>198646</v>
      </c>
      <c r="E3" s="15">
        <v>213520</v>
      </c>
      <c r="F3" s="15">
        <v>243666.38</v>
      </c>
      <c r="G3" s="23">
        <f>SUM('rP&amp;L'!H3,'rP&amp;L'!H5,'rP&amp;L'!H7,'rP&amp;L'!H9,'rP&amp;L'!H11)</f>
        <v>265983.59700000001</v>
      </c>
      <c r="H3" s="23">
        <f>SUM('rP&amp;L'!I3,'rP&amp;L'!I5,'rP&amp;L'!I7,'rP&amp;L'!I9,'rP&amp;L'!I11)</f>
        <v>290355.34832600009</v>
      </c>
      <c r="I3" s="23">
        <f>SUM('rP&amp;L'!J3,'rP&amp;L'!J5,'rP&amp;L'!J7,'rP&amp;L'!J9,'rP&amp;L'!J11)</f>
        <v>316972.01180886006</v>
      </c>
      <c r="J3" s="23">
        <f>SUM('rP&amp;L'!K3,'rP&amp;L'!K5,'rP&amp;L'!K7,'rP&amp;L'!K9,'rP&amp;L'!K11)</f>
        <v>346041.75080979994</v>
      </c>
      <c r="K3" s="23">
        <f>SUM('rP&amp;L'!L3,'rP&amp;L'!L5,'rP&amp;L'!L7,'rP&amp;L'!L9,'rP&amp;L'!L11)</f>
        <v>377792.19261686143</v>
      </c>
      <c r="L3" s="44"/>
    </row>
    <row r="4" spans="1:13" x14ac:dyDescent="0.3">
      <c r="L4" s="44"/>
    </row>
    <row r="5" spans="1:13" x14ac:dyDescent="0.3">
      <c r="A5" s="27" t="s">
        <v>71</v>
      </c>
      <c r="B5" s="6" t="s">
        <v>165</v>
      </c>
      <c r="C5" s="25">
        <f t="shared" ref="C5:K5" si="1">SUM(C3)</f>
        <v>168342</v>
      </c>
      <c r="D5" s="25">
        <f t="shared" si="1"/>
        <v>198646</v>
      </c>
      <c r="E5" s="25">
        <f t="shared" si="1"/>
        <v>213520</v>
      </c>
      <c r="F5" s="25">
        <f t="shared" si="1"/>
        <v>243666.38</v>
      </c>
      <c r="G5" s="25">
        <f>SUM(G3)</f>
        <v>265983.59700000001</v>
      </c>
      <c r="H5" s="25">
        <f t="shared" si="1"/>
        <v>290355.34832600009</v>
      </c>
      <c r="I5" s="25">
        <f t="shared" si="1"/>
        <v>316972.01180886006</v>
      </c>
      <c r="J5" s="25">
        <f t="shared" si="1"/>
        <v>346041.75080979994</v>
      </c>
      <c r="K5" s="25">
        <f t="shared" si="1"/>
        <v>377792.19261686143</v>
      </c>
      <c r="L5" s="44"/>
      <c r="M5" s="60"/>
    </row>
    <row r="6" spans="1:13" x14ac:dyDescent="0.3">
      <c r="B6" s="2"/>
      <c r="C6" s="3"/>
      <c r="D6" s="3"/>
      <c r="E6" s="3"/>
      <c r="F6" s="3"/>
    </row>
    <row r="7" spans="1:13" x14ac:dyDescent="0.3">
      <c r="B7" s="2" t="s">
        <v>26</v>
      </c>
      <c r="C7" s="15">
        <v>100322</v>
      </c>
      <c r="D7" s="15">
        <v>123608</v>
      </c>
      <c r="E7" s="15">
        <v>129160.49</v>
      </c>
      <c r="F7" s="15">
        <v>147405.5</v>
      </c>
      <c r="L7" s="44"/>
    </row>
    <row r="8" spans="1:13" x14ac:dyDescent="0.3">
      <c r="B8" s="2" t="s">
        <v>27</v>
      </c>
      <c r="C8" s="15">
        <v>14917</v>
      </c>
      <c r="D8" s="15">
        <v>18788</v>
      </c>
      <c r="E8" s="15">
        <v>19357.72</v>
      </c>
      <c r="F8" s="15">
        <v>19729.36</v>
      </c>
      <c r="L8" s="44"/>
    </row>
    <row r="9" spans="1:13" x14ac:dyDescent="0.3">
      <c r="B9" s="2" t="s">
        <v>28</v>
      </c>
      <c r="C9" s="15">
        <v>2766</v>
      </c>
      <c r="D9" s="15">
        <v>-2115</v>
      </c>
      <c r="E9" s="15">
        <v>783.57</v>
      </c>
      <c r="F9" s="15">
        <v>-1333.98</v>
      </c>
      <c r="L9" s="44"/>
    </row>
    <row r="10" spans="1:13" ht="15" thickBot="1" x14ac:dyDescent="0.35">
      <c r="B10" s="1" t="s">
        <v>122</v>
      </c>
      <c r="C10" s="31">
        <f>SUM(C7:C9)</f>
        <v>118005</v>
      </c>
      <c r="D10" s="31">
        <f t="shared" ref="D10:F10" si="2">SUM(D7:D9)</f>
        <v>140281</v>
      </c>
      <c r="E10" s="31">
        <f t="shared" si="2"/>
        <v>149301.78000000003</v>
      </c>
      <c r="F10" s="31">
        <f t="shared" si="2"/>
        <v>165800.87999999998</v>
      </c>
      <c r="G10" s="31">
        <f>'rP&amp;L'!$H$17*'P&amp;L'!G3</f>
        <v>185314.23095769639</v>
      </c>
      <c r="H10" s="31">
        <f>'rP&amp;L'!$H$17*'P&amp;L'!H3</f>
        <v>202294.34704383957</v>
      </c>
      <c r="I10" s="31">
        <f>'rP&amp;L'!$H$17*'P&amp;L'!I3</f>
        <v>220838.52262315544</v>
      </c>
      <c r="J10" s="31">
        <f>'rP&amp;L'!$H$17*'P&amp;L'!J3</f>
        <v>241091.7878164227</v>
      </c>
      <c r="K10" s="31">
        <f>'rP&amp;L'!$H$17*'P&amp;L'!K3</f>
        <v>263212.73351535125</v>
      </c>
      <c r="L10" s="31"/>
    </row>
    <row r="11" spans="1:13" ht="15" thickBot="1" x14ac:dyDescent="0.35">
      <c r="A11" s="27" t="s">
        <v>71</v>
      </c>
      <c r="B11" s="47" t="s">
        <v>123</v>
      </c>
      <c r="C11" s="48">
        <f>C5-C10</f>
        <v>50337</v>
      </c>
      <c r="D11" s="48">
        <f>D5-D10</f>
        <v>58365</v>
      </c>
      <c r="E11" s="48">
        <f>E5-E10</f>
        <v>64218.219999999972</v>
      </c>
      <c r="F11" s="48">
        <f>F5-F10</f>
        <v>77865.500000000029</v>
      </c>
      <c r="G11" s="48">
        <f t="shared" ref="G11:K11" si="3">G5-G10</f>
        <v>80669.36604230362</v>
      </c>
      <c r="H11" s="48">
        <f t="shared" si="3"/>
        <v>88061.00128216052</v>
      </c>
      <c r="I11" s="48">
        <f t="shared" si="3"/>
        <v>96133.489185704617</v>
      </c>
      <c r="J11" s="48">
        <f t="shared" si="3"/>
        <v>104949.96299337724</v>
      </c>
      <c r="K11" s="48">
        <f t="shared" si="3"/>
        <v>114579.45910151018</v>
      </c>
      <c r="L11" s="44"/>
    </row>
    <row r="12" spans="1:13" x14ac:dyDescent="0.3">
      <c r="B12" s="1"/>
      <c r="C12" s="31"/>
      <c r="D12" s="31"/>
      <c r="E12" s="31"/>
      <c r="F12" s="31"/>
      <c r="L12" s="44"/>
    </row>
    <row r="13" spans="1:13" x14ac:dyDescent="0.3">
      <c r="B13" s="2" t="s">
        <v>29</v>
      </c>
      <c r="C13" s="15">
        <v>7255</v>
      </c>
      <c r="D13" s="15">
        <v>7992</v>
      </c>
      <c r="E13" s="15">
        <v>8868.24</v>
      </c>
      <c r="F13" s="15">
        <v>9627.94</v>
      </c>
      <c r="L13" s="44"/>
    </row>
    <row r="14" spans="1:13" x14ac:dyDescent="0.3">
      <c r="B14" s="2" t="s">
        <v>31</v>
      </c>
      <c r="C14" s="15">
        <v>25995</v>
      </c>
      <c r="D14" s="15">
        <v>31380</v>
      </c>
      <c r="E14" s="15">
        <v>33101.25</v>
      </c>
      <c r="F14" s="15">
        <v>37136.32</v>
      </c>
      <c r="L14" s="44"/>
    </row>
    <row r="15" spans="1:13" ht="15" thickBot="1" x14ac:dyDescent="0.35">
      <c r="B15" s="1" t="s">
        <v>124</v>
      </c>
      <c r="C15" s="31">
        <f>SUM(C13:C14)</f>
        <v>33250</v>
      </c>
      <c r="D15" s="31">
        <f>SUM(D13:D14)</f>
        <v>39372</v>
      </c>
      <c r="E15" s="31">
        <f>SUM(E13:E14)</f>
        <v>41969.49</v>
      </c>
      <c r="F15" s="31">
        <f>SUM(F13:F14)</f>
        <v>46764.26</v>
      </c>
      <c r="G15" s="31">
        <f>'rP&amp;L'!$H$19*'P&amp;L'!G3</f>
        <v>52145.792782043151</v>
      </c>
      <c r="H15" s="31">
        <f>'rP&amp;L'!$H$19*'P&amp;L'!H3</f>
        <v>56923.847927981667</v>
      </c>
      <c r="I15" s="31">
        <f>'rP&amp;L'!$H$19*'P&amp;L'!I3</f>
        <v>62142.015642762177</v>
      </c>
      <c r="J15" s="31">
        <f>'rP&amp;L'!$H$19*'P&amp;L'!J3</f>
        <v>67841.106125289516</v>
      </c>
      <c r="K15" s="31">
        <f>'rP&amp;L'!$H$19*'P&amp;L'!K3</f>
        <v>74065.745455997385</v>
      </c>
      <c r="L15" s="44"/>
    </row>
    <row r="16" spans="1:13" ht="15" thickBot="1" x14ac:dyDescent="0.35">
      <c r="B16" s="47" t="s">
        <v>125</v>
      </c>
      <c r="C16" s="48">
        <f>C11-C15</f>
        <v>17087</v>
      </c>
      <c r="D16" s="48">
        <f>D11-D15</f>
        <v>18993</v>
      </c>
      <c r="E16" s="48">
        <f>E11-E15</f>
        <v>22248.729999999974</v>
      </c>
      <c r="F16" s="48">
        <f>F11-F15</f>
        <v>31101.240000000027</v>
      </c>
      <c r="G16" s="48">
        <f t="shared" ref="G16:K16" si="4">G11-G15</f>
        <v>28523.573260260469</v>
      </c>
      <c r="H16" s="48">
        <f t="shared" si="4"/>
        <v>31137.153354178852</v>
      </c>
      <c r="I16" s="48">
        <f t="shared" si="4"/>
        <v>33991.47354294244</v>
      </c>
      <c r="J16" s="48">
        <f t="shared" si="4"/>
        <v>37108.856868087722</v>
      </c>
      <c r="K16" s="48">
        <f t="shared" si="4"/>
        <v>40513.713645512791</v>
      </c>
      <c r="L16" s="44"/>
    </row>
    <row r="17" spans="1:12" x14ac:dyDescent="0.3">
      <c r="L17" s="44"/>
    </row>
    <row r="18" spans="1:12" ht="15" thickBot="1" x14ac:dyDescent="0.35">
      <c r="B18" s="2" t="s">
        <v>30</v>
      </c>
      <c r="C18" s="15">
        <v>2584</v>
      </c>
      <c r="D18" s="15">
        <v>3004</v>
      </c>
      <c r="E18" s="15">
        <v>3643.69</v>
      </c>
      <c r="F18" s="15">
        <v>3803.57</v>
      </c>
      <c r="G18" s="31">
        <f>rBS!H26</f>
        <v>4305.2535356245871</v>
      </c>
      <c r="H18" s="31">
        <f>rBS!I26</f>
        <v>4933.7588929699677</v>
      </c>
      <c r="I18" s="31">
        <f>rBS!J26</f>
        <v>5619.8667103608859</v>
      </c>
      <c r="J18" s="31">
        <f>rBS!K26</f>
        <v>6368.8843825919157</v>
      </c>
      <c r="K18" s="31">
        <f>rBS!L26</f>
        <v>7186.6116244004343</v>
      </c>
      <c r="L18" s="44"/>
    </row>
    <row r="19" spans="1:12" ht="15" thickBot="1" x14ac:dyDescent="0.35">
      <c r="B19" s="47" t="s">
        <v>126</v>
      </c>
      <c r="C19" s="48">
        <f>C16-C18</f>
        <v>14503</v>
      </c>
      <c r="D19" s="48">
        <f t="shared" ref="D19:J19" si="5">D16-D18</f>
        <v>15989</v>
      </c>
      <c r="E19" s="48">
        <f t="shared" si="5"/>
        <v>18605.039999999975</v>
      </c>
      <c r="F19" s="48">
        <f t="shared" si="5"/>
        <v>27297.670000000027</v>
      </c>
      <c r="G19" s="48">
        <f>G16-G18</f>
        <v>24218.319724635883</v>
      </c>
      <c r="H19" s="48">
        <f t="shared" si="5"/>
        <v>26203.394461208885</v>
      </c>
      <c r="I19" s="48">
        <f t="shared" si="5"/>
        <v>28371.606832581554</v>
      </c>
      <c r="J19" s="48">
        <f t="shared" si="5"/>
        <v>30739.972485495804</v>
      </c>
      <c r="K19" s="48">
        <f>K16-K18</f>
        <v>33327.102021112354</v>
      </c>
      <c r="L19" s="44"/>
    </row>
    <row r="20" spans="1:12" x14ac:dyDescent="0.3">
      <c r="B20" s="1"/>
      <c r="C20" s="31"/>
      <c r="D20" s="31"/>
      <c r="E20" s="31"/>
      <c r="F20" s="31"/>
      <c r="G20" s="31"/>
      <c r="H20" s="31"/>
      <c r="I20" s="31"/>
      <c r="J20" s="31"/>
      <c r="K20" s="31"/>
      <c r="L20" s="44"/>
    </row>
    <row r="21" spans="1:12" x14ac:dyDescent="0.3">
      <c r="B21" s="2" t="s">
        <v>25</v>
      </c>
      <c r="C21" s="15">
        <v>2038</v>
      </c>
      <c r="D21" s="15">
        <v>2440</v>
      </c>
      <c r="E21" s="15">
        <v>2051.1799999999998</v>
      </c>
      <c r="F21" s="15">
        <v>2639.9</v>
      </c>
      <c r="G21" s="23">
        <f>'rP&amp;L'!H14</f>
        <v>2816.3284353492909</v>
      </c>
      <c r="H21" s="23">
        <f>'rP&amp;L'!I14</f>
        <v>3004.5478449020738</v>
      </c>
      <c r="I21" s="23">
        <f>'rP&amp;L'!J14</f>
        <v>3205.3462369654685</v>
      </c>
      <c r="J21" s="23">
        <f>'rP&amp;L'!K14</f>
        <v>3419.5642836113848</v>
      </c>
      <c r="K21" s="23">
        <f>'rP&amp;L'!L14</f>
        <v>3648.0988402740895</v>
      </c>
      <c r="L21" s="44"/>
    </row>
    <row r="22" spans="1:12" ht="15" thickBot="1" x14ac:dyDescent="0.35">
      <c r="A22" s="27" t="s">
        <v>71</v>
      </c>
      <c r="B22" s="2" t="s">
        <v>127</v>
      </c>
      <c r="C22" s="15">
        <v>225</v>
      </c>
      <c r="D22" s="15">
        <v>226</v>
      </c>
      <c r="E22" s="15">
        <v>285.05</v>
      </c>
      <c r="F22" s="15">
        <v>306.45999999999998</v>
      </c>
      <c r="G22" s="59">
        <f>'rP&amp;L'!$H$21*rBS!H40</f>
        <v>313.41851162028621</v>
      </c>
      <c r="H22" s="59">
        <f>'rP&amp;L'!$H$21*rBS!I40</f>
        <v>313.41851162028621</v>
      </c>
      <c r="I22" s="59">
        <f>'rP&amp;L'!$H$21*rBS!J40</f>
        <v>313.41851162028621</v>
      </c>
      <c r="J22" s="59">
        <f>'rP&amp;L'!$H$21*rBS!K40</f>
        <v>313.41851162028621</v>
      </c>
      <c r="K22" s="59">
        <f>'rP&amp;L'!$H$21*rBS!L40</f>
        <v>313.41851162028621</v>
      </c>
    </row>
    <row r="23" spans="1:12" ht="16.8" thickTop="1" thickBot="1" x14ac:dyDescent="0.35">
      <c r="B23" s="7" t="s">
        <v>32</v>
      </c>
      <c r="C23" s="28">
        <f t="shared" ref="C23:F23" si="6">C19-C22+C21</f>
        <v>16316</v>
      </c>
      <c r="D23" s="28">
        <f t="shared" si="6"/>
        <v>18203</v>
      </c>
      <c r="E23" s="28">
        <f t="shared" si="6"/>
        <v>20371.169999999976</v>
      </c>
      <c r="F23" s="28">
        <f t="shared" si="6"/>
        <v>29631.11000000003</v>
      </c>
      <c r="G23" s="28">
        <f>G19-G22+G21</f>
        <v>26721.22964836489</v>
      </c>
      <c r="H23" s="28">
        <f t="shared" ref="H23" si="7">H19-H22+H21</f>
        <v>28894.523794490673</v>
      </c>
      <c r="I23" s="28">
        <f t="shared" ref="I23" si="8">I19-I22+I21</f>
        <v>31263.534557926738</v>
      </c>
      <c r="J23" s="28">
        <f t="shared" ref="J23" si="9">J19-J22+J21</f>
        <v>33846.118257486902</v>
      </c>
      <c r="K23" s="28">
        <f t="shared" ref="K23" si="10">K19-K22+K21</f>
        <v>36661.782349766159</v>
      </c>
      <c r="L23" s="44"/>
    </row>
    <row r="24" spans="1:12" ht="16.2" thickTop="1" x14ac:dyDescent="0.3">
      <c r="A24" s="27" t="s">
        <v>71</v>
      </c>
      <c r="B24" s="29"/>
      <c r="C24" s="30"/>
      <c r="D24" s="30"/>
      <c r="E24" s="30"/>
      <c r="F24" s="30"/>
    </row>
    <row r="25" spans="1:12" x14ac:dyDescent="0.3">
      <c r="B25" s="1" t="s">
        <v>33</v>
      </c>
      <c r="C25" s="2"/>
      <c r="D25" s="2"/>
      <c r="E25" s="2"/>
      <c r="F25" s="2"/>
    </row>
    <row r="26" spans="1:12" x14ac:dyDescent="0.3">
      <c r="B26" s="2" t="s">
        <v>88</v>
      </c>
      <c r="C26" s="15">
        <v>4108</v>
      </c>
      <c r="D26" s="15">
        <v>4794</v>
      </c>
      <c r="E26" s="15">
        <v>5567.39</v>
      </c>
      <c r="F26" s="15">
        <v>7900.87</v>
      </c>
      <c r="L26" s="44"/>
    </row>
    <row r="27" spans="1:12" x14ac:dyDescent="0.3">
      <c r="B27" s="2" t="s">
        <v>89</v>
      </c>
      <c r="C27" s="15">
        <v>5</v>
      </c>
      <c r="D27" s="15">
        <v>14</v>
      </c>
      <c r="E27" s="15">
        <v>40.08</v>
      </c>
      <c r="F27" s="15">
        <v>-1.06</v>
      </c>
    </row>
    <row r="28" spans="1:12" x14ac:dyDescent="0.3">
      <c r="B28" s="2" t="s">
        <v>90</v>
      </c>
      <c r="C28" s="15">
        <v>147</v>
      </c>
      <c r="D28" s="15">
        <v>-85</v>
      </c>
      <c r="E28" s="15">
        <v>-346.98</v>
      </c>
      <c r="F28" s="15">
        <v>-302.18</v>
      </c>
      <c r="L28" s="44"/>
    </row>
    <row r="29" spans="1:12" x14ac:dyDescent="0.3">
      <c r="B29" s="6" t="s">
        <v>34</v>
      </c>
      <c r="C29" s="25">
        <f>SUM(C26:C28)</f>
        <v>4260</v>
      </c>
      <c r="D29" s="25">
        <f>SUM(D26:D28)</f>
        <v>4723</v>
      </c>
      <c r="E29" s="25">
        <f>SUM(E26:E28)</f>
        <v>5260.49</v>
      </c>
      <c r="F29" s="25">
        <f>SUM(F26:F28)</f>
        <v>7597.6299999999992</v>
      </c>
      <c r="G29" s="25">
        <f>G23*'rP&amp;L'!$H$23</f>
        <v>6680.3074120912224</v>
      </c>
      <c r="H29" s="25">
        <f>H23*'rP&amp;L'!$H$23</f>
        <v>7223.6309486226683</v>
      </c>
      <c r="I29" s="25">
        <f>I23*'rP&amp;L'!$H$23</f>
        <v>7815.8836394816844</v>
      </c>
      <c r="J29" s="25">
        <f>J23*'rP&amp;L'!$H$23</f>
        <v>8461.5295643717254</v>
      </c>
      <c r="K29" s="25">
        <f>K23*'rP&amp;L'!$H$23</f>
        <v>9165.4455874415398</v>
      </c>
      <c r="L29" s="44"/>
    </row>
    <row r="30" spans="1:12" ht="15" thickBot="1" x14ac:dyDescent="0.35">
      <c r="A30" s="27" t="s">
        <v>71</v>
      </c>
      <c r="B30" s="1"/>
      <c r="C30" s="31"/>
      <c r="D30" s="31"/>
      <c r="E30" s="31"/>
      <c r="F30" s="31"/>
    </row>
    <row r="31" spans="1:12" ht="16.8" thickTop="1" thickBot="1" x14ac:dyDescent="0.35">
      <c r="B31" s="7" t="s">
        <v>114</v>
      </c>
      <c r="C31" s="28">
        <f>C23-C29</f>
        <v>12056</v>
      </c>
      <c r="D31" s="28">
        <f>D23-D29</f>
        <v>13480</v>
      </c>
      <c r="E31" s="28">
        <f>E23-E29</f>
        <v>15110.679999999977</v>
      </c>
      <c r="F31" s="28">
        <f>F23-F29</f>
        <v>22033.480000000032</v>
      </c>
      <c r="G31" s="28">
        <f>G23-G29</f>
        <v>20040.922236273669</v>
      </c>
      <c r="H31" s="28">
        <f t="shared" ref="H31:K31" si="11">H23-H29</f>
        <v>21670.892845868006</v>
      </c>
      <c r="I31" s="28">
        <f t="shared" si="11"/>
        <v>23447.650918445055</v>
      </c>
      <c r="J31" s="28">
        <f t="shared" si="11"/>
        <v>25384.588693115176</v>
      </c>
      <c r="K31" s="28">
        <f t="shared" si="11"/>
        <v>27496.336762324619</v>
      </c>
      <c r="L31" s="44"/>
    </row>
    <row r="32" spans="1:12" ht="16.2" thickTop="1" x14ac:dyDescent="0.3">
      <c r="A32" s="27" t="s">
        <v>71</v>
      </c>
      <c r="B32" s="29"/>
      <c r="C32" s="30"/>
      <c r="D32" s="30"/>
      <c r="E32" s="30"/>
      <c r="F32" s="30"/>
    </row>
    <row r="33" spans="1:12" ht="15.6" x14ac:dyDescent="0.3">
      <c r="B33" s="29" t="s">
        <v>115</v>
      </c>
      <c r="C33" s="30"/>
      <c r="D33" s="30"/>
      <c r="E33" s="30"/>
      <c r="F33" s="30"/>
    </row>
    <row r="34" spans="1:12" ht="15.6" x14ac:dyDescent="0.3">
      <c r="B34" s="46" t="s">
        <v>116</v>
      </c>
      <c r="C34" s="15">
        <v>-418</v>
      </c>
      <c r="D34" s="15">
        <v>-42</v>
      </c>
      <c r="E34" s="30"/>
      <c r="F34" s="30"/>
    </row>
    <row r="35" spans="1:12" ht="15.6" x14ac:dyDescent="0.3">
      <c r="B35" s="46" t="s">
        <v>117</v>
      </c>
      <c r="C35" s="15">
        <v>-109</v>
      </c>
      <c r="D35" s="15">
        <v>-11</v>
      </c>
      <c r="E35" s="30"/>
      <c r="F35" s="30"/>
    </row>
    <row r="36" spans="1:12" ht="15.6" x14ac:dyDescent="0.3">
      <c r="B36" s="46" t="s">
        <v>118</v>
      </c>
      <c r="C36" s="15">
        <v>-309</v>
      </c>
      <c r="D36" s="15">
        <v>-31</v>
      </c>
      <c r="E36" s="30"/>
      <c r="F36" s="30"/>
    </row>
    <row r="37" spans="1:12" ht="16.2" thickBot="1" x14ac:dyDescent="0.35">
      <c r="B37" s="46"/>
      <c r="C37" s="30"/>
      <c r="D37" s="30"/>
      <c r="E37" s="30"/>
      <c r="F37" s="30"/>
    </row>
    <row r="38" spans="1:12" ht="16.8" thickTop="1" thickBot="1" x14ac:dyDescent="0.35">
      <c r="B38" s="7" t="s">
        <v>119</v>
      </c>
      <c r="C38" s="28">
        <f>SUM(C31,C36)</f>
        <v>11747</v>
      </c>
      <c r="D38" s="28">
        <f>SUM(D31,D36)</f>
        <v>13449</v>
      </c>
      <c r="E38" s="28">
        <f>SUM(E31,E34:E36)</f>
        <v>15110.679999999977</v>
      </c>
      <c r="F38" s="28">
        <f>SUM(F31,F34:F36)</f>
        <v>22033.480000000032</v>
      </c>
      <c r="G38" s="28">
        <f t="shared" ref="G38:K38" si="12">SUM(G31,G34:G36)</f>
        <v>20040.922236273669</v>
      </c>
      <c r="H38" s="28">
        <f t="shared" si="12"/>
        <v>21670.892845868006</v>
      </c>
      <c r="I38" s="28">
        <f t="shared" si="12"/>
        <v>23447.650918445055</v>
      </c>
      <c r="J38" s="28">
        <f t="shared" si="12"/>
        <v>25384.588693115176</v>
      </c>
      <c r="K38" s="28">
        <f t="shared" si="12"/>
        <v>27496.336762324619</v>
      </c>
      <c r="L38" s="44"/>
    </row>
    <row r="39" spans="1:12" ht="15" thickTop="1" x14ac:dyDescent="0.3">
      <c r="B39" s="24"/>
      <c r="C39" s="3"/>
      <c r="D39" s="3"/>
      <c r="E39" s="3"/>
      <c r="F39" s="3"/>
    </row>
    <row r="40" spans="1:12" x14ac:dyDescent="0.3">
      <c r="B40" s="32" t="s">
        <v>35</v>
      </c>
      <c r="C40" s="2"/>
      <c r="D40" s="2"/>
      <c r="E40" s="2"/>
      <c r="F40" s="2"/>
    </row>
    <row r="41" spans="1:12" x14ac:dyDescent="0.3">
      <c r="B41" s="2" t="s">
        <v>91</v>
      </c>
    </row>
    <row r="42" spans="1:12" x14ac:dyDescent="0.3">
      <c r="B42" s="2" t="s">
        <v>92</v>
      </c>
      <c r="C42" s="15">
        <v>28</v>
      </c>
      <c r="D42" s="15">
        <v>-8</v>
      </c>
      <c r="E42" s="15">
        <v>-29.98</v>
      </c>
      <c r="F42" s="15">
        <v>-72.48</v>
      </c>
    </row>
    <row r="43" spans="1:12" x14ac:dyDescent="0.3">
      <c r="B43" s="2" t="s">
        <v>36</v>
      </c>
      <c r="C43" s="15">
        <v>-7</v>
      </c>
      <c r="D43" s="15">
        <v>2</v>
      </c>
      <c r="E43" s="15">
        <v>8.1300000000000008</v>
      </c>
      <c r="F43" s="15">
        <v>18.239999999999998</v>
      </c>
    </row>
    <row r="44" spans="1:12" x14ac:dyDescent="0.3">
      <c r="B44" s="6" t="s">
        <v>37</v>
      </c>
      <c r="C44" s="18">
        <f>SUM(C42:C43)</f>
        <v>21</v>
      </c>
      <c r="D44" s="18">
        <f>SUM(D42:D43)</f>
        <v>-6</v>
      </c>
      <c r="E44" s="18">
        <f>SUM(E42:E43)</f>
        <v>-21.85</v>
      </c>
      <c r="F44" s="18">
        <f>SUM(F42:F43)</f>
        <v>-54.240000000000009</v>
      </c>
      <c r="G44" s="18"/>
      <c r="H44" s="18"/>
      <c r="I44" s="18"/>
      <c r="J44" s="18"/>
      <c r="K44" s="18"/>
    </row>
    <row r="45" spans="1:12" ht="15" thickBot="1" x14ac:dyDescent="0.35">
      <c r="B45" s="24"/>
      <c r="C45" s="4"/>
      <c r="D45" s="4"/>
      <c r="E45" s="4"/>
      <c r="F45" s="4"/>
    </row>
    <row r="46" spans="1:12" ht="16.8" thickTop="1" thickBot="1" x14ac:dyDescent="0.35">
      <c r="B46" s="7" t="s">
        <v>38</v>
      </c>
      <c r="C46" s="28">
        <f>C38+C44</f>
        <v>11768</v>
      </c>
      <c r="D46" s="28">
        <f>D38+D44</f>
        <v>13443</v>
      </c>
      <c r="E46" s="28">
        <f>E31+E44</f>
        <v>15088.829999999976</v>
      </c>
      <c r="F46" s="28">
        <f>F31+F44</f>
        <v>21979.240000000031</v>
      </c>
      <c r="G46" s="28">
        <f>G31+G44</f>
        <v>20040.922236273669</v>
      </c>
      <c r="H46" s="28">
        <f t="shared" ref="H46:K46" si="13">H31+H44</f>
        <v>21670.892845868006</v>
      </c>
      <c r="I46" s="28">
        <f t="shared" si="13"/>
        <v>23447.650918445055</v>
      </c>
      <c r="J46" s="28">
        <f t="shared" si="13"/>
        <v>25384.588693115176</v>
      </c>
      <c r="K46" s="28">
        <f t="shared" si="13"/>
        <v>27496.336762324619</v>
      </c>
      <c r="L46" s="44"/>
    </row>
    <row r="47" spans="1:12" ht="16.2" thickTop="1" x14ac:dyDescent="0.3">
      <c r="A47" s="26" t="s">
        <v>71</v>
      </c>
      <c r="B47" s="29"/>
      <c r="C47" s="30"/>
      <c r="D47" s="30"/>
      <c r="E47" s="30"/>
      <c r="F47" s="30"/>
    </row>
    <row r="48" spans="1:12" x14ac:dyDescent="0.3">
      <c r="B48" s="2" t="s">
        <v>39</v>
      </c>
      <c r="C48" s="2"/>
      <c r="D48" s="2"/>
      <c r="E48" s="2"/>
      <c r="F48" s="2"/>
      <c r="L48" s="44"/>
    </row>
    <row r="49" spans="1:11" x14ac:dyDescent="0.3">
      <c r="B49" s="33" t="s">
        <v>40</v>
      </c>
      <c r="C49" s="34">
        <v>103.84</v>
      </c>
      <c r="D49" s="34">
        <v>118.89</v>
      </c>
      <c r="E49" s="34">
        <v>22.26</v>
      </c>
      <c r="F49" s="34">
        <v>32.46</v>
      </c>
      <c r="G49" s="56">
        <f t="shared" ref="G49:J50" si="14">(G$46*1000000)/G$52</f>
        <v>29.525246566412605</v>
      </c>
      <c r="H49" s="56">
        <f t="shared" si="14"/>
        <v>31.926597341436956</v>
      </c>
      <c r="I49" s="56">
        <f t="shared" si="14"/>
        <v>34.544202437810782</v>
      </c>
      <c r="J49" s="56">
        <f t="shared" si="14"/>
        <v>37.397791943658156</v>
      </c>
      <c r="K49" s="56">
        <f t="shared" ref="K49:K50" si="15">(K$46*1000000)/K$52</f>
        <v>40.508920348552742</v>
      </c>
    </row>
    <row r="50" spans="1:11" x14ac:dyDescent="0.3">
      <c r="B50" s="33" t="s">
        <v>41</v>
      </c>
      <c r="C50" s="34">
        <v>103.84</v>
      </c>
      <c r="D50" s="34">
        <v>118.89</v>
      </c>
      <c r="E50" s="34">
        <v>22.26</v>
      </c>
      <c r="F50" s="34">
        <v>32.46</v>
      </c>
      <c r="G50" s="56">
        <f t="shared" si="14"/>
        <v>29.525246566412605</v>
      </c>
      <c r="H50" s="56">
        <f t="shared" si="14"/>
        <v>31.926597341436956</v>
      </c>
      <c r="I50" s="56">
        <f t="shared" si="14"/>
        <v>34.544202437810782</v>
      </c>
      <c r="J50" s="56">
        <f t="shared" si="14"/>
        <v>37.397791943658156</v>
      </c>
      <c r="K50" s="56">
        <f t="shared" si="15"/>
        <v>40.508920348552742</v>
      </c>
    </row>
    <row r="51" spans="1:11" ht="15" thickBot="1" x14ac:dyDescent="0.35"/>
    <row r="52" spans="1:11" ht="15" thickBot="1" x14ac:dyDescent="0.35">
      <c r="B52" s="36" t="s">
        <v>93</v>
      </c>
      <c r="C52" s="35">
        <v>113128732</v>
      </c>
      <c r="D52" s="35">
        <v>113128732</v>
      </c>
      <c r="E52" s="35">
        <v>678772392</v>
      </c>
      <c r="F52" s="35">
        <v>678772392</v>
      </c>
      <c r="G52" s="35">
        <v>678772392</v>
      </c>
      <c r="H52" s="35">
        <v>678772392</v>
      </c>
      <c r="I52" s="35">
        <v>678772392</v>
      </c>
      <c r="J52" s="35">
        <v>678772392</v>
      </c>
      <c r="K52" s="35">
        <v>678772392</v>
      </c>
    </row>
    <row r="53" spans="1:11" x14ac:dyDescent="0.3">
      <c r="A53" s="27" t="s">
        <v>71</v>
      </c>
    </row>
    <row r="65" spans="3:4" x14ac:dyDescent="0.3">
      <c r="C65" s="23"/>
      <c r="D65" s="23"/>
    </row>
    <row r="66" spans="3:4" x14ac:dyDescent="0.3">
      <c r="C66" s="50"/>
      <c r="D66" s="50"/>
    </row>
  </sheetData>
  <sheetProtection algorithmName="SHA-512" hashValue="miMa0x5ItwXmAu/l8SbDG+z5vlYimrsj2dxSq+2NmkiYtY5FQkJT8AJaC+Pv7m5ZpLpfIi6zcjsjTlagOe6/VA==" saltValue="WOLESfQ+ltYwt6xC4n0B0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EAAA-4EF7-4501-A9A6-27FC2233B9B4}">
  <sheetPr codeName="Sheet3"/>
  <dimension ref="A1:L65"/>
  <sheetViews>
    <sheetView showGridLines="0" zoomScale="83" zoomScaleNormal="115" workbookViewId="0">
      <selection activeCell="M9" sqref="M9"/>
    </sheetView>
  </sheetViews>
  <sheetFormatPr defaultColWidth="15" defaultRowHeight="14.4" x14ac:dyDescent="0.3"/>
  <cols>
    <col min="1" max="1" width="2.77734375" style="9" customWidth="1"/>
    <col min="2" max="2" width="35.5546875" bestFit="1" customWidth="1"/>
    <col min="3" max="11" width="12.77734375" customWidth="1"/>
  </cols>
  <sheetData>
    <row r="1" spans="1:12" x14ac:dyDescent="0.3">
      <c r="B1" s="12" t="s">
        <v>0</v>
      </c>
      <c r="C1" s="13">
        <f>'P&amp;L'!C1</f>
        <v>44652</v>
      </c>
      <c r="D1" s="13">
        <f>EDATE(C1,12)</f>
        <v>45017</v>
      </c>
      <c r="E1" s="13">
        <f t="shared" ref="E1:K1" si="0">EDATE(D1,12)</f>
        <v>45383</v>
      </c>
      <c r="F1" s="13">
        <f t="shared" si="0"/>
        <v>45748</v>
      </c>
      <c r="G1" s="13">
        <f t="shared" si="0"/>
        <v>46113</v>
      </c>
      <c r="H1" s="14">
        <f t="shared" si="0"/>
        <v>46478</v>
      </c>
      <c r="I1" s="14">
        <f t="shared" si="0"/>
        <v>46844</v>
      </c>
      <c r="J1" s="14">
        <f t="shared" si="0"/>
        <v>47209</v>
      </c>
      <c r="K1" s="14">
        <f t="shared" si="0"/>
        <v>47574</v>
      </c>
    </row>
    <row r="2" spans="1:12" x14ac:dyDescent="0.3">
      <c r="B2" s="1" t="s">
        <v>1</v>
      </c>
      <c r="C2" s="1"/>
      <c r="D2" s="2"/>
      <c r="E2" s="2"/>
      <c r="F2" s="2"/>
    </row>
    <row r="3" spans="1:12" x14ac:dyDescent="0.3">
      <c r="B3" s="2" t="s">
        <v>2</v>
      </c>
      <c r="C3" s="15">
        <v>10387</v>
      </c>
      <c r="D3" s="15">
        <v>13328</v>
      </c>
      <c r="E3" s="15">
        <v>13105.43</v>
      </c>
      <c r="F3" s="15">
        <v>13196.7</v>
      </c>
      <c r="G3" s="50">
        <f>rBS!H7</f>
        <v>14260.686990967712</v>
      </c>
      <c r="H3" s="50">
        <f>rBS!I7</f>
        <v>15189.427582769316</v>
      </c>
      <c r="I3" s="50">
        <f>rBS!J7</f>
        <v>15970.751321314543</v>
      </c>
      <c r="J3" s="50">
        <f>rBS!K7</f>
        <v>16591.392804960604</v>
      </c>
      <c r="K3" s="50">
        <f>rBS!L7</f>
        <v>17036.893205099892</v>
      </c>
      <c r="L3" s="44"/>
    </row>
    <row r="4" spans="1:12" x14ac:dyDescent="0.3">
      <c r="B4" s="2" t="s">
        <v>3</v>
      </c>
      <c r="C4" s="15">
        <v>1024</v>
      </c>
      <c r="D4" s="15">
        <v>243</v>
      </c>
      <c r="E4" s="15">
        <v>242.05</v>
      </c>
      <c r="F4" s="15">
        <v>753.12</v>
      </c>
      <c r="G4" s="50">
        <f>rBS!$H$29*BS!G3</f>
        <v>445.74415016475643</v>
      </c>
      <c r="H4" s="50">
        <f>rBS!$H$29*BS!H3</f>
        <v>474.77365527052882</v>
      </c>
      <c r="I4" s="50">
        <f>rBS!$H$29*BS!I3</f>
        <v>499.19537394803547</v>
      </c>
      <c r="J4" s="50">
        <f>rBS!$H$29*BS!J3</f>
        <v>518.59467153166713</v>
      </c>
      <c r="K4" s="50">
        <f>rBS!$H$29*BS!K3</f>
        <v>532.51961058852464</v>
      </c>
      <c r="L4" s="44"/>
    </row>
    <row r="5" spans="1:12" x14ac:dyDescent="0.3">
      <c r="B5" s="2" t="s">
        <v>4</v>
      </c>
      <c r="C5" s="15">
        <v>88</v>
      </c>
      <c r="D5" s="15">
        <v>99</v>
      </c>
      <c r="E5" s="15">
        <v>83.06</v>
      </c>
      <c r="F5" s="15">
        <v>94.39</v>
      </c>
      <c r="G5" s="50">
        <f>rBS!H15</f>
        <v>96.919200751405185</v>
      </c>
      <c r="H5" s="50">
        <f>rBS!I15</f>
        <v>98.398126309944757</v>
      </c>
      <c r="I5" s="50">
        <f>rBS!J15</f>
        <v>98.732721258575168</v>
      </c>
      <c r="J5" s="50">
        <f>rBS!K15</f>
        <v>97.820522791613598</v>
      </c>
      <c r="K5" s="50">
        <f>rBS!L15</f>
        <v>95.549911089314037</v>
      </c>
    </row>
    <row r="6" spans="1:12" x14ac:dyDescent="0.3">
      <c r="A6" s="10"/>
      <c r="B6" s="2" t="s">
        <v>5</v>
      </c>
      <c r="C6" s="15">
        <v>6</v>
      </c>
      <c r="D6" s="15">
        <v>3</v>
      </c>
      <c r="E6" s="15">
        <v>2.4900000000000002</v>
      </c>
      <c r="F6" s="15">
        <v>0</v>
      </c>
      <c r="G6" s="50">
        <f>G5*rBS!$H$32</f>
        <v>1.9474737186644531</v>
      </c>
      <c r="H6" s="50">
        <f>H5*rBS!$H$32</f>
        <v>1.9771909329500363</v>
      </c>
      <c r="I6" s="50">
        <f>I5*rBS!$H$32</f>
        <v>1.9839142123807756</v>
      </c>
      <c r="J6" s="50">
        <f>J5*rBS!$H$32</f>
        <v>1.965584691224588</v>
      </c>
      <c r="K6" s="50">
        <f>K5*rBS!$H$32</f>
        <v>1.9199595046646769</v>
      </c>
    </row>
    <row r="7" spans="1:12" x14ac:dyDescent="0.3">
      <c r="A7" s="10"/>
      <c r="B7" s="2" t="s">
        <v>6</v>
      </c>
      <c r="C7" s="16"/>
      <c r="D7" s="16"/>
      <c r="E7" s="16"/>
      <c r="F7" s="16"/>
    </row>
    <row r="8" spans="1:12" x14ac:dyDescent="0.3">
      <c r="B8" s="5" t="s">
        <v>65</v>
      </c>
      <c r="C8" s="17"/>
      <c r="D8" s="17"/>
      <c r="E8" s="17"/>
      <c r="F8" s="17"/>
    </row>
    <row r="9" spans="1:12" x14ac:dyDescent="0.3">
      <c r="B9" s="5" t="s">
        <v>66</v>
      </c>
      <c r="C9" s="15">
        <v>58</v>
      </c>
      <c r="D9" s="15">
        <v>48</v>
      </c>
      <c r="E9" s="15">
        <v>54.93</v>
      </c>
      <c r="F9" s="15">
        <v>56.03</v>
      </c>
      <c r="G9" s="23">
        <f>F9</f>
        <v>56.03</v>
      </c>
      <c r="H9" s="23">
        <f t="shared" ref="H9:K9" si="1">G9</f>
        <v>56.03</v>
      </c>
      <c r="I9" s="23">
        <f t="shared" si="1"/>
        <v>56.03</v>
      </c>
      <c r="J9" s="23">
        <f t="shared" si="1"/>
        <v>56.03</v>
      </c>
      <c r="K9" s="23">
        <f t="shared" si="1"/>
        <v>56.03</v>
      </c>
    </row>
    <row r="10" spans="1:12" x14ac:dyDescent="0.3">
      <c r="B10" s="5" t="s">
        <v>67</v>
      </c>
      <c r="C10" s="15">
        <v>1011</v>
      </c>
      <c r="D10" s="15">
        <v>1193</v>
      </c>
      <c r="E10" s="15">
        <v>1141.05</v>
      </c>
      <c r="F10" s="15">
        <v>1265.5899999999999</v>
      </c>
      <c r="G10" s="23">
        <f t="shared" ref="G10:K12" si="2">F10</f>
        <v>1265.5899999999999</v>
      </c>
      <c r="H10" s="23">
        <f t="shared" si="2"/>
        <v>1265.5899999999999</v>
      </c>
      <c r="I10" s="23">
        <f t="shared" si="2"/>
        <v>1265.5899999999999</v>
      </c>
      <c r="J10" s="23">
        <f t="shared" si="2"/>
        <v>1265.5899999999999</v>
      </c>
      <c r="K10" s="23">
        <f t="shared" si="2"/>
        <v>1265.5899999999999</v>
      </c>
      <c r="L10" s="44"/>
    </row>
    <row r="11" spans="1:12" x14ac:dyDescent="0.3">
      <c r="B11" s="2" t="s">
        <v>7</v>
      </c>
      <c r="C11" s="15">
        <v>1278</v>
      </c>
      <c r="D11" s="15">
        <v>1365</v>
      </c>
      <c r="E11" s="15">
        <v>1719.71</v>
      </c>
      <c r="F11" s="15">
        <v>2040.13</v>
      </c>
      <c r="G11" s="23">
        <f t="shared" si="2"/>
        <v>2040.13</v>
      </c>
      <c r="H11" s="23">
        <f t="shared" si="2"/>
        <v>2040.13</v>
      </c>
      <c r="I11" s="23">
        <f t="shared" si="2"/>
        <v>2040.13</v>
      </c>
      <c r="J11" s="23">
        <f t="shared" si="2"/>
        <v>2040.13</v>
      </c>
      <c r="K11" s="23">
        <f t="shared" si="2"/>
        <v>2040.13</v>
      </c>
      <c r="L11" s="44"/>
    </row>
    <row r="12" spans="1:12" x14ac:dyDescent="0.3">
      <c r="B12" s="2" t="s">
        <v>8</v>
      </c>
      <c r="C12" s="15">
        <v>2437</v>
      </c>
      <c r="D12" s="15">
        <v>2001</v>
      </c>
      <c r="E12" s="15">
        <v>2051.54</v>
      </c>
      <c r="F12" s="15">
        <v>2357.17</v>
      </c>
      <c r="G12" s="23">
        <f t="shared" si="2"/>
        <v>2357.17</v>
      </c>
      <c r="H12" s="23">
        <f t="shared" si="2"/>
        <v>2357.17</v>
      </c>
      <c r="I12" s="23">
        <f t="shared" si="2"/>
        <v>2357.17</v>
      </c>
      <c r="J12" s="23">
        <f t="shared" si="2"/>
        <v>2357.17</v>
      </c>
      <c r="K12" s="23">
        <f t="shared" si="2"/>
        <v>2357.17</v>
      </c>
    </row>
    <row r="13" spans="1:12" x14ac:dyDescent="0.3">
      <c r="A13" s="9" t="s">
        <v>71</v>
      </c>
      <c r="B13" s="6" t="s">
        <v>9</v>
      </c>
      <c r="C13" s="18">
        <f>SUM(C3:C12)</f>
        <v>16289</v>
      </c>
      <c r="D13" s="18">
        <f>SUM(D3:D12)</f>
        <v>18280</v>
      </c>
      <c r="E13" s="18">
        <f>SUM(E3:E12)</f>
        <v>18400.259999999998</v>
      </c>
      <c r="F13" s="18">
        <f>SUM(F3:F12)</f>
        <v>19763.130000000005</v>
      </c>
      <c r="G13" s="18">
        <f>SUM(G3:G12)</f>
        <v>20524.21781560254</v>
      </c>
      <c r="H13" s="18">
        <f t="shared" ref="H13:K13" si="3">SUM(H3:H12)</f>
        <v>21483.496555282742</v>
      </c>
      <c r="I13" s="18">
        <f t="shared" si="3"/>
        <v>22289.583330733534</v>
      </c>
      <c r="J13" s="18">
        <f t="shared" si="3"/>
        <v>22928.69358397511</v>
      </c>
      <c r="K13" s="18">
        <f t="shared" si="3"/>
        <v>23385.802686282397</v>
      </c>
      <c r="L13" s="44"/>
    </row>
    <row r="14" spans="1:12" x14ac:dyDescent="0.3">
      <c r="B14" s="2"/>
      <c r="C14" s="19"/>
      <c r="D14" s="19"/>
      <c r="E14" s="19"/>
      <c r="F14" s="19"/>
    </row>
    <row r="15" spans="1:12" x14ac:dyDescent="0.3">
      <c r="B15" s="1" t="s">
        <v>10</v>
      </c>
      <c r="C15" s="20"/>
      <c r="D15" s="20"/>
      <c r="E15" s="20"/>
      <c r="F15" s="20"/>
    </row>
    <row r="16" spans="1:12" x14ac:dyDescent="0.3">
      <c r="B16" s="2" t="s">
        <v>74</v>
      </c>
      <c r="C16" s="15">
        <v>24094</v>
      </c>
      <c r="D16" s="15">
        <v>26410</v>
      </c>
      <c r="E16" s="15">
        <v>23974.18</v>
      </c>
      <c r="F16" s="15">
        <v>30314.55</v>
      </c>
      <c r="G16" s="66">
        <f>rBS!$H$35*'P&amp;L'!G3</f>
        <v>32772.801792913568</v>
      </c>
      <c r="H16" s="66">
        <f>rBS!$H$35*'P&amp;L'!H3</f>
        <v>35775.733494574772</v>
      </c>
      <c r="I16" s="66">
        <f>rBS!$H$35*'P&amp;L'!I3</f>
        <v>39055.268949208279</v>
      </c>
      <c r="J16" s="66">
        <f>rBS!$H$35*'P&amp;L'!J3</f>
        <v>42637.056718059051</v>
      </c>
      <c r="K16" s="66">
        <f>rBS!$H$35*'P&amp;L'!K3</f>
        <v>46549.1435832512</v>
      </c>
      <c r="L16" s="44"/>
    </row>
    <row r="17" spans="1:12" x14ac:dyDescent="0.3">
      <c r="B17" s="2" t="s">
        <v>75</v>
      </c>
      <c r="E17" s="15"/>
      <c r="F17" s="15"/>
      <c r="G17" s="67"/>
      <c r="H17" s="67"/>
      <c r="I17" s="67"/>
      <c r="J17" s="67"/>
      <c r="K17" s="67"/>
    </row>
    <row r="18" spans="1:12" x14ac:dyDescent="0.3">
      <c r="B18" s="5" t="s">
        <v>65</v>
      </c>
      <c r="C18" s="15">
        <v>13811</v>
      </c>
      <c r="D18" s="15">
        <v>14995</v>
      </c>
      <c r="E18" s="15">
        <v>17970.21</v>
      </c>
      <c r="F18" s="15">
        <v>23611.71</v>
      </c>
      <c r="G18" s="66">
        <f>rBS!$H$42*'P&amp;L'!G3/365*2-BS!F18</f>
        <v>20914.795478175394</v>
      </c>
      <c r="H18" s="66">
        <f>rBS!$H$42*'P&amp;L'!H3/365*2-BS!G18</f>
        <v>27691.619179248642</v>
      </c>
      <c r="I18" s="66">
        <f>rBS!$H$42*'P&amp;L'!I3/365*2-BS!H18</f>
        <v>25370.510137829064</v>
      </c>
      <c r="J18" s="66">
        <f>rBS!$H$42*'P&amp;L'!J3/365*2-BS!I18</f>
        <v>32557.986532249277</v>
      </c>
      <c r="K18" s="66">
        <f>rBS!$H$42*'P&amp;L'!K3/365*2-BS!J18</f>
        <v>30685.635720767226</v>
      </c>
      <c r="L18" s="44"/>
    </row>
    <row r="19" spans="1:12" ht="14.4" customHeight="1" x14ac:dyDescent="0.3">
      <c r="B19" s="5" t="s">
        <v>68</v>
      </c>
      <c r="C19" s="15">
        <f>CFS!C61</f>
        <v>37094</v>
      </c>
      <c r="D19" s="15">
        <f>CFS!D61</f>
        <v>27626</v>
      </c>
      <c r="E19" s="15">
        <f>CFS!E61</f>
        <v>22226.049999999981</v>
      </c>
      <c r="F19" s="15">
        <f>CFS!F61</f>
        <v>37414.73000000001</v>
      </c>
      <c r="G19" s="66">
        <f>CFS!G61</f>
        <v>62699.528731857099</v>
      </c>
      <c r="H19" s="66">
        <f>CFS!H61</f>
        <v>73680.126803672916</v>
      </c>
      <c r="I19" s="66">
        <f>CFS!I61</f>
        <v>102727.77727847922</v>
      </c>
      <c r="J19" s="66">
        <f>CFS!J61</f>
        <v>117435.95958132687</v>
      </c>
      <c r="K19" s="66">
        <f>CFS!K61</f>
        <v>150546.59116321604</v>
      </c>
    </row>
    <row r="20" spans="1:12" x14ac:dyDescent="0.3">
      <c r="B20" s="5" t="s">
        <v>69</v>
      </c>
      <c r="C20" s="15">
        <v>21</v>
      </c>
      <c r="D20" s="15">
        <v>21</v>
      </c>
      <c r="E20" s="16">
        <v>18.170000000000002</v>
      </c>
      <c r="F20" s="16">
        <v>30.65</v>
      </c>
      <c r="G20" s="66">
        <f>F20</f>
        <v>30.65</v>
      </c>
      <c r="H20" s="66">
        <f t="shared" ref="H20:K20" si="4">G20</f>
        <v>30.65</v>
      </c>
      <c r="I20" s="66">
        <f t="shared" si="4"/>
        <v>30.65</v>
      </c>
      <c r="J20" s="66">
        <f t="shared" si="4"/>
        <v>30.65</v>
      </c>
      <c r="K20" s="66">
        <f t="shared" si="4"/>
        <v>30.65</v>
      </c>
    </row>
    <row r="21" spans="1:12" x14ac:dyDescent="0.3">
      <c r="B21" s="5" t="s">
        <v>70</v>
      </c>
      <c r="C21" s="16">
        <v>1215</v>
      </c>
      <c r="D21" s="16">
        <v>613</v>
      </c>
      <c r="E21" s="17">
        <v>929.78</v>
      </c>
      <c r="F21" s="17">
        <v>1605.02</v>
      </c>
      <c r="G21" s="66">
        <f>F21</f>
        <v>1605.02</v>
      </c>
      <c r="H21" s="66">
        <f t="shared" ref="H21:K21" si="5">G21</f>
        <v>1605.02</v>
      </c>
      <c r="I21" s="66">
        <f t="shared" si="5"/>
        <v>1605.02</v>
      </c>
      <c r="J21" s="66">
        <f t="shared" si="5"/>
        <v>1605.02</v>
      </c>
      <c r="K21" s="66">
        <f t="shared" si="5"/>
        <v>1605.02</v>
      </c>
      <c r="L21" s="44"/>
    </row>
    <row r="22" spans="1:12" x14ac:dyDescent="0.3">
      <c r="B22" s="5" t="s">
        <v>76</v>
      </c>
      <c r="C22" s="17">
        <v>1556</v>
      </c>
      <c r="D22" s="17">
        <v>1936</v>
      </c>
      <c r="E22" s="15">
        <v>1465.5</v>
      </c>
      <c r="F22" s="15">
        <v>2431.66</v>
      </c>
      <c r="G22" s="66">
        <f>F22</f>
        <v>2431.66</v>
      </c>
      <c r="H22" s="66">
        <f t="shared" ref="H22:K22" si="6">G22</f>
        <v>2431.66</v>
      </c>
      <c r="I22" s="66">
        <f t="shared" si="6"/>
        <v>2431.66</v>
      </c>
      <c r="J22" s="66">
        <f t="shared" si="6"/>
        <v>2431.66</v>
      </c>
      <c r="K22" s="66">
        <f t="shared" si="6"/>
        <v>2431.66</v>
      </c>
      <c r="L22" s="44"/>
    </row>
    <row r="23" spans="1:12" x14ac:dyDescent="0.3">
      <c r="B23" s="2" t="s">
        <v>11</v>
      </c>
      <c r="C23" s="15">
        <v>112</v>
      </c>
      <c r="D23" s="15">
        <v>40</v>
      </c>
      <c r="E23" s="15">
        <v>0.2</v>
      </c>
      <c r="F23" s="15">
        <v>0</v>
      </c>
      <c r="G23" s="66">
        <f>F23</f>
        <v>0</v>
      </c>
      <c r="H23" s="66">
        <f t="shared" ref="H23:K23" si="7">G23</f>
        <v>0</v>
      </c>
      <c r="I23" s="66">
        <f t="shared" si="7"/>
        <v>0</v>
      </c>
      <c r="J23" s="66">
        <f t="shared" si="7"/>
        <v>0</v>
      </c>
      <c r="K23" s="66">
        <f t="shared" si="7"/>
        <v>0</v>
      </c>
      <c r="L23" s="44"/>
    </row>
    <row r="24" spans="1:12" x14ac:dyDescent="0.3">
      <c r="B24" s="6" t="s">
        <v>12</v>
      </c>
      <c r="C24" s="18">
        <f>SUM(C16:C23)</f>
        <v>77903</v>
      </c>
      <c r="D24" s="18">
        <f>SUM(D16:D23)</f>
        <v>71641</v>
      </c>
      <c r="E24" s="18">
        <f>SUM(E16:E23)</f>
        <v>66584.089999999982</v>
      </c>
      <c r="F24" s="18">
        <f>SUM(F16:F23)</f>
        <v>95408.320000000007</v>
      </c>
      <c r="G24" s="18">
        <f t="shared" ref="G24:K24" si="8">SUM(G16:G23)</f>
        <v>120454.45600294606</v>
      </c>
      <c r="H24" s="18">
        <f t="shared" si="8"/>
        <v>141214.80947749631</v>
      </c>
      <c r="I24" s="18">
        <f t="shared" si="8"/>
        <v>171220.88636551655</v>
      </c>
      <c r="J24" s="18">
        <f t="shared" si="8"/>
        <v>196698.33283163517</v>
      </c>
      <c r="K24" s="18">
        <f t="shared" si="8"/>
        <v>231848.70046723445</v>
      </c>
      <c r="L24" s="44"/>
    </row>
    <row r="25" spans="1:12" ht="15" thickBot="1" x14ac:dyDescent="0.35">
      <c r="B25" s="1"/>
      <c r="C25" s="21"/>
      <c r="D25" s="21"/>
      <c r="E25" s="21"/>
      <c r="F25" s="21"/>
      <c r="L25" s="44"/>
    </row>
    <row r="26" spans="1:12" ht="16.8" thickTop="1" thickBot="1" x14ac:dyDescent="0.35">
      <c r="A26" s="9" t="s">
        <v>71</v>
      </c>
      <c r="B26" s="7" t="s">
        <v>13</v>
      </c>
      <c r="C26" s="22">
        <f t="shared" ref="C26:D26" si="9">SUM(C24,C13)</f>
        <v>94192</v>
      </c>
      <c r="D26" s="22">
        <f t="shared" si="9"/>
        <v>89921</v>
      </c>
      <c r="E26" s="22">
        <f>SUM(E24,E13)</f>
        <v>84984.349999999977</v>
      </c>
      <c r="F26" s="22">
        <f>SUM(F24,F13)</f>
        <v>115171.45000000001</v>
      </c>
      <c r="G26" s="22">
        <f t="shared" ref="G26:K26" si="10">SUM(G24,G13)</f>
        <v>140978.67381854859</v>
      </c>
      <c r="H26" s="22">
        <f t="shared" si="10"/>
        <v>162698.30603277904</v>
      </c>
      <c r="I26" s="22">
        <f t="shared" si="10"/>
        <v>193510.46969625007</v>
      </c>
      <c r="J26" s="22">
        <f t="shared" si="10"/>
        <v>219627.02641561028</v>
      </c>
      <c r="K26" s="22">
        <f t="shared" si="10"/>
        <v>255234.50315351685</v>
      </c>
    </row>
    <row r="27" spans="1:12" ht="15" thickTop="1" x14ac:dyDescent="0.3">
      <c r="B27" s="1"/>
      <c r="C27" s="20"/>
      <c r="D27" s="20"/>
      <c r="E27" s="20"/>
      <c r="F27" s="20"/>
    </row>
    <row r="28" spans="1:12" x14ac:dyDescent="0.3">
      <c r="B28" s="8" t="s">
        <v>14</v>
      </c>
      <c r="C28" s="20"/>
      <c r="D28" s="20"/>
      <c r="E28" s="20"/>
      <c r="F28" s="20"/>
    </row>
    <row r="29" spans="1:12" x14ac:dyDescent="0.3">
      <c r="B29" s="2" t="s">
        <v>72</v>
      </c>
      <c r="C29" s="15">
        <v>1131</v>
      </c>
      <c r="D29" s="15">
        <v>1131</v>
      </c>
      <c r="E29" s="15">
        <v>1131.29</v>
      </c>
      <c r="F29" s="15">
        <v>6787.72</v>
      </c>
      <c r="G29" s="66">
        <f>F29</f>
        <v>6787.72</v>
      </c>
      <c r="H29" s="66">
        <f t="shared" ref="H29:K29" si="11">G29</f>
        <v>6787.72</v>
      </c>
      <c r="I29" s="66">
        <f t="shared" si="11"/>
        <v>6787.72</v>
      </c>
      <c r="J29" s="66">
        <f t="shared" si="11"/>
        <v>6787.72</v>
      </c>
      <c r="K29" s="66">
        <f t="shared" si="11"/>
        <v>6787.72</v>
      </c>
      <c r="L29" s="44"/>
    </row>
    <row r="30" spans="1:12" x14ac:dyDescent="0.3">
      <c r="B30" s="2" t="s">
        <v>73</v>
      </c>
      <c r="C30" s="15">
        <v>53876</v>
      </c>
      <c r="D30" s="15">
        <v>42431</v>
      </c>
      <c r="E30" s="15">
        <v>36591.17</v>
      </c>
      <c r="F30" s="15">
        <v>52913.98</v>
      </c>
      <c r="G30" s="66">
        <f>F30+'P&amp;L'!G46</f>
        <v>72954.902236273672</v>
      </c>
      <c r="H30" s="66">
        <f>G30+'P&amp;L'!H46</f>
        <v>94625.795082141674</v>
      </c>
      <c r="I30" s="66">
        <f>H30+'P&amp;L'!I46</f>
        <v>118073.44600058673</v>
      </c>
      <c r="J30" s="66">
        <f>I30+'P&amp;L'!J46</f>
        <v>143458.03469370189</v>
      </c>
      <c r="K30" s="66">
        <f>J30+'P&amp;L'!K46</f>
        <v>170954.37145602651</v>
      </c>
      <c r="L30" s="44"/>
    </row>
    <row r="31" spans="1:12" x14ac:dyDescent="0.3">
      <c r="A31" s="9" t="s">
        <v>71</v>
      </c>
      <c r="B31" s="6" t="s">
        <v>15</v>
      </c>
      <c r="C31" s="18">
        <f t="shared" ref="C31:D31" si="12">SUM(C29:C30)</f>
        <v>55007</v>
      </c>
      <c r="D31" s="18">
        <f t="shared" si="12"/>
        <v>43562</v>
      </c>
      <c r="E31" s="18">
        <f>SUM(E29:E30)</f>
        <v>37722.46</v>
      </c>
      <c r="F31" s="18">
        <f>SUM(F29:F30)</f>
        <v>59701.700000000004</v>
      </c>
      <c r="G31" s="18">
        <f t="shared" ref="G31:K31" si="13">SUM(G29:G30)</f>
        <v>79742.622236273673</v>
      </c>
      <c r="H31" s="18">
        <f t="shared" si="13"/>
        <v>101413.51508214168</v>
      </c>
      <c r="I31" s="18">
        <f t="shared" si="13"/>
        <v>124861.16600058673</v>
      </c>
      <c r="J31" s="18">
        <f t="shared" si="13"/>
        <v>150245.75469370189</v>
      </c>
      <c r="K31" s="18">
        <f t="shared" si="13"/>
        <v>177742.09145602651</v>
      </c>
      <c r="L31" s="44"/>
    </row>
    <row r="32" spans="1:12" x14ac:dyDescent="0.3">
      <c r="B32" s="1"/>
      <c r="C32" s="21"/>
      <c r="D32" s="21"/>
      <c r="E32" s="21"/>
      <c r="F32" s="21"/>
    </row>
    <row r="33" spans="1:12" x14ac:dyDescent="0.3">
      <c r="B33" s="1" t="s">
        <v>16</v>
      </c>
      <c r="C33" s="20"/>
      <c r="D33" s="20"/>
      <c r="E33" s="20"/>
      <c r="F33" s="20"/>
    </row>
    <row r="34" spans="1:12" x14ac:dyDescent="0.3">
      <c r="B34" s="1" t="s">
        <v>17</v>
      </c>
      <c r="C34" s="20"/>
      <c r="D34" s="20"/>
      <c r="E34" s="20"/>
      <c r="F34" s="20"/>
    </row>
    <row r="35" spans="1:12" x14ac:dyDescent="0.3">
      <c r="B35" s="2" t="s">
        <v>77</v>
      </c>
      <c r="C35" s="15">
        <v>2347</v>
      </c>
      <c r="D35" s="15">
        <v>2495</v>
      </c>
      <c r="E35" s="15">
        <v>2846.96</v>
      </c>
      <c r="F35" s="15">
        <v>3305.32</v>
      </c>
      <c r="G35" s="23">
        <f>rBS!H38</f>
        <v>3305.32</v>
      </c>
      <c r="H35" s="23">
        <f>rBS!I38</f>
        <v>3305.32</v>
      </c>
      <c r="I35" s="23">
        <f>rBS!J38</f>
        <v>3305.32</v>
      </c>
      <c r="J35" s="23">
        <f>rBS!K38</f>
        <v>3305.32</v>
      </c>
      <c r="K35" s="23">
        <f>rBS!L38</f>
        <v>3305.32</v>
      </c>
      <c r="L35" s="44"/>
    </row>
    <row r="36" spans="1:12" x14ac:dyDescent="0.3">
      <c r="B36" s="2" t="s">
        <v>78</v>
      </c>
      <c r="C36" s="15">
        <v>743</v>
      </c>
      <c r="D36" s="15">
        <v>832</v>
      </c>
      <c r="E36" s="15">
        <v>875.18</v>
      </c>
      <c r="F36" s="15">
        <v>939.22</v>
      </c>
      <c r="G36" s="23">
        <f>F36</f>
        <v>939.22</v>
      </c>
      <c r="H36" s="23">
        <f t="shared" ref="H36:K36" si="14">G36</f>
        <v>939.22</v>
      </c>
      <c r="I36" s="23">
        <f t="shared" si="14"/>
        <v>939.22</v>
      </c>
      <c r="J36" s="23">
        <f t="shared" si="14"/>
        <v>939.22</v>
      </c>
      <c r="K36" s="23">
        <f t="shared" si="14"/>
        <v>939.22</v>
      </c>
    </row>
    <row r="37" spans="1:12" x14ac:dyDescent="0.3">
      <c r="B37" s="2" t="s">
        <v>79</v>
      </c>
      <c r="C37" s="15">
        <v>931</v>
      </c>
      <c r="D37" s="15">
        <v>1160</v>
      </c>
      <c r="E37" s="15">
        <v>1673.16</v>
      </c>
      <c r="F37" s="15">
        <v>2240.62</v>
      </c>
      <c r="G37" s="23">
        <f>F37</f>
        <v>2240.62</v>
      </c>
      <c r="H37" s="23">
        <f t="shared" ref="H37:K37" si="15">G37</f>
        <v>2240.62</v>
      </c>
      <c r="I37" s="23">
        <f t="shared" si="15"/>
        <v>2240.62</v>
      </c>
      <c r="J37" s="23">
        <f t="shared" si="15"/>
        <v>2240.62</v>
      </c>
      <c r="K37" s="23">
        <f t="shared" si="15"/>
        <v>2240.62</v>
      </c>
    </row>
    <row r="38" spans="1:12" x14ac:dyDescent="0.3">
      <c r="A38" s="9" t="s">
        <v>71</v>
      </c>
      <c r="B38" s="6" t="s">
        <v>18</v>
      </c>
      <c r="C38" s="18">
        <f>SUM(C35:C37)</f>
        <v>4021</v>
      </c>
      <c r="D38" s="18">
        <f>SUM(D35:D37)</f>
        <v>4487</v>
      </c>
      <c r="E38" s="18">
        <f>SUM(E35:E37)</f>
        <v>5395.3</v>
      </c>
      <c r="F38" s="18">
        <f>SUM(F35:F37)</f>
        <v>6485.16</v>
      </c>
      <c r="G38" s="18">
        <f t="shared" ref="G38:K38" si="16">SUM(G35:G37)</f>
        <v>6485.16</v>
      </c>
      <c r="H38" s="18">
        <f t="shared" si="16"/>
        <v>6485.16</v>
      </c>
      <c r="I38" s="18">
        <f t="shared" si="16"/>
        <v>6485.16</v>
      </c>
      <c r="J38" s="18">
        <f t="shared" si="16"/>
        <v>6485.16</v>
      </c>
      <c r="K38" s="18">
        <f t="shared" si="16"/>
        <v>6485.16</v>
      </c>
      <c r="L38" s="44"/>
    </row>
    <row r="39" spans="1:12" x14ac:dyDescent="0.3">
      <c r="B39" s="1"/>
      <c r="C39" s="21"/>
      <c r="D39" s="21"/>
      <c r="E39" s="21"/>
      <c r="F39" s="21"/>
    </row>
    <row r="40" spans="1:12" x14ac:dyDescent="0.3">
      <c r="B40" s="1" t="s">
        <v>19</v>
      </c>
      <c r="C40" s="20"/>
      <c r="D40" s="20"/>
      <c r="E40" s="20"/>
      <c r="F40" s="20"/>
    </row>
    <row r="41" spans="1:12" x14ac:dyDescent="0.3">
      <c r="B41" s="2" t="s">
        <v>80</v>
      </c>
      <c r="C41" s="20"/>
      <c r="D41" s="20"/>
      <c r="E41" s="20"/>
      <c r="F41" s="20"/>
    </row>
    <row r="42" spans="1:12" x14ac:dyDescent="0.3">
      <c r="B42" s="2" t="s">
        <v>81</v>
      </c>
      <c r="C42" s="15">
        <v>561</v>
      </c>
      <c r="D42" s="15">
        <v>690</v>
      </c>
      <c r="E42" s="15">
        <v>852.59</v>
      </c>
      <c r="F42" s="15">
        <v>972.96</v>
      </c>
      <c r="G42">
        <f>rBS!H39</f>
        <v>0</v>
      </c>
      <c r="H42">
        <f>rBS!I39</f>
        <v>0</v>
      </c>
      <c r="I42">
        <f>rBS!J39</f>
        <v>0</v>
      </c>
      <c r="J42">
        <f>rBS!K39</f>
        <v>0</v>
      </c>
      <c r="K42">
        <f>rBS!L39</f>
        <v>0</v>
      </c>
    </row>
    <row r="43" spans="1:12" x14ac:dyDescent="0.3">
      <c r="B43" s="2" t="s">
        <v>83</v>
      </c>
      <c r="C43" s="15">
        <v>25984</v>
      </c>
      <c r="D43" s="15">
        <v>31260</v>
      </c>
      <c r="E43" s="15">
        <v>29755.439999999999</v>
      </c>
      <c r="F43" s="15">
        <v>33671.14</v>
      </c>
      <c r="G43" s="23">
        <f>rBS!$H$43*'P&amp;L'!G10/365*2-BS!F43</f>
        <v>40410.401582274921</v>
      </c>
      <c r="H43" s="23">
        <f>rBS!$H$43*'P&amp;L'!H10/365*2-BS!G43</f>
        <v>40459.14095063736</v>
      </c>
      <c r="I43" s="23">
        <f>rBS!$H$43*'P&amp;L'!I10/365*2-BS!H43</f>
        <v>47823.65369566335</v>
      </c>
      <c r="J43" s="23">
        <f>rBS!$H$43*'P&amp;L'!J10/365*2-BS!I43</f>
        <v>48555.621721908406</v>
      </c>
      <c r="K43" s="23">
        <f>rBS!$H$43*'P&amp;L'!K10/365*2-BS!J43</f>
        <v>56666.76169749035</v>
      </c>
    </row>
    <row r="44" spans="1:12" x14ac:dyDescent="0.3">
      <c r="B44" s="2" t="s">
        <v>82</v>
      </c>
      <c r="C44" s="16">
        <v>2886</v>
      </c>
      <c r="D44" s="16">
        <v>3236</v>
      </c>
      <c r="E44" s="16">
        <v>3476.32</v>
      </c>
      <c r="F44" s="16">
        <v>4720.03</v>
      </c>
      <c r="G44" s="23">
        <f>F44</f>
        <v>4720.03</v>
      </c>
      <c r="H44" s="23">
        <f t="shared" ref="H44:K44" si="17">G44</f>
        <v>4720.03</v>
      </c>
      <c r="I44" s="23">
        <f t="shared" si="17"/>
        <v>4720.03</v>
      </c>
      <c r="J44" s="23">
        <f t="shared" si="17"/>
        <v>4720.03</v>
      </c>
      <c r="K44" s="23">
        <f t="shared" si="17"/>
        <v>4720.03</v>
      </c>
      <c r="L44" s="44"/>
    </row>
    <row r="45" spans="1:12" x14ac:dyDescent="0.3">
      <c r="B45" s="2" t="s">
        <v>84</v>
      </c>
      <c r="C45" s="17">
        <v>4256</v>
      </c>
      <c r="D45" s="17">
        <v>5092</v>
      </c>
      <c r="E45" s="17">
        <v>5906.04</v>
      </c>
      <c r="F45" s="17">
        <v>7132.42</v>
      </c>
      <c r="G45" s="23">
        <f>F45</f>
        <v>7132.42</v>
      </c>
      <c r="H45" s="23">
        <f t="shared" ref="H45:K45" si="18">G45</f>
        <v>7132.42</v>
      </c>
      <c r="I45" s="23">
        <f t="shared" si="18"/>
        <v>7132.42</v>
      </c>
      <c r="J45" s="23">
        <f t="shared" si="18"/>
        <v>7132.42</v>
      </c>
      <c r="K45" s="23">
        <f t="shared" si="18"/>
        <v>7132.42</v>
      </c>
    </row>
    <row r="46" spans="1:12" x14ac:dyDescent="0.3">
      <c r="B46" s="2" t="s">
        <v>85</v>
      </c>
      <c r="C46" s="15">
        <v>1025</v>
      </c>
      <c r="D46" s="15">
        <v>1159</v>
      </c>
      <c r="E46" s="15">
        <v>1532.03</v>
      </c>
      <c r="F46" s="15">
        <v>1851.9</v>
      </c>
      <c r="G46" s="23">
        <f>F46</f>
        <v>1851.9</v>
      </c>
      <c r="H46" s="23">
        <f t="shared" ref="H46:K46" si="19">G46</f>
        <v>1851.9</v>
      </c>
      <c r="I46" s="23">
        <f t="shared" si="19"/>
        <v>1851.9</v>
      </c>
      <c r="J46" s="23">
        <f t="shared" si="19"/>
        <v>1851.9</v>
      </c>
      <c r="K46" s="23">
        <f t="shared" si="19"/>
        <v>1851.9</v>
      </c>
      <c r="L46" s="44"/>
    </row>
    <row r="47" spans="1:12" x14ac:dyDescent="0.3">
      <c r="B47" s="2" t="s">
        <v>86</v>
      </c>
      <c r="C47" s="15">
        <v>389</v>
      </c>
      <c r="D47" s="15">
        <v>435</v>
      </c>
      <c r="E47" s="15">
        <v>344.17</v>
      </c>
      <c r="F47" s="15">
        <v>636.14</v>
      </c>
      <c r="G47" s="23">
        <f>F47</f>
        <v>636.14</v>
      </c>
      <c r="H47" s="23">
        <f t="shared" ref="H47:K47" si="20">G47</f>
        <v>636.14</v>
      </c>
      <c r="I47" s="23">
        <f t="shared" si="20"/>
        <v>636.14</v>
      </c>
      <c r="J47" s="23">
        <f t="shared" si="20"/>
        <v>636.14</v>
      </c>
      <c r="K47" s="23">
        <f t="shared" si="20"/>
        <v>636.14</v>
      </c>
    </row>
    <row r="48" spans="1:12" x14ac:dyDescent="0.3">
      <c r="B48" s="45"/>
      <c r="C48" s="18">
        <f>SUM(C42:C47)</f>
        <v>35101</v>
      </c>
      <c r="D48" s="18">
        <f>SUM(D42:D47)</f>
        <v>41872</v>
      </c>
      <c r="E48" s="18">
        <f>SUM(E42:E47)</f>
        <v>41866.589999999997</v>
      </c>
      <c r="F48" s="18">
        <f>SUM(F42:F47)</f>
        <v>48984.59</v>
      </c>
      <c r="G48" s="18">
        <f t="shared" ref="G48:K48" si="21">SUM(G42:G47)</f>
        <v>54750.891582274919</v>
      </c>
      <c r="H48" s="18">
        <f t="shared" si="21"/>
        <v>54799.630950637358</v>
      </c>
      <c r="I48" s="18">
        <f t="shared" si="21"/>
        <v>62164.143695663348</v>
      </c>
      <c r="J48" s="18">
        <f t="shared" si="21"/>
        <v>62896.111721908404</v>
      </c>
      <c r="K48" s="18">
        <f t="shared" si="21"/>
        <v>71007.251697490341</v>
      </c>
      <c r="L48" s="44"/>
    </row>
    <row r="49" spans="1:12" x14ac:dyDescent="0.3">
      <c r="B49" s="2" t="s">
        <v>113</v>
      </c>
      <c r="C49" s="15">
        <v>63</v>
      </c>
      <c r="D49" s="15"/>
      <c r="E49" s="15"/>
      <c r="F49" s="15"/>
    </row>
    <row r="50" spans="1:12" x14ac:dyDescent="0.3">
      <c r="A50" s="9" t="s">
        <v>71</v>
      </c>
      <c r="B50" s="6" t="s">
        <v>20</v>
      </c>
      <c r="C50" s="18">
        <f>SUM(C48:C49)</f>
        <v>35164</v>
      </c>
      <c r="D50" s="18">
        <f>SUM(D48:D49)</f>
        <v>41872</v>
      </c>
      <c r="E50" s="18">
        <f>SUM(E48:E49)</f>
        <v>41866.589999999997</v>
      </c>
      <c r="F50" s="18">
        <f>SUM(F48:F49)</f>
        <v>48984.59</v>
      </c>
      <c r="G50" s="18">
        <f t="shared" ref="G50:K50" si="22">SUM(G48:G49)</f>
        <v>54750.891582274919</v>
      </c>
      <c r="H50" s="18">
        <f t="shared" si="22"/>
        <v>54799.630950637358</v>
      </c>
      <c r="I50" s="18">
        <f t="shared" si="22"/>
        <v>62164.143695663348</v>
      </c>
      <c r="J50" s="18">
        <f t="shared" si="22"/>
        <v>62896.111721908404</v>
      </c>
      <c r="K50" s="18">
        <f t="shared" si="22"/>
        <v>71007.251697490341</v>
      </c>
      <c r="L50" s="44"/>
    </row>
    <row r="51" spans="1:12" x14ac:dyDescent="0.3">
      <c r="B51" s="1"/>
      <c r="C51" s="21"/>
      <c r="D51" s="21"/>
      <c r="E51" s="21"/>
      <c r="F51" s="21"/>
    </row>
    <row r="52" spans="1:12" x14ac:dyDescent="0.3">
      <c r="B52" s="6" t="s">
        <v>21</v>
      </c>
      <c r="C52" s="18">
        <f>SUM(C50,C38)</f>
        <v>39185</v>
      </c>
      <c r="D52" s="18">
        <f>SUM(D50,D38)</f>
        <v>46359</v>
      </c>
      <c r="E52" s="18">
        <f>SUM(E50,E38)</f>
        <v>47261.89</v>
      </c>
      <c r="F52" s="18">
        <f>SUM(F50,F38)</f>
        <v>55469.75</v>
      </c>
      <c r="G52" s="18">
        <f t="shared" ref="G52:K52" si="23">SUM(G50,G38)</f>
        <v>61236.051582274915</v>
      </c>
      <c r="H52" s="18">
        <f t="shared" si="23"/>
        <v>61284.790950637354</v>
      </c>
      <c r="I52" s="18">
        <f t="shared" si="23"/>
        <v>68649.303695663344</v>
      </c>
      <c r="J52" s="18">
        <f t="shared" si="23"/>
        <v>69381.271721908401</v>
      </c>
      <c r="K52" s="18">
        <f t="shared" si="23"/>
        <v>77492.411697490345</v>
      </c>
      <c r="L52" s="44"/>
    </row>
    <row r="53" spans="1:12" ht="15" thickBot="1" x14ac:dyDescent="0.35">
      <c r="B53" s="1"/>
      <c r="C53" s="21"/>
      <c r="D53" s="21"/>
      <c r="E53" s="21"/>
      <c r="F53" s="21"/>
    </row>
    <row r="54" spans="1:12" ht="16.8" thickTop="1" thickBot="1" x14ac:dyDescent="0.35">
      <c r="A54" s="9" t="s">
        <v>71</v>
      </c>
      <c r="B54" s="7" t="s">
        <v>22</v>
      </c>
      <c r="C54" s="22">
        <f>SUM(C52,C31)</f>
        <v>94192</v>
      </c>
      <c r="D54" s="22">
        <f>SUM(D52,D31)</f>
        <v>89921</v>
      </c>
      <c r="E54" s="22">
        <f>SUM(E52,E31)</f>
        <v>84984.35</v>
      </c>
      <c r="F54" s="22">
        <f>SUM(F52,F31)</f>
        <v>115171.45000000001</v>
      </c>
      <c r="G54" s="22">
        <f t="shared" ref="G54:K54" si="24">SUM(G52,G31)</f>
        <v>140978.67381854859</v>
      </c>
      <c r="H54" s="22">
        <f t="shared" si="24"/>
        <v>162698.30603277904</v>
      </c>
      <c r="I54" s="22">
        <f t="shared" si="24"/>
        <v>193510.46969625007</v>
      </c>
      <c r="J54" s="22">
        <f t="shared" si="24"/>
        <v>219627.02641561028</v>
      </c>
      <c r="K54" s="22">
        <f t="shared" si="24"/>
        <v>255234.50315351685</v>
      </c>
      <c r="L54" s="44"/>
    </row>
    <row r="55" spans="1:12" ht="15" thickTop="1" x14ac:dyDescent="0.3">
      <c r="C55" s="23"/>
      <c r="D55" s="23"/>
      <c r="E55" s="23"/>
      <c r="F55" s="23"/>
    </row>
    <row r="56" spans="1:12" x14ac:dyDescent="0.3">
      <c r="C56" s="23"/>
      <c r="D56" s="23"/>
      <c r="E56" s="23"/>
      <c r="F56" s="23"/>
    </row>
    <row r="57" spans="1:12" ht="15.6" x14ac:dyDescent="0.3">
      <c r="B57" s="11" t="s">
        <v>87</v>
      </c>
      <c r="C57" s="58" t="str">
        <f>IF(C26=C54,"-",C26-C54)</f>
        <v>-</v>
      </c>
      <c r="D57" s="58" t="str">
        <f t="shared" ref="D57:K57" si="25">IF(D26=D54,"-",D26-D54)</f>
        <v>-</v>
      </c>
      <c r="E57" s="58" t="str">
        <f t="shared" si="25"/>
        <v>-</v>
      </c>
      <c r="F57" s="58" t="str">
        <f>IF(F26=F54,"-",F26-F54)</f>
        <v>-</v>
      </c>
      <c r="G57" s="58" t="str">
        <f t="shared" si="25"/>
        <v>-</v>
      </c>
      <c r="H57" s="58" t="str">
        <f t="shared" si="25"/>
        <v>-</v>
      </c>
      <c r="I57" s="58" t="str">
        <f t="shared" si="25"/>
        <v>-</v>
      </c>
      <c r="J57" s="58" t="str">
        <f t="shared" si="25"/>
        <v>-</v>
      </c>
      <c r="K57" s="58" t="str">
        <f t="shared" si="25"/>
        <v>-</v>
      </c>
    </row>
    <row r="64" spans="1:12" x14ac:dyDescent="0.3">
      <c r="B64" s="2"/>
      <c r="C64" s="15"/>
      <c r="D64" s="15"/>
      <c r="E64" s="15"/>
      <c r="F64" s="15"/>
    </row>
    <row r="65" spans="2:6" x14ac:dyDescent="0.3">
      <c r="B65" s="2"/>
      <c r="C65" s="15"/>
      <c r="D65" s="15"/>
      <c r="E65" s="15"/>
      <c r="F65" s="15"/>
    </row>
  </sheetData>
  <sheetProtection algorithmName="SHA-512" hashValue="ZVVEqWdK4NeHpjZE5lEMG3Jvg0sJg5LWkHL/XTiqxz5Bt1znIaw9gqv5WNEFHRr8snFDlmi+lJuD9l6pIzZlzA==" saltValue="cq98eC13ypsewZlvaXTf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D615-09B4-48EA-94B1-0AECBB206504}">
  <sheetPr codeName="Sheet4"/>
  <dimension ref="A1:K61"/>
  <sheetViews>
    <sheetView showGridLines="0" topLeftCell="B41" zoomScale="85" zoomScaleNormal="72" workbookViewId="0">
      <selection activeCell="L51" sqref="L51"/>
    </sheetView>
  </sheetViews>
  <sheetFormatPr defaultRowHeight="14.4" x14ac:dyDescent="0.3"/>
  <cols>
    <col min="1" max="1" width="1.77734375" style="27" customWidth="1"/>
    <col min="2" max="2" width="74.21875" customWidth="1"/>
    <col min="3" max="11" width="12.77734375" customWidth="1"/>
    <col min="12" max="14" width="39.88671875" customWidth="1"/>
  </cols>
  <sheetData>
    <row r="1" spans="1:11" x14ac:dyDescent="0.3">
      <c r="B1" s="12" t="s">
        <v>0</v>
      </c>
      <c r="C1" s="13">
        <f>'P&amp;L'!C1</f>
        <v>44652</v>
      </c>
      <c r="D1" s="13">
        <f t="shared" ref="D1:K1" si="0">EDATE(C1,12)</f>
        <v>45017</v>
      </c>
      <c r="E1" s="13">
        <f t="shared" si="0"/>
        <v>45383</v>
      </c>
      <c r="F1" s="13">
        <f t="shared" si="0"/>
        <v>45748</v>
      </c>
      <c r="G1" s="14">
        <f t="shared" si="0"/>
        <v>46113</v>
      </c>
      <c r="H1" s="14">
        <f t="shared" si="0"/>
        <v>46478</v>
      </c>
      <c r="I1" s="14">
        <f t="shared" si="0"/>
        <v>46844</v>
      </c>
      <c r="J1" s="14">
        <f t="shared" si="0"/>
        <v>47209</v>
      </c>
      <c r="K1" s="14">
        <f t="shared" si="0"/>
        <v>47574</v>
      </c>
    </row>
    <row r="2" spans="1:11" x14ac:dyDescent="0.3">
      <c r="B2" s="32" t="s">
        <v>42</v>
      </c>
      <c r="C2" s="2"/>
    </row>
    <row r="3" spans="1:11" x14ac:dyDescent="0.3">
      <c r="B3" s="32"/>
      <c r="C3" s="2"/>
    </row>
    <row r="4" spans="1:11" x14ac:dyDescent="0.3">
      <c r="A4" s="27" t="s">
        <v>71</v>
      </c>
      <c r="B4" s="25" t="str">
        <f>B6&amp;"from Continuing Operation "</f>
        <v xml:space="preserve">Profit before taxfrom Continuing Operation </v>
      </c>
      <c r="C4" s="25">
        <f>'P&amp;L'!C23</f>
        <v>16316</v>
      </c>
      <c r="D4" s="25">
        <f>'P&amp;L'!D23</f>
        <v>18203</v>
      </c>
      <c r="E4" s="25"/>
      <c r="F4" s="25"/>
    </row>
    <row r="5" spans="1:11" x14ac:dyDescent="0.3">
      <c r="B5" s="8" t="str">
        <f>'P&amp;L'!B34</f>
        <v xml:space="preserve">   Loss from Discontinued Operations  before tax</v>
      </c>
      <c r="C5" s="19">
        <f>'P&amp;L'!C34</f>
        <v>-418</v>
      </c>
      <c r="D5" s="19">
        <f>'P&amp;L'!D34</f>
        <v>-42</v>
      </c>
      <c r="E5" s="31"/>
      <c r="F5" s="31"/>
    </row>
    <row r="6" spans="1:11" x14ac:dyDescent="0.3">
      <c r="B6" s="37" t="s">
        <v>32</v>
      </c>
      <c r="C6" s="25">
        <f>SUM(C4:C5)</f>
        <v>15898</v>
      </c>
      <c r="D6" s="25">
        <f>SUM(D4:D5)</f>
        <v>18161</v>
      </c>
      <c r="E6" s="25">
        <f>'P&amp;L'!E23</f>
        <v>20371.169999999976</v>
      </c>
      <c r="F6" s="25">
        <f>'P&amp;L'!F23</f>
        <v>29631.11000000003</v>
      </c>
      <c r="G6" s="25">
        <f>'P&amp;L'!G23</f>
        <v>26721.22964836489</v>
      </c>
      <c r="H6" s="25">
        <f>'P&amp;L'!H23</f>
        <v>28894.523794490673</v>
      </c>
      <c r="I6" s="25">
        <f>'P&amp;L'!I23</f>
        <v>31263.534557926738</v>
      </c>
      <c r="J6" s="25">
        <f>'P&amp;L'!J23</f>
        <v>33846.118257486902</v>
      </c>
      <c r="K6" s="25">
        <f>'P&amp;L'!K23</f>
        <v>36661.782349766159</v>
      </c>
    </row>
    <row r="7" spans="1:11" x14ac:dyDescent="0.3">
      <c r="B7" s="2"/>
      <c r="C7" s="3"/>
      <c r="D7" s="3"/>
      <c r="E7" s="3"/>
      <c r="F7" s="3"/>
    </row>
    <row r="8" spans="1:11" x14ac:dyDescent="0.3">
      <c r="B8" s="38" t="s">
        <v>43</v>
      </c>
      <c r="C8" s="2"/>
      <c r="D8" s="2"/>
      <c r="E8" s="2"/>
      <c r="F8" s="2"/>
    </row>
    <row r="9" spans="1:11" x14ac:dyDescent="0.3">
      <c r="B9" s="2" t="s">
        <v>94</v>
      </c>
      <c r="C9" s="15">
        <v>2612</v>
      </c>
      <c r="D9" s="15">
        <v>3004</v>
      </c>
      <c r="E9" s="15">
        <v>3643.69</v>
      </c>
      <c r="F9" s="15">
        <v>3803.57</v>
      </c>
      <c r="G9" s="50">
        <f>'P&amp;L'!G18</f>
        <v>4305.2535356245871</v>
      </c>
      <c r="H9" s="50">
        <f>'P&amp;L'!H18</f>
        <v>4933.7588929699677</v>
      </c>
      <c r="I9" s="50">
        <f>'P&amp;L'!I18</f>
        <v>5619.8667103608859</v>
      </c>
      <c r="J9" s="50">
        <f>'P&amp;L'!J18</f>
        <v>6368.8843825919157</v>
      </c>
      <c r="K9" s="50">
        <f>'P&amp;L'!K18</f>
        <v>7186.6116244004343</v>
      </c>
    </row>
    <row r="10" spans="1:11" x14ac:dyDescent="0.3">
      <c r="B10" s="2" t="s">
        <v>95</v>
      </c>
      <c r="C10" s="15">
        <v>-33</v>
      </c>
      <c r="D10" s="15">
        <v>-7</v>
      </c>
      <c r="E10" s="15">
        <v>-8.42</v>
      </c>
      <c r="F10" s="15">
        <v>-33.1</v>
      </c>
    </row>
    <row r="11" spans="1:11" x14ac:dyDescent="0.3">
      <c r="B11" s="2" t="s">
        <v>96</v>
      </c>
      <c r="C11" s="15">
        <v>-1624</v>
      </c>
      <c r="D11" s="15">
        <v>-2202</v>
      </c>
      <c r="E11" s="15">
        <v>-1989.48</v>
      </c>
      <c r="F11" s="15">
        <v>-2476.9899999999998</v>
      </c>
    </row>
    <row r="12" spans="1:11" x14ac:dyDescent="0.3">
      <c r="B12" s="2" t="s">
        <v>97</v>
      </c>
      <c r="C12" s="15">
        <v>225</v>
      </c>
      <c r="D12" s="15">
        <v>225</v>
      </c>
      <c r="E12" s="15">
        <v>269.42</v>
      </c>
      <c r="F12" s="15">
        <v>304.58999999999997</v>
      </c>
      <c r="G12" s="19">
        <f>'P&amp;L'!G22</f>
        <v>313.41851162028621</v>
      </c>
      <c r="H12" s="19">
        <f>'P&amp;L'!H22</f>
        <v>313.41851162028621</v>
      </c>
      <c r="I12" s="19">
        <f>'P&amp;L'!I22</f>
        <v>313.41851162028621</v>
      </c>
      <c r="J12" s="19">
        <f>'P&amp;L'!J22</f>
        <v>313.41851162028621</v>
      </c>
      <c r="K12" s="19">
        <f>'P&amp;L'!K22</f>
        <v>313.41851162028621</v>
      </c>
    </row>
    <row r="13" spans="1:11" x14ac:dyDescent="0.3">
      <c r="B13" s="2" t="s">
        <v>98</v>
      </c>
      <c r="C13" s="15">
        <v>1</v>
      </c>
      <c r="D13" s="15">
        <v>3</v>
      </c>
      <c r="E13" s="15">
        <v>3.21</v>
      </c>
      <c r="F13" s="15">
        <v>18.03</v>
      </c>
    </row>
    <row r="14" spans="1:11" x14ac:dyDescent="0.3">
      <c r="B14" s="2" t="s">
        <v>99</v>
      </c>
      <c r="C14" s="15">
        <v>73</v>
      </c>
      <c r="D14" s="15">
        <v>48</v>
      </c>
      <c r="E14" s="15">
        <v>-15.48</v>
      </c>
      <c r="F14" s="15">
        <v>-127.68</v>
      </c>
    </row>
    <row r="15" spans="1:11" x14ac:dyDescent="0.3">
      <c r="B15" s="2" t="s">
        <v>100</v>
      </c>
      <c r="C15" s="15">
        <v>13</v>
      </c>
      <c r="D15" s="15">
        <v>19</v>
      </c>
      <c r="E15" s="15">
        <v>13.63</v>
      </c>
      <c r="F15" s="15">
        <v>1.71</v>
      </c>
    </row>
    <row r="16" spans="1:11" x14ac:dyDescent="0.3">
      <c r="B16" s="2" t="s">
        <v>102</v>
      </c>
      <c r="C16" s="15">
        <v>-94</v>
      </c>
      <c r="D16" s="15">
        <v>87</v>
      </c>
      <c r="E16" s="15">
        <v>136.94999999999999</v>
      </c>
      <c r="F16" s="15">
        <v>181.9</v>
      </c>
    </row>
    <row r="17" spans="2:11" x14ac:dyDescent="0.3">
      <c r="B17" s="2" t="s">
        <v>120</v>
      </c>
      <c r="C17" s="15">
        <v>-344</v>
      </c>
      <c r="D17" s="15"/>
      <c r="E17" s="15"/>
      <c r="F17" s="15"/>
    </row>
    <row r="18" spans="2:11" x14ac:dyDescent="0.3">
      <c r="B18" s="2" t="s">
        <v>121</v>
      </c>
      <c r="C18" s="15">
        <v>-1</v>
      </c>
      <c r="D18" s="15"/>
      <c r="E18" s="15"/>
      <c r="F18" s="15"/>
    </row>
    <row r="19" spans="2:11" x14ac:dyDescent="0.3">
      <c r="B19" s="2" t="s">
        <v>101</v>
      </c>
      <c r="C19" s="15">
        <v>62</v>
      </c>
      <c r="D19" s="15">
        <v>-19</v>
      </c>
      <c r="E19" s="15">
        <v>61.04</v>
      </c>
      <c r="F19" s="15">
        <v>-200.17</v>
      </c>
    </row>
    <row r="20" spans="2:11" x14ac:dyDescent="0.3">
      <c r="B20" s="2"/>
      <c r="C20" s="25">
        <f>SUM(C9:C19)</f>
        <v>890</v>
      </c>
      <c r="D20" s="25">
        <f>SUM(D9:D19)</f>
        <v>1158</v>
      </c>
      <c r="E20" s="25">
        <f>SUM(E9:E19)</f>
        <v>2114.56</v>
      </c>
      <c r="F20" s="25">
        <f>SUM(F9:F19)</f>
        <v>1471.8600000000004</v>
      </c>
      <c r="G20" s="25">
        <f t="shared" ref="G20:K20" si="1">SUM(G9:G19)</f>
        <v>4618.6720472448733</v>
      </c>
      <c r="H20" s="25">
        <f t="shared" si="1"/>
        <v>5247.1774045902539</v>
      </c>
      <c r="I20" s="25">
        <f t="shared" si="1"/>
        <v>5933.2852219811721</v>
      </c>
      <c r="J20" s="25">
        <f t="shared" si="1"/>
        <v>6682.3028942122019</v>
      </c>
      <c r="K20" s="25">
        <f t="shared" si="1"/>
        <v>7500.0301360207204</v>
      </c>
    </row>
    <row r="21" spans="2:11" x14ac:dyDescent="0.3">
      <c r="B21" s="2"/>
      <c r="C21" s="39"/>
      <c r="D21" s="39"/>
      <c r="E21" s="39"/>
      <c r="F21" s="39"/>
    </row>
    <row r="22" spans="2:11" x14ac:dyDescent="0.3">
      <c r="B22" s="2" t="s">
        <v>45</v>
      </c>
      <c r="C22" s="31">
        <f t="shared" ref="C22:D22" si="2">C6+C20</f>
        <v>16788</v>
      </c>
      <c r="D22" s="31">
        <f t="shared" si="2"/>
        <v>19319</v>
      </c>
      <c r="E22" s="31">
        <f>E6+E20</f>
        <v>22485.729999999978</v>
      </c>
      <c r="F22" s="31">
        <f>F6+F20</f>
        <v>31102.97000000003</v>
      </c>
      <c r="G22" s="31">
        <f t="shared" ref="G22:K22" si="3">G6+G20</f>
        <v>31339.901695609762</v>
      </c>
      <c r="H22" s="31">
        <f t="shared" si="3"/>
        <v>34141.701199080926</v>
      </c>
      <c r="I22" s="31">
        <f t="shared" si="3"/>
        <v>37196.819779907906</v>
      </c>
      <c r="J22" s="31">
        <f t="shared" si="3"/>
        <v>40528.421151699105</v>
      </c>
      <c r="K22" s="31">
        <f t="shared" si="3"/>
        <v>44161.812485786882</v>
      </c>
    </row>
    <row r="23" spans="2:11" x14ac:dyDescent="0.3">
      <c r="B23" s="38" t="s">
        <v>46</v>
      </c>
      <c r="C23" s="2"/>
      <c r="D23" s="2"/>
      <c r="E23" s="2"/>
      <c r="F23" s="2"/>
    </row>
    <row r="24" spans="2:11" x14ac:dyDescent="0.3">
      <c r="B24" s="24" t="s">
        <v>103</v>
      </c>
      <c r="C24" s="2"/>
      <c r="D24" s="2"/>
      <c r="E24" s="2"/>
      <c r="F24" s="2"/>
    </row>
    <row r="25" spans="2:11" x14ac:dyDescent="0.3">
      <c r="B25" s="2" t="s">
        <v>104</v>
      </c>
      <c r="C25" s="15">
        <v>2238</v>
      </c>
      <c r="D25" s="15">
        <v>-2262</v>
      </c>
      <c r="E25" s="15">
        <v>2468.08</v>
      </c>
      <c r="F25" s="15">
        <v>-6340.37</v>
      </c>
      <c r="G25" s="19">
        <f>-(BS!G16-BS!F16)</f>
        <v>-2458.2517929135684</v>
      </c>
      <c r="H25" s="19">
        <f>-(BS!H16-BS!G16)</f>
        <v>-3002.931701661204</v>
      </c>
      <c r="I25" s="19">
        <f>-(BS!I16-BS!H16)</f>
        <v>-3279.5354546335075</v>
      </c>
      <c r="J25" s="19">
        <f>-(BS!J16-BS!I16)</f>
        <v>-3581.7877688507724</v>
      </c>
      <c r="K25" s="19">
        <f>-(BS!K16-BS!J16)</f>
        <v>-3912.0868651921483</v>
      </c>
    </row>
    <row r="26" spans="2:11" x14ac:dyDescent="0.3">
      <c r="B26" s="2" t="s">
        <v>106</v>
      </c>
      <c r="C26" s="15">
        <v>-3282</v>
      </c>
      <c r="D26" s="15">
        <v>-1207</v>
      </c>
      <c r="E26" s="15">
        <v>-2946.03</v>
      </c>
      <c r="F26" s="15">
        <v>-5711.48</v>
      </c>
      <c r="G26" s="19">
        <f>-(BS!G18-BS!F18)</f>
        <v>2696.9145218246049</v>
      </c>
      <c r="H26" s="19">
        <f>-(BS!H18-BS!G18)</f>
        <v>-6776.8237010732482</v>
      </c>
      <c r="I26" s="19">
        <f>-(BS!I18-BS!H18)</f>
        <v>2321.1090414195787</v>
      </c>
      <c r="J26" s="19">
        <f>-(BS!J18-BS!I18)</f>
        <v>-7187.4763944202132</v>
      </c>
      <c r="K26" s="19">
        <f>-(BS!K18-BS!J18)</f>
        <v>1872.3508114820506</v>
      </c>
    </row>
    <row r="27" spans="2:11" x14ac:dyDescent="0.3">
      <c r="B27" s="2" t="s">
        <v>105</v>
      </c>
      <c r="C27" s="15">
        <v>122</v>
      </c>
      <c r="D27" s="15">
        <v>-269</v>
      </c>
      <c r="E27" s="15">
        <v>369.32</v>
      </c>
      <c r="F27" s="15">
        <v>-1154.45</v>
      </c>
      <c r="G27" s="19"/>
      <c r="H27" s="19"/>
      <c r="I27" s="19"/>
      <c r="J27" s="19"/>
      <c r="K27" s="19"/>
    </row>
    <row r="28" spans="2:11" x14ac:dyDescent="0.3">
      <c r="B28" s="2" t="s">
        <v>107</v>
      </c>
      <c r="C28" s="15">
        <v>-186</v>
      </c>
      <c r="D28" s="15">
        <v>420</v>
      </c>
      <c r="E28" s="15">
        <v>-257.92</v>
      </c>
      <c r="F28" s="15">
        <v>-801.12</v>
      </c>
      <c r="G28" s="19"/>
      <c r="H28" s="19"/>
      <c r="I28" s="19"/>
      <c r="J28" s="19"/>
      <c r="K28" s="19"/>
    </row>
    <row r="29" spans="2:11" x14ac:dyDescent="0.3">
      <c r="B29" s="2" t="s">
        <v>108</v>
      </c>
      <c r="C29" s="15">
        <v>-30</v>
      </c>
      <c r="D29" s="15">
        <v>10</v>
      </c>
      <c r="E29" s="15">
        <v>-4.5999999999999996</v>
      </c>
      <c r="F29" s="15">
        <v>-13.57</v>
      </c>
      <c r="G29" s="19"/>
      <c r="H29" s="19"/>
      <c r="I29" s="19"/>
      <c r="J29" s="19"/>
      <c r="K29" s="19"/>
    </row>
    <row r="30" spans="2:11" x14ac:dyDescent="0.3">
      <c r="B30" s="2"/>
      <c r="C30" s="15"/>
      <c r="D30" s="15"/>
      <c r="E30" s="15"/>
      <c r="F30" s="15"/>
      <c r="G30" s="19"/>
      <c r="H30" s="19"/>
      <c r="I30" s="19"/>
      <c r="J30" s="19"/>
      <c r="K30" s="19"/>
    </row>
    <row r="31" spans="2:11" x14ac:dyDescent="0.3">
      <c r="B31" s="24" t="s">
        <v>47</v>
      </c>
      <c r="C31" s="15"/>
      <c r="D31" s="15"/>
      <c r="E31" s="15"/>
      <c r="F31" s="15"/>
      <c r="G31" s="19"/>
      <c r="H31" s="19"/>
      <c r="I31" s="19"/>
      <c r="J31" s="19"/>
      <c r="K31" s="19"/>
    </row>
    <row r="32" spans="2:11" x14ac:dyDescent="0.3">
      <c r="B32" s="2" t="s">
        <v>109</v>
      </c>
      <c r="C32" s="15">
        <v>-6941</v>
      </c>
      <c r="D32" s="15">
        <v>5233</v>
      </c>
      <c r="E32" s="15">
        <v>-949.38</v>
      </c>
      <c r="F32" s="15">
        <v>4153.17</v>
      </c>
      <c r="G32" s="19">
        <f>BS!G43-BS!F43</f>
        <v>6739.2615822749212</v>
      </c>
      <c r="H32" s="19">
        <f>BS!H43-BS!G43</f>
        <v>48.739368362439563</v>
      </c>
      <c r="I32" s="19">
        <f>BS!I43-BS!H43</f>
        <v>7364.5127450259897</v>
      </c>
      <c r="J32" s="19">
        <f>BS!J43-BS!I43</f>
        <v>731.96802624505654</v>
      </c>
      <c r="K32" s="19">
        <f>BS!K43-BS!J43</f>
        <v>8111.1399755819439</v>
      </c>
    </row>
    <row r="33" spans="1:11" x14ac:dyDescent="0.3">
      <c r="B33" s="2" t="s">
        <v>110</v>
      </c>
      <c r="C33" s="15">
        <v>60</v>
      </c>
      <c r="D33" s="15">
        <v>196</v>
      </c>
      <c r="E33" s="15">
        <v>181.39</v>
      </c>
      <c r="F33" s="15">
        <v>129.53</v>
      </c>
      <c r="G33" s="19"/>
      <c r="H33" s="19"/>
      <c r="I33" s="19"/>
      <c r="J33" s="19"/>
      <c r="K33" s="19"/>
    </row>
    <row r="34" spans="1:11" x14ac:dyDescent="0.3">
      <c r="B34" s="2" t="s">
        <v>111</v>
      </c>
      <c r="C34" s="15">
        <v>1105</v>
      </c>
      <c r="D34" s="15">
        <v>1002</v>
      </c>
      <c r="E34" s="15">
        <v>1327.05</v>
      </c>
      <c r="F34" s="15">
        <v>1793.84</v>
      </c>
      <c r="G34" s="19"/>
      <c r="H34" s="19"/>
      <c r="I34" s="19"/>
      <c r="J34" s="19"/>
      <c r="K34" s="19"/>
    </row>
    <row r="35" spans="1:11" x14ac:dyDescent="0.3">
      <c r="B35" s="2" t="s">
        <v>112</v>
      </c>
      <c r="C35" s="15">
        <v>121</v>
      </c>
      <c r="D35" s="15">
        <v>865</v>
      </c>
      <c r="E35" s="15">
        <v>-320.52999999999997</v>
      </c>
      <c r="F35" s="15">
        <v>919.13</v>
      </c>
      <c r="G35" s="19"/>
      <c r="H35" s="19"/>
      <c r="I35" s="19"/>
      <c r="J35" s="19"/>
      <c r="K35" s="19"/>
    </row>
    <row r="36" spans="1:11" s="31" customFormat="1" ht="13.2" x14ac:dyDescent="0.25">
      <c r="A36" s="40"/>
      <c r="C36" s="18">
        <f t="shared" ref="C36:D36" si="4">SUM(C25:C35)</f>
        <v>-6793</v>
      </c>
      <c r="D36" s="18">
        <f t="shared" si="4"/>
        <v>3988</v>
      </c>
      <c r="E36" s="18">
        <f>SUM(E25:E35)</f>
        <v>-132.62000000000035</v>
      </c>
      <c r="F36" s="18">
        <f>SUM(F25:F35)</f>
        <v>-7025.3199999999988</v>
      </c>
      <c r="G36" s="18">
        <f t="shared" ref="G36:K36" si="5">SUM(G25:G35)</f>
        <v>6977.9243111859578</v>
      </c>
      <c r="H36" s="18">
        <f t="shared" si="5"/>
        <v>-9731.0160343720127</v>
      </c>
      <c r="I36" s="18">
        <f t="shared" si="5"/>
        <v>6406.086331812061</v>
      </c>
      <c r="J36" s="18">
        <f t="shared" si="5"/>
        <v>-10037.296137025929</v>
      </c>
      <c r="K36" s="18">
        <f t="shared" si="5"/>
        <v>6071.4039218718463</v>
      </c>
    </row>
    <row r="37" spans="1:11" x14ac:dyDescent="0.3">
      <c r="B37" s="2" t="s">
        <v>48</v>
      </c>
      <c r="C37" s="3">
        <f t="shared" ref="C37:D37" si="6">C22+C36</f>
        <v>9995</v>
      </c>
      <c r="D37" s="3">
        <f t="shared" si="6"/>
        <v>23307</v>
      </c>
      <c r="E37" s="3">
        <f>E22+E36</f>
        <v>22353.109999999979</v>
      </c>
      <c r="F37" s="3">
        <f>F22+F36</f>
        <v>24077.650000000031</v>
      </c>
      <c r="G37" s="3">
        <f>G22+G36</f>
        <v>38317.826006795716</v>
      </c>
      <c r="H37" s="3">
        <f t="shared" ref="H37:K37" si="7">H22+H36</f>
        <v>24410.685164708913</v>
      </c>
      <c r="I37" s="3">
        <f t="shared" si="7"/>
        <v>43602.906111719967</v>
      </c>
      <c r="J37" s="3">
        <f t="shared" si="7"/>
        <v>30491.125014673176</v>
      </c>
      <c r="K37" s="3">
        <f t="shared" si="7"/>
        <v>50233.216407658729</v>
      </c>
    </row>
    <row r="38" spans="1:11" x14ac:dyDescent="0.3">
      <c r="B38" s="2" t="s">
        <v>49</v>
      </c>
      <c r="C38" s="15">
        <v>-4016</v>
      </c>
      <c r="D38" s="15">
        <v>-4425</v>
      </c>
      <c r="E38" s="15">
        <v>-5698.5</v>
      </c>
      <c r="F38" s="15">
        <v>-7538.73</v>
      </c>
      <c r="G38" s="23">
        <f>-'P&amp;L'!G29</f>
        <v>-6680.3074120912224</v>
      </c>
      <c r="H38" s="23">
        <f>-'P&amp;L'!H29</f>
        <v>-7223.6309486226683</v>
      </c>
      <c r="I38" s="23">
        <f>-'P&amp;L'!I29</f>
        <v>-7815.8836394816844</v>
      </c>
      <c r="J38" s="23">
        <f>-'P&amp;L'!J29</f>
        <v>-8461.5295643717254</v>
      </c>
      <c r="K38" s="23">
        <f>-'P&amp;L'!K29</f>
        <v>-9165.4455874415398</v>
      </c>
    </row>
    <row r="39" spans="1:11" x14ac:dyDescent="0.3">
      <c r="B39" s="2"/>
      <c r="C39" s="15"/>
      <c r="D39" s="15"/>
      <c r="E39" s="15"/>
      <c r="F39" s="15"/>
    </row>
    <row r="40" spans="1:11" x14ac:dyDescent="0.3">
      <c r="A40" s="27" t="s">
        <v>71</v>
      </c>
      <c r="B40" s="37" t="s">
        <v>50</v>
      </c>
      <c r="C40" s="25">
        <f>SUM(C37:C38)</f>
        <v>5979</v>
      </c>
      <c r="D40" s="25">
        <f>SUM(D37:D38)</f>
        <v>18882</v>
      </c>
      <c r="E40" s="25">
        <f>SUM(E37:E38)</f>
        <v>16654.609999999979</v>
      </c>
      <c r="F40" s="25">
        <f>SUM(F37:F38)</f>
        <v>16538.920000000031</v>
      </c>
      <c r="G40" s="25">
        <f t="shared" ref="G40:K40" si="8">SUM(G37:G38)</f>
        <v>31637.518594704496</v>
      </c>
      <c r="H40" s="25">
        <f>SUM(H37:H38)</f>
        <v>17187.054216086246</v>
      </c>
      <c r="I40" s="25">
        <f t="shared" si="8"/>
        <v>35787.022472238285</v>
      </c>
      <c r="J40" s="25">
        <f t="shared" si="8"/>
        <v>22029.595450301451</v>
      </c>
      <c r="K40" s="25">
        <f t="shared" si="8"/>
        <v>41067.770820217193</v>
      </c>
    </row>
    <row r="41" spans="1:11" x14ac:dyDescent="0.3">
      <c r="B41" s="2"/>
      <c r="C41" s="2"/>
      <c r="D41" s="2"/>
      <c r="E41" s="2"/>
      <c r="F41" s="2"/>
    </row>
    <row r="42" spans="1:11" x14ac:dyDescent="0.3">
      <c r="B42" s="32" t="s">
        <v>51</v>
      </c>
      <c r="C42" s="2"/>
      <c r="D42" s="2"/>
      <c r="E42" s="2"/>
      <c r="F42" s="2"/>
    </row>
    <row r="43" spans="1:11" x14ac:dyDescent="0.3">
      <c r="B43" s="32"/>
      <c r="C43" s="2"/>
      <c r="D43" s="2"/>
      <c r="E43" s="2"/>
      <c r="F43" s="2"/>
    </row>
    <row r="44" spans="1:11" ht="27" x14ac:dyDescent="0.3">
      <c r="B44" s="2" t="s">
        <v>52</v>
      </c>
      <c r="C44" s="15">
        <v>-2733</v>
      </c>
      <c r="D44" s="15">
        <v>-5171</v>
      </c>
      <c r="E44" s="15">
        <v>-2421.25</v>
      </c>
      <c r="F44" s="15">
        <v>-3393.26</v>
      </c>
      <c r="G44" s="19">
        <f>-(rBS!H4+rBS!H12)</f>
        <v>-5371.769727343707</v>
      </c>
      <c r="H44" s="19">
        <f>-(rBS!I4+rBS!I12)</f>
        <v>-5863.9784103301099</v>
      </c>
      <c r="I44" s="19">
        <f>-(rBS!J4+rBS!J12)</f>
        <v>-6401.5250438547391</v>
      </c>
      <c r="J44" s="19">
        <f>-(rBS!K4+rBS!K12)</f>
        <v>-6988.6136677710165</v>
      </c>
      <c r="K44" s="19">
        <f>-(rBS!L4+rBS!L12)</f>
        <v>-7629.8414128374197</v>
      </c>
    </row>
    <row r="45" spans="1:11" x14ac:dyDescent="0.3">
      <c r="B45" s="2" t="s">
        <v>53</v>
      </c>
      <c r="C45" s="15">
        <v>296</v>
      </c>
      <c r="D45" s="15">
        <v>197</v>
      </c>
      <c r="E45" s="15">
        <v>208.06</v>
      </c>
      <c r="F45" s="15">
        <v>593.12</v>
      </c>
      <c r="G45" s="19">
        <f>305.428376116586</f>
        <v>305.42837611658598</v>
      </c>
    </row>
    <row r="46" spans="1:11" ht="27" x14ac:dyDescent="0.3">
      <c r="B46" s="2" t="s">
        <v>54</v>
      </c>
      <c r="C46" s="15">
        <v>38</v>
      </c>
      <c r="D46" s="15">
        <v>33</v>
      </c>
      <c r="E46" s="15">
        <v>19.14</v>
      </c>
      <c r="F46" s="15">
        <v>47.7</v>
      </c>
    </row>
    <row r="47" spans="1:11" x14ac:dyDescent="0.3">
      <c r="B47" s="2" t="s">
        <v>44</v>
      </c>
      <c r="C47" s="15">
        <v>1667</v>
      </c>
      <c r="D47" s="15">
        <v>2202</v>
      </c>
      <c r="E47" s="15">
        <v>1989.48</v>
      </c>
      <c r="F47" s="15">
        <v>2476.9899999999998</v>
      </c>
    </row>
    <row r="48" spans="1:11" x14ac:dyDescent="0.3">
      <c r="A48" s="27" t="s">
        <v>71</v>
      </c>
      <c r="B48" s="37" t="s">
        <v>55</v>
      </c>
      <c r="C48" s="18">
        <f t="shared" ref="C48:D48" si="9">SUM(C44:C47)</f>
        <v>-732</v>
      </c>
      <c r="D48" s="18">
        <f t="shared" si="9"/>
        <v>-2739</v>
      </c>
      <c r="E48" s="18">
        <f>SUM(E44:E47)</f>
        <v>-204.57000000000016</v>
      </c>
      <c r="F48" s="18">
        <f>SUM(F44:F47)</f>
        <v>-275.45000000000073</v>
      </c>
      <c r="G48" s="18">
        <f t="shared" ref="G48:K48" si="10">SUM(G44:G47)</f>
        <v>-5066.3413512271209</v>
      </c>
      <c r="H48" s="18">
        <f t="shared" si="10"/>
        <v>-5863.9784103301099</v>
      </c>
      <c r="I48" s="18">
        <f t="shared" si="10"/>
        <v>-6401.5250438547391</v>
      </c>
      <c r="J48" s="18">
        <f t="shared" si="10"/>
        <v>-6988.6136677710165</v>
      </c>
      <c r="K48" s="18">
        <f t="shared" si="10"/>
        <v>-7629.8414128374197</v>
      </c>
    </row>
    <row r="49" spans="1:11" x14ac:dyDescent="0.3">
      <c r="B49" s="2"/>
      <c r="C49" s="2"/>
      <c r="D49" s="2"/>
      <c r="E49" s="2"/>
      <c r="F49" s="2"/>
    </row>
    <row r="50" spans="1:11" x14ac:dyDescent="0.3">
      <c r="B50" s="32" t="s">
        <v>56</v>
      </c>
      <c r="C50" s="2"/>
      <c r="D50" s="2"/>
      <c r="E50" s="2"/>
      <c r="F50" s="2"/>
    </row>
    <row r="51" spans="1:11" x14ac:dyDescent="0.3">
      <c r="B51" s="32"/>
      <c r="C51" s="2"/>
      <c r="D51" s="2"/>
      <c r="E51" s="2"/>
      <c r="F51" s="2"/>
    </row>
    <row r="52" spans="1:11" x14ac:dyDescent="0.3">
      <c r="B52" s="2" t="s">
        <v>57</v>
      </c>
      <c r="C52" s="15">
        <v>-414</v>
      </c>
      <c r="D52" s="15">
        <v>-494</v>
      </c>
      <c r="E52" s="15">
        <v>-654.29</v>
      </c>
      <c r="F52" s="15">
        <v>-759.95</v>
      </c>
      <c r="G52" s="19">
        <f>-rBS!G39</f>
        <v>-972.96</v>
      </c>
      <c r="H52" s="19">
        <v>-29.059222320036501</v>
      </c>
      <c r="I52" s="19">
        <v>-24.4284419569594</v>
      </c>
      <c r="J52" s="19">
        <v>-19.380968062498098</v>
      </c>
      <c r="K52" s="19">
        <v>-13.879313870303999</v>
      </c>
    </row>
    <row r="53" spans="1:11" x14ac:dyDescent="0.3">
      <c r="B53" s="2" t="s">
        <v>58</v>
      </c>
      <c r="C53" s="15">
        <v>-225</v>
      </c>
      <c r="D53" s="15">
        <v>-225</v>
      </c>
      <c r="E53" s="15">
        <v>-269.42</v>
      </c>
      <c r="F53" s="15">
        <v>-304.58999999999997</v>
      </c>
      <c r="G53" s="19">
        <f>-'P&amp;L'!G22</f>
        <v>-313.41851162028621</v>
      </c>
      <c r="H53" s="19">
        <f>-'P&amp;L'!H22</f>
        <v>-313.41851162028621</v>
      </c>
      <c r="I53" s="19">
        <f>-'P&amp;L'!I22</f>
        <v>-313.41851162028621</v>
      </c>
      <c r="J53" s="19">
        <f>-'P&amp;L'!J22</f>
        <v>-313.41851162028621</v>
      </c>
      <c r="K53" s="19">
        <f>-'P&amp;L'!K22</f>
        <v>-313.41851162028621</v>
      </c>
    </row>
    <row r="54" spans="1:11" x14ac:dyDescent="0.3">
      <c r="B54" s="2" t="s">
        <v>59</v>
      </c>
      <c r="C54" s="15">
        <v>-22626</v>
      </c>
      <c r="D54" s="15">
        <v>-24888</v>
      </c>
      <c r="E54" s="15">
        <v>-20928.82</v>
      </c>
      <c r="F54" s="15"/>
    </row>
    <row r="55" spans="1:11" x14ac:dyDescent="0.3">
      <c r="A55" s="27" t="s">
        <v>71</v>
      </c>
      <c r="B55" s="37" t="s">
        <v>60</v>
      </c>
      <c r="C55" s="18">
        <f t="shared" ref="C55:E55" si="11">SUM(C52:C54)</f>
        <v>-23265</v>
      </c>
      <c r="D55" s="18">
        <f>SUM(D52:D54)</f>
        <v>-25607</v>
      </c>
      <c r="E55" s="18">
        <f t="shared" si="11"/>
        <v>-21852.53</v>
      </c>
      <c r="F55" s="18">
        <f>SUM(F52:F54)</f>
        <v>-1064.54</v>
      </c>
      <c r="G55" s="18">
        <f t="shared" ref="G55:K55" si="12">SUM(G52:G54)</f>
        <v>-1286.3785116202862</v>
      </c>
      <c r="H55" s="18">
        <f t="shared" si="12"/>
        <v>-342.47773394032271</v>
      </c>
      <c r="I55" s="18">
        <f t="shared" si="12"/>
        <v>-337.84695357724559</v>
      </c>
      <c r="J55" s="18">
        <f t="shared" si="12"/>
        <v>-332.79947968278429</v>
      </c>
      <c r="K55" s="18">
        <f t="shared" si="12"/>
        <v>-327.29782549059018</v>
      </c>
    </row>
    <row r="56" spans="1:11" x14ac:dyDescent="0.3">
      <c r="B56" s="2"/>
      <c r="C56" s="2"/>
      <c r="D56" s="2"/>
      <c r="E56" s="2"/>
      <c r="F56" s="2"/>
    </row>
    <row r="57" spans="1:11" x14ac:dyDescent="0.3">
      <c r="A57" s="27" t="s">
        <v>71</v>
      </c>
      <c r="B57" s="37" t="s">
        <v>61</v>
      </c>
      <c r="C57" s="18">
        <f t="shared" ref="C57:D57" si="13">SUM(C40,C48,C55)</f>
        <v>-18018</v>
      </c>
      <c r="D57" s="18">
        <f t="shared" si="13"/>
        <v>-9464</v>
      </c>
      <c r="E57" s="18">
        <f>SUM(E40,E48,E55)</f>
        <v>-5402.4900000000198</v>
      </c>
      <c r="F57" s="18">
        <f>SUM(F40,F48,F55)</f>
        <v>15198.930000000029</v>
      </c>
      <c r="G57" s="18">
        <f>SUM(G40,G48,G55)</f>
        <v>25284.798731857089</v>
      </c>
      <c r="H57" s="18">
        <f t="shared" ref="H57:K57" si="14">SUM(H40,H48,H55)</f>
        <v>10980.598071815813</v>
      </c>
      <c r="I57" s="18">
        <f t="shared" si="14"/>
        <v>29047.650474806302</v>
      </c>
      <c r="J57" s="18">
        <f t="shared" si="14"/>
        <v>14708.18230284765</v>
      </c>
      <c r="K57" s="18">
        <f t="shared" si="14"/>
        <v>33110.631581889182</v>
      </c>
    </row>
    <row r="58" spans="1:11" x14ac:dyDescent="0.3">
      <c r="B58" s="2" t="s">
        <v>62</v>
      </c>
      <c r="C58" s="15">
        <v>55108</v>
      </c>
      <c r="D58" s="19">
        <f>C61</f>
        <v>37094</v>
      </c>
      <c r="E58" s="19">
        <f>D61-0.12</f>
        <v>27625.88</v>
      </c>
      <c r="F58" s="19">
        <f>E61</f>
        <v>22226.049999999981</v>
      </c>
      <c r="G58" s="19">
        <f>F61</f>
        <v>37414.73000000001</v>
      </c>
      <c r="H58" s="19">
        <f>G61</f>
        <v>62699.528731857099</v>
      </c>
      <c r="I58" s="19">
        <f>H61</f>
        <v>73680.126803672916</v>
      </c>
      <c r="J58" s="19">
        <f t="shared" ref="J58:K58" si="15">I61</f>
        <v>102727.77727847922</v>
      </c>
      <c r="K58" s="19">
        <f t="shared" si="15"/>
        <v>117435.95958132687</v>
      </c>
    </row>
    <row r="59" spans="1:11" x14ac:dyDescent="0.3">
      <c r="B59" s="2" t="s">
        <v>63</v>
      </c>
      <c r="C59" s="15">
        <v>4</v>
      </c>
      <c r="D59" s="15">
        <v>-4</v>
      </c>
      <c r="E59" s="15">
        <v>2.66</v>
      </c>
      <c r="F59" s="15">
        <v>-10.25</v>
      </c>
    </row>
    <row r="60" spans="1:11" x14ac:dyDescent="0.3">
      <c r="B60" s="2"/>
      <c r="C60" s="4"/>
      <c r="D60" s="4"/>
      <c r="E60" s="4"/>
      <c r="F60" s="4"/>
    </row>
    <row r="61" spans="1:11" x14ac:dyDescent="0.3">
      <c r="A61" s="27" t="s">
        <v>71</v>
      </c>
      <c r="B61" s="37" t="s">
        <v>64</v>
      </c>
      <c r="C61" s="18">
        <f t="shared" ref="C61" si="16">SUM(C57:C59)</f>
        <v>37094</v>
      </c>
      <c r="D61" s="18">
        <f>SUM(D57:D59)</f>
        <v>27626</v>
      </c>
      <c r="E61" s="18">
        <f>SUM(E57:E59)</f>
        <v>22226.049999999981</v>
      </c>
      <c r="F61" s="18">
        <f>SUM(F57:F59)</f>
        <v>37414.73000000001</v>
      </c>
      <c r="G61" s="18">
        <f t="shared" ref="G61:J61" si="17">SUM(G57:G59)</f>
        <v>62699.528731857099</v>
      </c>
      <c r="H61" s="18">
        <f t="shared" si="17"/>
        <v>73680.126803672916</v>
      </c>
      <c r="I61" s="18">
        <f t="shared" si="17"/>
        <v>102727.77727847922</v>
      </c>
      <c r="J61" s="18">
        <f t="shared" si="17"/>
        <v>117435.95958132687</v>
      </c>
      <c r="K61" s="18">
        <f>SUM(K57:K59)</f>
        <v>150546.59116321604</v>
      </c>
    </row>
  </sheetData>
  <sheetProtection algorithmName="SHA-512" hashValue="kGL4yW2OG+/L6rmrjn0/f2ejqi0CZpQnM2AuXI3FK8xOyOZGE3sVwphWWR0zW94b0sk7qMx2k4jNUTLA7XpTEw==" saltValue="MqRYnrgdDrnU8u85qEm51Q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F713-F2D9-441F-AC8B-F018C6C13DC7}">
  <sheetPr codeName="Sheet5"/>
  <dimension ref="A1:N45"/>
  <sheetViews>
    <sheetView showGridLines="0" topLeftCell="A25" zoomScale="98" workbookViewId="0">
      <selection activeCell="H31" sqref="H31"/>
    </sheetView>
  </sheetViews>
  <sheetFormatPr defaultRowHeight="13.8" x14ac:dyDescent="0.25"/>
  <cols>
    <col min="1" max="1" width="2" style="159" customWidth="1"/>
    <col min="2" max="2" width="17.109375" style="159" bestFit="1" customWidth="1"/>
    <col min="3" max="3" width="12.77734375" style="164" customWidth="1"/>
    <col min="4" max="4" width="19.5546875" style="164" bestFit="1" customWidth="1"/>
    <col min="5" max="6" width="12.77734375" style="164" customWidth="1"/>
    <col min="7" max="7" width="14.44140625" style="164" customWidth="1"/>
    <col min="8" max="8" width="12.77734375" style="164" customWidth="1"/>
    <col min="9" max="9" width="15" style="164" customWidth="1"/>
    <col min="10" max="10" width="12.77734375" style="164" customWidth="1"/>
    <col min="11" max="11" width="2" style="164" customWidth="1"/>
    <col min="12" max="12" width="31.5546875" style="164" bestFit="1" customWidth="1"/>
    <col min="13" max="13" width="1.44140625" style="164" customWidth="1"/>
    <col min="14" max="14" width="15.109375" style="164" bestFit="1" customWidth="1"/>
    <col min="15" max="16384" width="8.88671875" style="164"/>
  </cols>
  <sheetData>
    <row r="1" spans="2:14" x14ac:dyDescent="0.25">
      <c r="B1" s="160"/>
      <c r="C1" s="161"/>
      <c r="D1" s="162"/>
      <c r="E1" s="163"/>
      <c r="F1" s="163"/>
      <c r="G1" s="163"/>
      <c r="H1" s="163"/>
      <c r="I1" s="163"/>
      <c r="J1" s="161"/>
      <c r="K1" s="161"/>
      <c r="L1" s="161"/>
      <c r="M1" s="161"/>
      <c r="N1" s="161"/>
    </row>
    <row r="2" spans="2:14" ht="14.4" thickBot="1" x14ac:dyDescent="0.3">
      <c r="B2" s="165" t="s">
        <v>213</v>
      </c>
      <c r="C2" s="166"/>
      <c r="D2" s="166"/>
      <c r="E2" s="163"/>
      <c r="F2" s="161"/>
      <c r="G2" s="161"/>
      <c r="H2" s="161"/>
      <c r="I2" s="161"/>
      <c r="J2" s="161"/>
      <c r="K2" s="161"/>
      <c r="L2" s="161"/>
      <c r="M2" s="161"/>
      <c r="N2" s="161"/>
    </row>
    <row r="3" spans="2:14" x14ac:dyDescent="0.25">
      <c r="B3" s="167" t="s">
        <v>188</v>
      </c>
      <c r="C3" s="168"/>
      <c r="D3" s="169">
        <f>'rP&amp;L'!H23</f>
        <v>0.25</v>
      </c>
      <c r="E3" s="163"/>
      <c r="F3" s="161"/>
      <c r="G3" s="161"/>
      <c r="H3" s="161"/>
      <c r="I3" s="161"/>
      <c r="J3" s="161"/>
      <c r="K3" s="161"/>
      <c r="L3" s="161"/>
      <c r="M3" s="161"/>
      <c r="N3" s="161"/>
    </row>
    <row r="4" spans="2:14" x14ac:dyDescent="0.25">
      <c r="B4" s="170" t="s">
        <v>214</v>
      </c>
      <c r="C4" s="161"/>
      <c r="D4" s="171">
        <f>WACC!D21</f>
        <v>0.12709048296966538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</row>
    <row r="5" spans="2:14" x14ac:dyDescent="0.25">
      <c r="B5" s="161" t="s">
        <v>215</v>
      </c>
      <c r="C5" s="161"/>
      <c r="D5" s="172">
        <v>0.05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</row>
    <row r="6" spans="2:14" x14ac:dyDescent="0.25">
      <c r="B6" s="161" t="s">
        <v>216</v>
      </c>
      <c r="C6" s="161"/>
      <c r="D6" s="173">
        <v>30.27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</row>
    <row r="7" spans="2:14" x14ac:dyDescent="0.25">
      <c r="B7" s="161" t="s">
        <v>217</v>
      </c>
      <c r="C7" s="161"/>
      <c r="D7" s="174">
        <f ca="1">TODAY()</f>
        <v>46195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</row>
    <row r="8" spans="2:14" x14ac:dyDescent="0.25">
      <c r="B8" s="161" t="s">
        <v>218</v>
      </c>
      <c r="C8" s="161"/>
      <c r="D8" s="175">
        <f>'P&amp;L'!G1</f>
        <v>46113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</row>
    <row r="9" spans="2:14" x14ac:dyDescent="0.25">
      <c r="B9" s="161" t="s">
        <v>219</v>
      </c>
      <c r="C9" s="161"/>
      <c r="D9" s="176">
        <v>1561.01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</row>
    <row r="10" spans="2:14" x14ac:dyDescent="0.25">
      <c r="B10" s="161" t="s">
        <v>220</v>
      </c>
      <c r="C10" s="161"/>
      <c r="D10" s="177">
        <f>'P&amp;L'!K52</f>
        <v>678772392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</row>
    <row r="11" spans="2:14" x14ac:dyDescent="0.25">
      <c r="B11" s="161" t="s">
        <v>186</v>
      </c>
      <c r="C11" s="161"/>
      <c r="D11" s="177">
        <f>BS!F35+BS!F42</f>
        <v>4278.2800000000007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</row>
    <row r="12" spans="2:14" x14ac:dyDescent="0.25">
      <c r="B12" s="161" t="s">
        <v>221</v>
      </c>
      <c r="C12" s="161"/>
      <c r="D12" s="177">
        <f>BS!F19</f>
        <v>37414.73000000001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</row>
    <row r="13" spans="2:14" x14ac:dyDescent="0.25">
      <c r="B13" s="161" t="s">
        <v>222</v>
      </c>
      <c r="C13" s="161"/>
      <c r="D13" s="178">
        <f>rBS!G4+rBS!G12</f>
        <v>2960.83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</row>
    <row r="14" spans="2:14" x14ac:dyDescent="0.25">
      <c r="B14" s="161"/>
      <c r="C14" s="161"/>
      <c r="D14" s="179"/>
      <c r="E14" s="180"/>
      <c r="F14" s="180"/>
      <c r="G14" s="180"/>
      <c r="H14" s="180"/>
      <c r="I14" s="180"/>
      <c r="J14" s="180"/>
      <c r="K14" s="161"/>
      <c r="L14" s="161"/>
      <c r="M14" s="161"/>
      <c r="N14" s="161"/>
    </row>
    <row r="15" spans="2:14" ht="14.4" thickBot="1" x14ac:dyDescent="0.3">
      <c r="B15" s="209" t="s">
        <v>223</v>
      </c>
      <c r="C15" s="210"/>
      <c r="D15" s="211" t="s">
        <v>224</v>
      </c>
      <c r="E15" s="207">
        <f>YEAR(E16)</f>
        <v>2026</v>
      </c>
      <c r="F15" s="207">
        <f t="shared" ref="F15:I15" si="0">YEAR(F16)</f>
        <v>2027</v>
      </c>
      <c r="G15" s="207">
        <f t="shared" si="0"/>
        <v>2028</v>
      </c>
      <c r="H15" s="207">
        <f t="shared" si="0"/>
        <v>2029</v>
      </c>
      <c r="I15" s="207">
        <f t="shared" si="0"/>
        <v>2030</v>
      </c>
      <c r="J15" s="212" t="s">
        <v>225</v>
      </c>
      <c r="K15" s="161"/>
      <c r="L15" s="181" t="s">
        <v>226</v>
      </c>
      <c r="M15" s="182"/>
      <c r="N15" s="182"/>
    </row>
    <row r="16" spans="2:14" x14ac:dyDescent="0.25">
      <c r="B16" s="213" t="s">
        <v>227</v>
      </c>
      <c r="C16" s="180"/>
      <c r="D16" s="183">
        <f ca="1">D7</f>
        <v>46195</v>
      </c>
      <c r="E16" s="184">
        <f>DATE(YEAR($D$8)+E17,6,30)</f>
        <v>46203</v>
      </c>
      <c r="F16" s="184">
        <f t="shared" ref="F16:I16" si="1">DATE(YEAR($D$8)+F17,6,30)</f>
        <v>46568</v>
      </c>
      <c r="G16" s="184">
        <f t="shared" si="1"/>
        <v>46934</v>
      </c>
      <c r="H16" s="184">
        <f t="shared" si="1"/>
        <v>47299</v>
      </c>
      <c r="I16" s="184">
        <f t="shared" si="1"/>
        <v>47664</v>
      </c>
      <c r="J16" s="183">
        <f>I16</f>
        <v>47664</v>
      </c>
      <c r="K16" s="161"/>
      <c r="L16" s="180" t="s">
        <v>228</v>
      </c>
      <c r="M16" s="180"/>
      <c r="N16" s="185">
        <f>(I24*(1+D5))/(D4-D5)</f>
        <v>251713.65774731681</v>
      </c>
    </row>
    <row r="17" spans="2:14" x14ac:dyDescent="0.25">
      <c r="B17" s="186" t="s">
        <v>229</v>
      </c>
      <c r="C17" s="186"/>
      <c r="D17" s="187"/>
      <c r="E17" s="188">
        <v>0</v>
      </c>
      <c r="F17" s="188">
        <f>E17+1</f>
        <v>1</v>
      </c>
      <c r="G17" s="188">
        <f>F17+1</f>
        <v>2</v>
      </c>
      <c r="H17" s="188">
        <f t="shared" ref="H17:I17" si="2">G17+1</f>
        <v>3</v>
      </c>
      <c r="I17" s="188">
        <f t="shared" si="2"/>
        <v>4</v>
      </c>
      <c r="J17" s="187"/>
      <c r="K17" s="161"/>
      <c r="L17" s="161" t="s">
        <v>230</v>
      </c>
      <c r="M17" s="161"/>
      <c r="N17" s="189">
        <f>D6*(I19+I21)</f>
        <v>1226350.1120496721</v>
      </c>
    </row>
    <row r="18" spans="2:14" x14ac:dyDescent="0.25">
      <c r="B18" s="190" t="s">
        <v>231</v>
      </c>
      <c r="C18" s="161"/>
      <c r="D18" s="161"/>
      <c r="E18" s="191">
        <f ca="1">YEARFRAC(D16,E16)</f>
        <v>2.2222222222222223E-2</v>
      </c>
      <c r="F18" s="191">
        <f>YEARFRAC(E16,F16)</f>
        <v>1</v>
      </c>
      <c r="G18" s="191">
        <f>YEARFRAC(F16,G16)</f>
        <v>1</v>
      </c>
      <c r="H18" s="191">
        <f>YEARFRAC(G16,H16)</f>
        <v>1</v>
      </c>
      <c r="I18" s="191">
        <f>YEARFRAC(H16,I16)</f>
        <v>1</v>
      </c>
      <c r="J18" s="161"/>
      <c r="K18" s="161"/>
      <c r="L18" s="161" t="s">
        <v>232</v>
      </c>
      <c r="M18" s="161"/>
      <c r="N18" s="192">
        <f>AVERAGE(N16:N17)</f>
        <v>739031.88489849446</v>
      </c>
    </row>
    <row r="19" spans="2:14" x14ac:dyDescent="0.25">
      <c r="B19" s="161" t="s">
        <v>126</v>
      </c>
      <c r="C19" s="161"/>
      <c r="D19" s="161"/>
      <c r="E19" s="193">
        <f>'P&amp;L'!G19</f>
        <v>24218.319724635883</v>
      </c>
      <c r="F19" s="193">
        <f>'P&amp;L'!H19</f>
        <v>26203.394461208885</v>
      </c>
      <c r="G19" s="193">
        <f>'P&amp;L'!I19</f>
        <v>28371.606832581554</v>
      </c>
      <c r="H19" s="193">
        <f>'P&amp;L'!J19</f>
        <v>30739.972485495804</v>
      </c>
      <c r="I19" s="193">
        <f>'P&amp;L'!K19</f>
        <v>33327.102021112354</v>
      </c>
      <c r="J19" s="161"/>
      <c r="K19" s="161"/>
      <c r="L19" s="161"/>
      <c r="M19" s="161"/>
      <c r="N19" s="161"/>
    </row>
    <row r="20" spans="2:14" x14ac:dyDescent="0.25">
      <c r="B20" s="161" t="s">
        <v>233</v>
      </c>
      <c r="C20" s="161"/>
      <c r="D20" s="161"/>
      <c r="E20" s="194">
        <f>E19*$D$3</f>
        <v>6054.5799311589708</v>
      </c>
      <c r="F20" s="194">
        <f t="shared" ref="F20:I20" si="3">F19*$D$3</f>
        <v>6550.8486153022213</v>
      </c>
      <c r="G20" s="194">
        <f t="shared" si="3"/>
        <v>7092.9017081453885</v>
      </c>
      <c r="H20" s="194">
        <f t="shared" si="3"/>
        <v>7684.993121373951</v>
      </c>
      <c r="I20" s="194">
        <f t="shared" si="3"/>
        <v>8331.7755052780885</v>
      </c>
      <c r="J20" s="161"/>
      <c r="K20" s="161"/>
      <c r="L20" s="161"/>
      <c r="M20" s="161"/>
      <c r="N20" s="161"/>
    </row>
    <row r="21" spans="2:14" x14ac:dyDescent="0.25">
      <c r="B21" s="161" t="s">
        <v>234</v>
      </c>
      <c r="C21" s="161"/>
      <c r="D21" s="161"/>
      <c r="E21" s="195">
        <f>'P&amp;L'!G18</f>
        <v>4305.2535356245871</v>
      </c>
      <c r="F21" s="195">
        <f>'P&amp;L'!H18</f>
        <v>4933.7588929699677</v>
      </c>
      <c r="G21" s="195">
        <f>'P&amp;L'!I18</f>
        <v>5619.8667103608859</v>
      </c>
      <c r="H21" s="195">
        <f>'P&amp;L'!J18</f>
        <v>6368.8843825919157</v>
      </c>
      <c r="I21" s="195">
        <f>'P&amp;L'!K18</f>
        <v>7186.6116244004343</v>
      </c>
      <c r="J21" s="161"/>
      <c r="K21" s="161"/>
      <c r="L21" s="161"/>
      <c r="M21" s="161"/>
      <c r="N21" s="161"/>
    </row>
    <row r="22" spans="2:14" x14ac:dyDescent="0.25">
      <c r="B22" s="161" t="s">
        <v>235</v>
      </c>
      <c r="C22" s="161"/>
      <c r="D22" s="161"/>
      <c r="E22" s="196">
        <f>(rBS!H4+rBS!H12)</f>
        <v>5371.769727343707</v>
      </c>
      <c r="F22" s="196">
        <f>(rBS!I4+rBS!I12)</f>
        <v>5863.9784103301099</v>
      </c>
      <c r="G22" s="196">
        <f>(rBS!J4+rBS!J12)</f>
        <v>6401.5250438547391</v>
      </c>
      <c r="H22" s="196">
        <f>(rBS!K4+rBS!K12)</f>
        <v>6988.6136677710165</v>
      </c>
      <c r="I22" s="196">
        <f>(rBS!L4+rBS!L12)</f>
        <v>7629.8414128374197</v>
      </c>
      <c r="J22" s="161"/>
      <c r="K22" s="161"/>
      <c r="L22" s="161"/>
      <c r="M22" s="161"/>
      <c r="N22" s="161"/>
    </row>
    <row r="23" spans="2:14" x14ac:dyDescent="0.25">
      <c r="B23" s="161" t="s">
        <v>236</v>
      </c>
      <c r="C23" s="161"/>
      <c r="D23" s="161"/>
      <c r="E23" s="178">
        <v>6977.9243111859578</v>
      </c>
      <c r="F23" s="178">
        <v>-9731.0160343720127</v>
      </c>
      <c r="G23" s="178">
        <v>6406.086331812061</v>
      </c>
      <c r="H23" s="178">
        <v>-10037.296137025929</v>
      </c>
      <c r="I23" s="178">
        <v>6071.4039218718463</v>
      </c>
      <c r="J23" s="161"/>
      <c r="K23" s="161"/>
      <c r="L23" s="161"/>
      <c r="M23" s="161"/>
      <c r="N23" s="161"/>
    </row>
    <row r="24" spans="2:14" x14ac:dyDescent="0.25">
      <c r="B24" s="161" t="s">
        <v>237</v>
      </c>
      <c r="C24" s="161"/>
      <c r="D24" s="161"/>
      <c r="E24" s="208">
        <f>E19-E20+E21-E22-E23</f>
        <v>10119.299290571831</v>
      </c>
      <c r="F24" s="208">
        <f>F19-F20+F21-F22-F23</f>
        <v>28453.342362918534</v>
      </c>
      <c r="G24" s="208">
        <f>G19-G20+G21-G22-G23</f>
        <v>14090.960459130249</v>
      </c>
      <c r="H24" s="208">
        <f>H19-H20+H21-H22-H23</f>
        <v>32472.546215968679</v>
      </c>
      <c r="I24" s="208">
        <f>I19-I20+I21-I22-I23</f>
        <v>18480.692805525432</v>
      </c>
      <c r="J24" s="161"/>
      <c r="K24" s="161"/>
      <c r="L24" s="161"/>
      <c r="M24" s="161"/>
      <c r="N24" s="161"/>
    </row>
    <row r="25" spans="2:14" x14ac:dyDescent="0.25">
      <c r="B25" s="161" t="s">
        <v>238</v>
      </c>
      <c r="C25" s="161"/>
      <c r="D25" s="198">
        <f>-H33</f>
        <v>-1059570458499.4701</v>
      </c>
      <c r="E25" s="161"/>
      <c r="F25" s="161"/>
      <c r="G25" s="161"/>
      <c r="H25" s="161"/>
      <c r="I25" s="161"/>
      <c r="J25" s="198">
        <f>N18</f>
        <v>739031.88489849446</v>
      </c>
      <c r="K25" s="161"/>
      <c r="L25" s="161"/>
      <c r="M25" s="161"/>
      <c r="N25" s="161"/>
    </row>
    <row r="26" spans="2:14" x14ac:dyDescent="0.25">
      <c r="B26" s="161" t="s">
        <v>239</v>
      </c>
      <c r="C26" s="161"/>
      <c r="D26" s="199">
        <v>0</v>
      </c>
      <c r="E26" s="197">
        <f ca="1">(E25+E24)*E18</f>
        <v>224.87331756826293</v>
      </c>
      <c r="F26" s="197">
        <f t="shared" ref="F26:I26" si="4">(F25+F24)*F18</f>
        <v>28453.342362918534</v>
      </c>
      <c r="G26" s="197">
        <f t="shared" si="4"/>
        <v>14090.960459130249</v>
      </c>
      <c r="H26" s="197">
        <f t="shared" si="4"/>
        <v>32472.546215968679</v>
      </c>
      <c r="I26" s="197">
        <f t="shared" si="4"/>
        <v>18480.692805525432</v>
      </c>
      <c r="J26" s="197">
        <f>J25+J24</f>
        <v>739031.88489849446</v>
      </c>
      <c r="K26" s="161"/>
      <c r="L26" s="161"/>
      <c r="M26" s="161"/>
      <c r="N26" s="161"/>
    </row>
    <row r="27" spans="2:14" x14ac:dyDescent="0.25">
      <c r="B27" s="161" t="s">
        <v>239</v>
      </c>
      <c r="C27" s="161"/>
      <c r="D27" s="185">
        <f>D25+D24</f>
        <v>-1059570458499.4701</v>
      </c>
      <c r="E27" s="185">
        <f ca="1">(E25+E24)*E18</f>
        <v>224.87331756826293</v>
      </c>
      <c r="F27" s="185">
        <f t="shared" ref="F27:I27" si="5">(F25+F24)*F18</f>
        <v>28453.342362918534</v>
      </c>
      <c r="G27" s="185">
        <f t="shared" si="5"/>
        <v>14090.960459130249</v>
      </c>
      <c r="H27" s="185">
        <f t="shared" si="5"/>
        <v>32472.546215968679</v>
      </c>
      <c r="I27" s="185">
        <f t="shared" si="5"/>
        <v>18480.692805525432</v>
      </c>
      <c r="J27" s="185">
        <f>J25</f>
        <v>739031.88489849446</v>
      </c>
      <c r="K27" s="161"/>
      <c r="L27" s="161"/>
      <c r="M27" s="161"/>
      <c r="N27" s="161"/>
    </row>
    <row r="28" spans="2:14" x14ac:dyDescent="0.25">
      <c r="B28" s="161"/>
      <c r="C28" s="161"/>
      <c r="D28" s="200">
        <f>D27</f>
        <v>-1059570458499.4701</v>
      </c>
      <c r="E28" s="201">
        <f ca="1">E27*1000000</f>
        <v>224873317.56826293</v>
      </c>
      <c r="F28" s="201">
        <f t="shared" ref="F28:J28" si="6">F27*1000000</f>
        <v>28453342362.918533</v>
      </c>
      <c r="G28" s="201">
        <f t="shared" si="6"/>
        <v>14090960459.130249</v>
      </c>
      <c r="H28" s="201">
        <f t="shared" si="6"/>
        <v>32472546215.968681</v>
      </c>
      <c r="I28" s="201">
        <f t="shared" si="6"/>
        <v>18480692805.525433</v>
      </c>
      <c r="J28" s="201">
        <f t="shared" si="6"/>
        <v>739031884898.49451</v>
      </c>
      <c r="K28" s="161"/>
      <c r="L28" s="161"/>
      <c r="M28" s="161"/>
      <c r="N28" s="161"/>
    </row>
    <row r="29" spans="2:14" ht="14.4" thickBot="1" x14ac:dyDescent="0.3">
      <c r="B29" s="181" t="s">
        <v>240</v>
      </c>
      <c r="C29" s="182"/>
      <c r="D29" s="182"/>
      <c r="E29" s="161"/>
      <c r="F29" s="161"/>
      <c r="G29" s="181" t="s">
        <v>241</v>
      </c>
      <c r="H29" s="182"/>
      <c r="I29" s="182"/>
      <c r="J29" s="161"/>
      <c r="K29" s="161"/>
      <c r="L29" s="181" t="s">
        <v>242</v>
      </c>
      <c r="M29" s="182"/>
      <c r="N29" s="182"/>
    </row>
    <row r="30" spans="2:14" ht="14.4" customHeight="1" x14ac:dyDescent="0.25">
      <c r="B30" s="180" t="s">
        <v>243</v>
      </c>
      <c r="C30" s="180"/>
      <c r="D30" s="185">
        <f ca="1">XNPV(D4,D26:J26,D16:J16)</f>
        <v>527105.6566123988</v>
      </c>
      <c r="E30" s="161"/>
      <c r="F30" s="161"/>
      <c r="G30" s="180" t="s">
        <v>244</v>
      </c>
      <c r="H30" s="242">
        <f>D10*D9</f>
        <v>1059570491635.92</v>
      </c>
      <c r="I30" s="242"/>
      <c r="J30" s="161"/>
      <c r="K30" s="161"/>
      <c r="L30" s="180" t="s">
        <v>253</v>
      </c>
      <c r="M30" s="180"/>
      <c r="N30" s="202">
        <f ca="1">D35/I35-1</f>
        <v>-0.47125546527120155</v>
      </c>
    </row>
    <row r="31" spans="2:14" x14ac:dyDescent="0.25">
      <c r="B31" s="161" t="s">
        <v>245</v>
      </c>
      <c r="C31" s="161"/>
      <c r="D31" s="196">
        <f>+D12</f>
        <v>37414.73000000001</v>
      </c>
      <c r="E31" s="161"/>
      <c r="F31" s="161"/>
      <c r="G31" s="161" t="s">
        <v>246</v>
      </c>
      <c r="H31" s="161"/>
      <c r="I31" s="196">
        <f>D11</f>
        <v>4278.2800000000007</v>
      </c>
      <c r="J31" s="161"/>
      <c r="K31" s="161"/>
      <c r="L31" s="161" t="s">
        <v>247</v>
      </c>
      <c r="M31" s="161"/>
      <c r="N31" s="203">
        <f ca="1">XIRR((D28:J28),D16:J16)</f>
        <v>-6.0501798987388611E-2</v>
      </c>
    </row>
    <row r="32" spans="2:14" x14ac:dyDescent="0.25">
      <c r="B32" s="161" t="s">
        <v>248</v>
      </c>
      <c r="C32" s="161"/>
      <c r="D32" s="196">
        <f>+D11</f>
        <v>4278.2800000000007</v>
      </c>
      <c r="E32" s="161"/>
      <c r="F32" s="161"/>
      <c r="G32" s="161" t="s">
        <v>249</v>
      </c>
      <c r="H32" s="161"/>
      <c r="I32" s="196">
        <f>+D12</f>
        <v>37414.73000000001</v>
      </c>
      <c r="J32" s="161"/>
      <c r="K32" s="161"/>
      <c r="L32" s="161"/>
      <c r="M32" s="161"/>
      <c r="N32" s="161"/>
    </row>
    <row r="33" spans="2:14" ht="15" customHeight="1" thickBot="1" x14ac:dyDescent="0.3">
      <c r="B33" s="161" t="s">
        <v>250</v>
      </c>
      <c r="C33" s="161"/>
      <c r="D33" s="197">
        <f ca="1">D30+D31-D32</f>
        <v>560242.10661239875</v>
      </c>
      <c r="E33" s="161"/>
      <c r="F33" s="161"/>
      <c r="G33" s="161" t="s">
        <v>243</v>
      </c>
      <c r="H33" s="243">
        <f>(H30+I31-I32)</f>
        <v>1059570458499.4701</v>
      </c>
      <c r="I33" s="243"/>
      <c r="J33" s="161"/>
      <c r="K33" s="161"/>
      <c r="L33" s="181" t="s">
        <v>251</v>
      </c>
      <c r="M33" s="182"/>
      <c r="N33" s="182"/>
    </row>
    <row r="34" spans="2:14" x14ac:dyDescent="0.25">
      <c r="B34" s="161"/>
      <c r="C34" s="161"/>
      <c r="D34" s="161"/>
      <c r="E34" s="161"/>
      <c r="F34" s="161"/>
      <c r="G34" s="161"/>
      <c r="H34" s="161"/>
      <c r="I34" s="204"/>
      <c r="J34" s="161"/>
      <c r="K34" s="161"/>
      <c r="L34" s="161" t="s">
        <v>241</v>
      </c>
      <c r="M34" s="161"/>
      <c r="N34" s="205">
        <f>I35</f>
        <v>1561.01</v>
      </c>
    </row>
    <row r="35" spans="2:14" x14ac:dyDescent="0.25">
      <c r="B35" s="161" t="s">
        <v>252</v>
      </c>
      <c r="C35" s="161"/>
      <c r="D35" s="206">
        <f ca="1">D33/D10*1000000</f>
        <v>825.37550615700161</v>
      </c>
      <c r="E35" s="161"/>
      <c r="F35" s="161"/>
      <c r="G35" s="161" t="s">
        <v>252</v>
      </c>
      <c r="H35" s="161"/>
      <c r="I35" s="205">
        <f>D9</f>
        <v>1561.01</v>
      </c>
      <c r="J35" s="161"/>
      <c r="K35" s="161"/>
      <c r="L35" s="161" t="s">
        <v>254</v>
      </c>
      <c r="M35" s="161"/>
      <c r="N35" s="205">
        <f ca="1">D35-I35</f>
        <v>-735.63449384299838</v>
      </c>
    </row>
    <row r="36" spans="2:14" x14ac:dyDescent="0.25"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 t="s">
        <v>240</v>
      </c>
      <c r="M36" s="161"/>
      <c r="N36" s="205">
        <f ca="1">SUM(N34:N35)</f>
        <v>825.37550615700161</v>
      </c>
    </row>
    <row r="37" spans="2:14" x14ac:dyDescent="0.25">
      <c r="B37" s="161"/>
      <c r="C37" s="161"/>
      <c r="D37" s="162"/>
      <c r="E37" s="161"/>
      <c r="F37" s="161"/>
      <c r="G37" s="161"/>
      <c r="H37" s="161"/>
      <c r="I37" s="160"/>
      <c r="J37" s="161"/>
      <c r="K37" s="161"/>
      <c r="L37" s="161"/>
      <c r="M37" s="161"/>
      <c r="N37" s="161"/>
    </row>
    <row r="38" spans="2:14" x14ac:dyDescent="0.25">
      <c r="B38" s="164"/>
    </row>
    <row r="39" spans="2:14" x14ac:dyDescent="0.25">
      <c r="B39" s="164"/>
    </row>
    <row r="40" spans="2:14" x14ac:dyDescent="0.25">
      <c r="B40" s="164"/>
    </row>
    <row r="41" spans="2:14" x14ac:dyDescent="0.25">
      <c r="B41" s="164"/>
    </row>
    <row r="42" spans="2:14" x14ac:dyDescent="0.25">
      <c r="B42" s="164"/>
    </row>
    <row r="43" spans="2:14" x14ac:dyDescent="0.25">
      <c r="B43" s="164"/>
    </row>
    <row r="44" spans="2:14" x14ac:dyDescent="0.25">
      <c r="B44" s="164"/>
    </row>
    <row r="45" spans="2:14" x14ac:dyDescent="0.25">
      <c r="B45" s="164"/>
    </row>
  </sheetData>
  <sheetProtection algorithmName="SHA-512" hashValue="wAfK3bj/BzmSU2NQmVhruTFxGFV6JipFd2EbNhHsGrGtEG91brPG1GAwxkhbtw17V7pWIjLwy9JYUwaLifr5kQ==" saltValue="7p19UxPoliHTJKXR+dcljw==" spinCount="100000" sheet="1" objects="1" scenarios="1"/>
  <mergeCells count="2">
    <mergeCell ref="H30:I30"/>
    <mergeCell ref="H33:I3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B68B-0CFD-43CE-AB80-4C162F5D4AB8}">
  <sheetPr codeName="Sheet6"/>
  <dimension ref="B2:V21"/>
  <sheetViews>
    <sheetView showGridLines="0" zoomScale="90" workbookViewId="0"/>
  </sheetViews>
  <sheetFormatPr defaultRowHeight="14.4" x14ac:dyDescent="0.3"/>
  <cols>
    <col min="1" max="1" width="2" customWidth="1"/>
    <col min="2" max="2" width="25.6640625" bestFit="1" customWidth="1"/>
    <col min="4" max="4" width="9.109375" bestFit="1" customWidth="1"/>
    <col min="6" max="6" width="16.109375" bestFit="1" customWidth="1"/>
    <col min="7" max="7" width="13.5546875" bestFit="1" customWidth="1"/>
    <col min="8" max="9" width="9.6640625" bestFit="1" customWidth="1"/>
    <col min="10" max="10" width="12.44140625" bestFit="1" customWidth="1"/>
    <col min="11" max="11" width="9.44140625" bestFit="1" customWidth="1"/>
    <col min="12" max="12" width="15.6640625" bestFit="1" customWidth="1"/>
    <col min="14" max="14" width="9" bestFit="1" customWidth="1"/>
    <col min="15" max="15" width="18.77734375" bestFit="1" customWidth="1"/>
    <col min="16" max="16" width="27.77734375" bestFit="1" customWidth="1"/>
    <col min="17" max="17" width="20.21875" bestFit="1" customWidth="1"/>
    <col min="18" max="18" width="39.33203125" bestFit="1" customWidth="1"/>
    <col min="19" max="19" width="10.44140625" bestFit="1" customWidth="1"/>
    <col min="20" max="20" width="9.33203125" bestFit="1" customWidth="1"/>
    <col min="21" max="21" width="8.77734375" bestFit="1" customWidth="1"/>
  </cols>
  <sheetData>
    <row r="2" spans="2:22" ht="21" x14ac:dyDescent="0.3">
      <c r="B2" s="244" t="s">
        <v>180</v>
      </c>
      <c r="C2" s="244"/>
      <c r="D2" s="107"/>
      <c r="E2" s="107"/>
      <c r="F2" s="107"/>
      <c r="G2" s="107"/>
      <c r="H2" s="107"/>
      <c r="I2" s="107"/>
      <c r="J2" s="107"/>
      <c r="K2" s="107"/>
      <c r="L2" s="107"/>
    </row>
    <row r="3" spans="2:22" ht="4.95" customHeight="1" x14ac:dyDescent="0.3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22" ht="15" x14ac:dyDescent="0.35">
      <c r="B4" s="245" t="s">
        <v>181</v>
      </c>
      <c r="C4" s="245"/>
      <c r="D4" s="245"/>
      <c r="E4" s="108"/>
      <c r="F4" s="109" t="s">
        <v>182</v>
      </c>
      <c r="G4" s="110"/>
      <c r="H4" s="110"/>
      <c r="I4" s="110"/>
      <c r="J4" s="110"/>
      <c r="K4" s="110"/>
      <c r="L4" s="110"/>
      <c r="N4" s="111"/>
    </row>
    <row r="5" spans="2:22" ht="15.6" thickBot="1" x14ac:dyDescent="0.4">
      <c r="B5" s="246" t="s">
        <v>183</v>
      </c>
      <c r="C5" s="246"/>
      <c r="D5" s="108"/>
      <c r="E5" s="108"/>
      <c r="F5" s="112" t="s">
        <v>184</v>
      </c>
      <c r="G5" s="113" t="s">
        <v>185</v>
      </c>
      <c r="H5" s="113" t="s">
        <v>186</v>
      </c>
      <c r="I5" s="113" t="s">
        <v>14</v>
      </c>
      <c r="J5" s="113" t="s">
        <v>187</v>
      </c>
      <c r="K5" s="113" t="s">
        <v>188</v>
      </c>
      <c r="L5" s="113" t="s">
        <v>189</v>
      </c>
      <c r="N5" s="114"/>
    </row>
    <row r="6" spans="2:22" ht="15" x14ac:dyDescent="0.3">
      <c r="B6" s="115" t="s">
        <v>190</v>
      </c>
      <c r="C6" s="115"/>
      <c r="D6" s="143">
        <f>SUM(BS!F35,BS!F42)/SUM(BS!F35,BS!F42,BS!F29:F30)</f>
        <v>6.6869042472348386E-2</v>
      </c>
      <c r="E6" s="108"/>
      <c r="F6" s="117" t="s">
        <v>201</v>
      </c>
      <c r="G6" s="118">
        <v>0.8</v>
      </c>
      <c r="H6" s="119">
        <v>12465</v>
      </c>
      <c r="I6" s="119">
        <v>349219.55</v>
      </c>
      <c r="J6" s="120">
        <f>H6/I6</f>
        <v>3.5693877963017824E-2</v>
      </c>
      <c r="K6" s="121">
        <v>0.26416758544652702</v>
      </c>
      <c r="L6" s="122">
        <f>G6/((1+(1-K6)*J6))</f>
        <v>0.77952597446737038</v>
      </c>
      <c r="N6" s="123"/>
      <c r="O6" s="124"/>
      <c r="P6" s="125"/>
      <c r="Q6" s="125"/>
      <c r="R6" s="125"/>
      <c r="S6" s="125"/>
      <c r="T6" s="125"/>
      <c r="U6" s="125"/>
    </row>
    <row r="7" spans="2:22" ht="15" x14ac:dyDescent="0.3">
      <c r="B7" s="115" t="s">
        <v>191</v>
      </c>
      <c r="C7" s="126"/>
      <c r="D7" s="143">
        <f>SUM(BS!F29:F30)/SUM(BS!F29:F30,BS!F35,BS!F42)</f>
        <v>0.93313095752765163</v>
      </c>
      <c r="E7" s="108"/>
      <c r="F7" s="117" t="s">
        <v>202</v>
      </c>
      <c r="G7" s="118">
        <v>0.75</v>
      </c>
      <c r="H7" s="119">
        <v>3557.09</v>
      </c>
      <c r="I7" s="119">
        <v>269400.59000000003</v>
      </c>
      <c r="J7" s="120">
        <f>H7/I7</f>
        <v>1.3203720155178575E-2</v>
      </c>
      <c r="K7" s="121">
        <v>0.27304348166887776</v>
      </c>
      <c r="L7" s="122">
        <f t="shared" ref="L7:L12" si="0">G7/((1+(1-K7)*J7))</f>
        <v>0.74286954407344219</v>
      </c>
      <c r="N7" s="127"/>
      <c r="O7" s="124"/>
      <c r="P7" s="128"/>
      <c r="Q7" s="128"/>
      <c r="R7" s="128"/>
      <c r="S7" s="128"/>
      <c r="T7" s="128"/>
      <c r="U7" s="128"/>
      <c r="V7" s="129"/>
    </row>
    <row r="8" spans="2:22" ht="15" x14ac:dyDescent="0.3">
      <c r="B8" s="130" t="s">
        <v>192</v>
      </c>
      <c r="C8" s="130"/>
      <c r="D8" s="131">
        <f>D6/D7</f>
        <v>7.16609409782301E-2</v>
      </c>
      <c r="E8" s="108"/>
      <c r="F8" s="117" t="s">
        <v>203</v>
      </c>
      <c r="G8" s="118">
        <v>1.1000000000000001</v>
      </c>
      <c r="H8" s="119">
        <v>472.59</v>
      </c>
      <c r="I8" s="119">
        <v>105996.76</v>
      </c>
      <c r="J8" s="120">
        <f t="shared" ref="J8:J13" si="1">H8/I8</f>
        <v>4.4585325060879219E-3</v>
      </c>
      <c r="K8" s="144">
        <f>'P&amp;L'!F29/'P&amp;L'!F23</f>
        <v>0.256407201755182</v>
      </c>
      <c r="L8" s="122">
        <f>G8/((1+(1-K8)*J8))</f>
        <v>1.096365184693413</v>
      </c>
      <c r="N8" s="127"/>
      <c r="O8" s="124"/>
      <c r="P8" s="128"/>
      <c r="Q8" s="128"/>
      <c r="R8" s="128"/>
      <c r="S8" s="128"/>
      <c r="T8" s="128"/>
      <c r="U8" s="128"/>
      <c r="V8" s="129"/>
    </row>
    <row r="9" spans="2:22" ht="15" x14ac:dyDescent="0.3">
      <c r="B9" s="117"/>
      <c r="C9" s="117"/>
      <c r="D9" s="132"/>
      <c r="E9" s="108"/>
      <c r="F9" s="117" t="s">
        <v>204</v>
      </c>
      <c r="G9" s="118">
        <v>1.05</v>
      </c>
      <c r="H9" s="119">
        <v>285.98</v>
      </c>
      <c r="I9" s="119">
        <v>89849.09</v>
      </c>
      <c r="J9" s="120">
        <f t="shared" si="1"/>
        <v>3.1828925590676547E-3</v>
      </c>
      <c r="K9" s="121">
        <v>0.26136780390758052</v>
      </c>
      <c r="L9" s="122">
        <f t="shared" si="0"/>
        <v>1.0475372536176621</v>
      </c>
      <c r="N9" s="127"/>
      <c r="O9" s="124"/>
      <c r="P9" s="128"/>
      <c r="Q9" s="128"/>
      <c r="R9" s="128"/>
      <c r="S9" s="128"/>
      <c r="T9" s="128"/>
      <c r="U9" s="128"/>
      <c r="V9" s="129"/>
    </row>
    <row r="10" spans="2:22" ht="15" x14ac:dyDescent="0.3">
      <c r="B10" s="133" t="s">
        <v>193</v>
      </c>
      <c r="C10" s="133"/>
      <c r="D10" s="134"/>
      <c r="E10" s="108"/>
      <c r="F10" s="117" t="s">
        <v>205</v>
      </c>
      <c r="G10" s="118">
        <v>1.4</v>
      </c>
      <c r="H10" s="119">
        <v>1389.12</v>
      </c>
      <c r="I10" s="119">
        <v>77962.009999999995</v>
      </c>
      <c r="J10" s="120">
        <f t="shared" si="1"/>
        <v>1.781790900465496E-2</v>
      </c>
      <c r="K10" s="121">
        <v>0.21481717416231369</v>
      </c>
      <c r="L10" s="122">
        <f t="shared" si="0"/>
        <v>1.3806837971841608</v>
      </c>
      <c r="N10" s="127"/>
      <c r="O10" s="124"/>
      <c r="P10" s="128"/>
      <c r="Q10" s="128"/>
      <c r="R10" s="128"/>
      <c r="S10" s="128"/>
      <c r="T10" s="128"/>
      <c r="U10" s="128"/>
      <c r="V10" s="129"/>
    </row>
    <row r="11" spans="2:22" ht="15" x14ac:dyDescent="0.3">
      <c r="B11" s="115" t="s">
        <v>194</v>
      </c>
      <c r="C11" s="115"/>
      <c r="D11" s="135">
        <v>6.6000000000000003E-2</v>
      </c>
      <c r="E11" s="108"/>
      <c r="F11" s="117" t="s">
        <v>206</v>
      </c>
      <c r="G11" s="118">
        <v>0.85</v>
      </c>
      <c r="H11" s="119">
        <v>697.33</v>
      </c>
      <c r="I11" s="119">
        <v>63234.25</v>
      </c>
      <c r="J11" s="120">
        <f t="shared" si="1"/>
        <v>1.1027726271759372E-2</v>
      </c>
      <c r="K11" s="121">
        <v>0.24588293049914886</v>
      </c>
      <c r="L11" s="122">
        <f t="shared" si="0"/>
        <v>0.84298953329310833</v>
      </c>
      <c r="N11" s="127"/>
      <c r="O11" s="124"/>
      <c r="P11" s="128"/>
      <c r="Q11" s="128"/>
      <c r="R11" s="128"/>
      <c r="S11" s="128"/>
      <c r="T11" s="128"/>
      <c r="U11" s="128"/>
      <c r="V11" s="129"/>
    </row>
    <row r="12" spans="2:22" ht="15" x14ac:dyDescent="0.3">
      <c r="B12" s="115" t="s">
        <v>195</v>
      </c>
      <c r="C12" s="115"/>
      <c r="D12" s="116">
        <v>0.06</v>
      </c>
      <c r="E12" s="108"/>
      <c r="F12" s="117" t="s">
        <v>207</v>
      </c>
      <c r="G12" s="118">
        <v>1.2</v>
      </c>
      <c r="H12" s="119">
        <v>5334.96</v>
      </c>
      <c r="I12" s="119">
        <v>50130.63</v>
      </c>
      <c r="J12" s="120">
        <f t="shared" si="1"/>
        <v>0.10642116406675919</v>
      </c>
      <c r="K12" s="121">
        <v>0.25576281784076699</v>
      </c>
      <c r="L12" s="122">
        <f t="shared" si="0"/>
        <v>1.1119321007548206</v>
      </c>
      <c r="N12" s="127"/>
      <c r="O12" s="124"/>
      <c r="P12" s="128"/>
      <c r="Q12" s="128"/>
      <c r="R12" s="128"/>
      <c r="S12" s="128"/>
      <c r="T12" s="128"/>
      <c r="U12" s="128"/>
      <c r="V12" s="129"/>
    </row>
    <row r="13" spans="2:22" ht="15" x14ac:dyDescent="0.3">
      <c r="B13" s="126" t="s">
        <v>185</v>
      </c>
      <c r="C13" s="126"/>
      <c r="D13" s="136">
        <f>L15*(1+(1-D18)*D8)</f>
        <v>1.1033569099439156</v>
      </c>
      <c r="E13" s="108"/>
      <c r="F13" s="117" t="s">
        <v>208</v>
      </c>
      <c r="G13" s="118">
        <v>1.1499999999999999</v>
      </c>
      <c r="H13" s="119">
        <v>1755</v>
      </c>
      <c r="I13" s="119">
        <v>45930.15</v>
      </c>
      <c r="J13" s="120">
        <f t="shared" si="1"/>
        <v>3.8210195263895283E-2</v>
      </c>
      <c r="K13" s="121">
        <v>0.29936594583245857</v>
      </c>
      <c r="L13" s="122">
        <v>0.96925500623476268</v>
      </c>
      <c r="N13" s="127"/>
      <c r="O13" s="124"/>
      <c r="P13" s="128"/>
      <c r="Q13" s="128"/>
      <c r="R13" s="128"/>
      <c r="S13" s="128"/>
      <c r="T13" s="128"/>
      <c r="U13" s="128"/>
      <c r="V13" s="129"/>
    </row>
    <row r="14" spans="2:22" ht="15" x14ac:dyDescent="0.3">
      <c r="B14" s="130" t="s">
        <v>196</v>
      </c>
      <c r="C14" s="130"/>
      <c r="D14" s="131">
        <f>D11+D12*D13</f>
        <v>0.13220141459663493</v>
      </c>
      <c r="E14" s="108"/>
      <c r="F14" s="117" t="s">
        <v>209</v>
      </c>
      <c r="G14" s="118">
        <v>1.1000000000000001</v>
      </c>
      <c r="H14" s="119">
        <v>1030.19</v>
      </c>
      <c r="I14" s="119">
        <v>36302.44</v>
      </c>
      <c r="J14" s="120">
        <f>H14/I14</f>
        <v>2.837798230642348E-2</v>
      </c>
      <c r="K14" s="121">
        <v>0.2467098976978839</v>
      </c>
      <c r="L14" s="122">
        <v>1.4427335956696337</v>
      </c>
      <c r="N14" s="127"/>
      <c r="O14" s="124"/>
      <c r="P14" s="128"/>
      <c r="Q14" s="128"/>
      <c r="R14" s="128"/>
      <c r="S14" s="128"/>
      <c r="T14" s="128"/>
      <c r="U14" s="128"/>
      <c r="V14" s="129"/>
    </row>
    <row r="15" spans="2:22" ht="15" x14ac:dyDescent="0.3">
      <c r="B15" s="117"/>
      <c r="C15" s="117"/>
      <c r="D15" s="132"/>
      <c r="E15" s="108"/>
      <c r="F15" s="137" t="s">
        <v>197</v>
      </c>
      <c r="G15" s="138">
        <f>MEDIAN(G6:G14)</f>
        <v>1.1000000000000001</v>
      </c>
      <c r="H15" s="139"/>
      <c r="I15" s="137"/>
      <c r="J15" s="131">
        <f>MEDIAN(J6:J14)</f>
        <v>1.781790900465496E-2</v>
      </c>
      <c r="K15" s="137"/>
      <c r="L15" s="138">
        <f>MEDIAN(L6:L14)</f>
        <v>1.0475372536176621</v>
      </c>
      <c r="N15" s="127"/>
      <c r="O15" s="124"/>
      <c r="P15" s="128"/>
      <c r="Q15" s="128"/>
      <c r="R15" s="128"/>
      <c r="S15" s="128"/>
      <c r="T15" s="128"/>
      <c r="U15" s="128"/>
      <c r="V15" s="129"/>
    </row>
    <row r="16" spans="2:22" ht="15" x14ac:dyDescent="0.3">
      <c r="B16" s="133" t="s">
        <v>198</v>
      </c>
      <c r="C16" s="133"/>
      <c r="D16" s="134"/>
      <c r="E16" s="108"/>
      <c r="F16" s="117"/>
      <c r="G16" s="108"/>
      <c r="H16" s="108"/>
      <c r="I16" s="108"/>
      <c r="J16" s="108"/>
      <c r="K16" s="108"/>
      <c r="L16" s="108"/>
      <c r="N16" s="127"/>
      <c r="O16" s="124"/>
      <c r="P16" s="128"/>
      <c r="Q16" s="128"/>
      <c r="R16" s="128"/>
      <c r="S16" s="128"/>
      <c r="T16" s="128"/>
      <c r="U16" s="128"/>
      <c r="V16" s="129"/>
    </row>
    <row r="17" spans="2:12" ht="15" x14ac:dyDescent="0.3">
      <c r="B17" s="115" t="s">
        <v>199</v>
      </c>
      <c r="C17" s="115"/>
      <c r="D17" s="135">
        <v>7.4999999999999997E-2</v>
      </c>
      <c r="E17" s="108"/>
      <c r="F17" s="108"/>
      <c r="G17" s="108"/>
      <c r="H17" s="108"/>
      <c r="I17" s="108"/>
      <c r="J17" s="108"/>
      <c r="K17" s="108"/>
      <c r="L17" s="108"/>
    </row>
    <row r="18" spans="2:12" ht="15" x14ac:dyDescent="0.3">
      <c r="B18" s="126" t="s">
        <v>188</v>
      </c>
      <c r="C18" s="126"/>
      <c r="D18" s="143">
        <f>K8</f>
        <v>0.256407201755182</v>
      </c>
      <c r="E18" s="108"/>
      <c r="F18" s="108"/>
      <c r="G18" s="108"/>
      <c r="H18" s="108"/>
      <c r="I18" s="108"/>
      <c r="J18" s="108"/>
      <c r="K18" s="108"/>
      <c r="L18" s="108"/>
    </row>
    <row r="19" spans="2:12" ht="15" x14ac:dyDescent="0.3">
      <c r="B19" s="130" t="s">
        <v>200</v>
      </c>
      <c r="C19" s="130"/>
      <c r="D19" s="131">
        <f>D17*(1-D18)</f>
        <v>5.5769459868361355E-2</v>
      </c>
      <c r="E19" s="108"/>
    </row>
    <row r="20" spans="2:12" ht="15" x14ac:dyDescent="0.3">
      <c r="B20" s="115"/>
      <c r="C20" s="115"/>
      <c r="D20" s="132"/>
      <c r="E20" s="108"/>
    </row>
    <row r="21" spans="2:12" ht="15" x14ac:dyDescent="0.3">
      <c r="B21" s="140" t="s">
        <v>170</v>
      </c>
      <c r="C21" s="141"/>
      <c r="D21" s="142">
        <f>(D14*D7)+(D19*D6)</f>
        <v>0.12709048296966538</v>
      </c>
      <c r="E21" s="108"/>
    </row>
  </sheetData>
  <sheetProtection algorithmName="SHA-512" hashValue="kNj2g4YuPXlRbmOYk1nY/6ChzXYT5oDmgCKiWif4jXuBh3Ry+pbV/wOmQ3hE4uJ9q0ZPwjkmL1u5vPhsFyw36A==" saltValue="3yPSXawjEW62LcB9dr62Ug==" spinCount="100000" sheet="1" objects="1" scenarios="1"/>
  <mergeCells count="3">
    <mergeCell ref="B2:C2"/>
    <mergeCell ref="B4:D4"/>
    <mergeCell ref="B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BA23-4CFC-48B0-92E7-BBC193551F72}">
  <sheetPr codeName="Sheet7">
    <tabColor theme="9" tint="0.39997558519241921"/>
  </sheetPr>
  <dimension ref="B1:N23"/>
  <sheetViews>
    <sheetView showGridLines="0" zoomScale="94" workbookViewId="0"/>
  </sheetViews>
  <sheetFormatPr defaultRowHeight="14.4" x14ac:dyDescent="0.3"/>
  <cols>
    <col min="2" max="2" width="35.88671875" customWidth="1"/>
    <col min="4" max="12" width="12.77734375" customWidth="1"/>
  </cols>
  <sheetData>
    <row r="1" spans="2:14" ht="15" thickBot="1" x14ac:dyDescent="0.35">
      <c r="D1" s="42">
        <f>'P&amp;L'!C1</f>
        <v>44652</v>
      </c>
      <c r="E1" s="42">
        <f>'P&amp;L'!D1</f>
        <v>45017</v>
      </c>
      <c r="F1" s="42">
        <f>'P&amp;L'!E1</f>
        <v>45383</v>
      </c>
      <c r="G1" s="42">
        <f>'P&amp;L'!F1</f>
        <v>45748</v>
      </c>
      <c r="H1" s="43">
        <f>'P&amp;L'!G1</f>
        <v>46113</v>
      </c>
      <c r="I1" s="43">
        <f>'P&amp;L'!H1</f>
        <v>46478</v>
      </c>
      <c r="J1" s="43">
        <f>'P&amp;L'!I1</f>
        <v>46844</v>
      </c>
      <c r="K1" s="43">
        <f>'P&amp;L'!J1</f>
        <v>47209</v>
      </c>
      <c r="L1" s="43">
        <f>'P&amp;L'!K1</f>
        <v>47574</v>
      </c>
    </row>
    <row r="2" spans="2:14" x14ac:dyDescent="0.3">
      <c r="B2" s="93" t="s">
        <v>128</v>
      </c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2:14" x14ac:dyDescent="0.3">
      <c r="B3" s="72" t="s">
        <v>129</v>
      </c>
      <c r="D3" s="15">
        <v>160169</v>
      </c>
      <c r="E3" s="15">
        <v>189102</v>
      </c>
      <c r="F3" s="15">
        <v>203635</v>
      </c>
      <c r="G3" s="15">
        <v>229143.82</v>
      </c>
      <c r="H3" s="73">
        <f>G3*(1+$H$4)</f>
        <v>249766.76380000002</v>
      </c>
      <c r="I3" s="73">
        <f t="shared" ref="I3:L3" si="0">H3*(1+$H$4)</f>
        <v>272245.77254200005</v>
      </c>
      <c r="J3" s="73">
        <f t="shared" si="0"/>
        <v>296747.8920707801</v>
      </c>
      <c r="K3" s="73">
        <f t="shared" si="0"/>
        <v>323455.20235715032</v>
      </c>
      <c r="L3" s="74">
        <f t="shared" si="0"/>
        <v>352566.1705692939</v>
      </c>
      <c r="N3" s="60"/>
    </row>
    <row r="4" spans="2:14" x14ac:dyDescent="0.3">
      <c r="B4" s="72"/>
      <c r="E4" s="52">
        <f>E3/D3-1</f>
        <v>0.18064044852624406</v>
      </c>
      <c r="F4" s="52">
        <f t="shared" ref="F4:G4" si="1">F3/E3-1</f>
        <v>7.6852703831794544E-2</v>
      </c>
      <c r="G4" s="52">
        <f t="shared" si="1"/>
        <v>0.12526736562968055</v>
      </c>
      <c r="H4" s="83">
        <v>0.09</v>
      </c>
      <c r="I4" s="52"/>
      <c r="J4" s="52"/>
      <c r="K4" s="52"/>
      <c r="L4" s="94"/>
    </row>
    <row r="5" spans="2:14" x14ac:dyDescent="0.3">
      <c r="B5" s="72" t="s">
        <v>130</v>
      </c>
      <c r="D5" s="15">
        <v>1386</v>
      </c>
      <c r="E5" s="15">
        <v>1777</v>
      </c>
      <c r="F5" s="15">
        <v>1693</v>
      </c>
      <c r="G5" s="15">
        <v>2414.2399999999998</v>
      </c>
      <c r="H5" s="73">
        <f>G5*(1+$H$6)</f>
        <v>2655.6639999999998</v>
      </c>
      <c r="I5" s="73">
        <f>H5*(1+$H$6)</f>
        <v>2921.2303999999999</v>
      </c>
      <c r="J5" s="73">
        <f>I5*(1+$H$6)</f>
        <v>3213.3534400000003</v>
      </c>
      <c r="K5" s="73">
        <f t="shared" ref="K5:L5" si="2">J5*(1+$H$6)</f>
        <v>3534.6887840000009</v>
      </c>
      <c r="L5" s="74">
        <f t="shared" si="2"/>
        <v>3888.1576624000013</v>
      </c>
    </row>
    <row r="6" spans="2:14" x14ac:dyDescent="0.3">
      <c r="B6" s="72"/>
      <c r="E6" s="52">
        <f>E5/D5-1</f>
        <v>0.28210678210678219</v>
      </c>
      <c r="F6" s="52">
        <f t="shared" ref="F6" si="3">F5/E5-1</f>
        <v>-4.7270680922903763E-2</v>
      </c>
      <c r="G6" s="52">
        <f t="shared" ref="G6" si="4">G5/F5-1</f>
        <v>0.42601299468399279</v>
      </c>
      <c r="H6" s="83">
        <v>0.1</v>
      </c>
      <c r="I6" s="52"/>
      <c r="J6" s="52"/>
      <c r="K6" s="52"/>
      <c r="L6" s="94"/>
    </row>
    <row r="7" spans="2:14" x14ac:dyDescent="0.3">
      <c r="B7" s="72" t="s">
        <v>131</v>
      </c>
      <c r="D7" s="15">
        <v>7</v>
      </c>
      <c r="E7" s="15">
        <v>11</v>
      </c>
      <c r="F7" s="15">
        <v>1</v>
      </c>
      <c r="G7" s="15">
        <v>0.06</v>
      </c>
      <c r="H7" s="73">
        <f>G7*(1+$H$8)</f>
        <v>6.6000000000000003E-2</v>
      </c>
      <c r="I7" s="73">
        <f>H7*(1+$H$8)</f>
        <v>7.2600000000000012E-2</v>
      </c>
      <c r="J7" s="73">
        <f t="shared" ref="J7:L7" si="5">I7*(1+$H$8)</f>
        <v>7.9860000000000014E-2</v>
      </c>
      <c r="K7" s="73">
        <f t="shared" si="5"/>
        <v>8.7846000000000021E-2</v>
      </c>
      <c r="L7" s="74">
        <f t="shared" si="5"/>
        <v>9.6630600000000025E-2</v>
      </c>
    </row>
    <row r="8" spans="2:14" x14ac:dyDescent="0.3">
      <c r="B8" s="72"/>
      <c r="E8" s="52">
        <f>E7/D7-1</f>
        <v>0.5714285714285714</v>
      </c>
      <c r="F8" s="52">
        <f t="shared" ref="F8" si="6">F7/E7-1</f>
        <v>-0.90909090909090906</v>
      </c>
      <c r="G8" s="52">
        <f t="shared" ref="G8" si="7">G7/F7-1</f>
        <v>-0.94</v>
      </c>
      <c r="H8" s="83">
        <v>0.1</v>
      </c>
      <c r="I8" s="52"/>
      <c r="J8" s="52"/>
      <c r="K8" s="52"/>
      <c r="L8" s="94"/>
    </row>
    <row r="9" spans="2:14" x14ac:dyDescent="0.3">
      <c r="B9" s="72" t="s">
        <v>132</v>
      </c>
      <c r="D9" s="15">
        <v>6716</v>
      </c>
      <c r="E9" s="15">
        <v>7728</v>
      </c>
      <c r="F9" s="15">
        <v>8163</v>
      </c>
      <c r="G9" s="15">
        <v>12100.86</v>
      </c>
      <c r="H9" s="73">
        <f>G9*(1+$H$10)</f>
        <v>13552.963200000002</v>
      </c>
      <c r="I9" s="73">
        <f t="shared" ref="I9:L9" si="8">H9*(1+$H$10)</f>
        <v>15179.318784000003</v>
      </c>
      <c r="J9" s="73">
        <f t="shared" si="8"/>
        <v>17000.837038080004</v>
      </c>
      <c r="K9" s="73">
        <f t="shared" si="8"/>
        <v>19040.937482649606</v>
      </c>
      <c r="L9" s="74">
        <f t="shared" si="8"/>
        <v>21325.84998056756</v>
      </c>
    </row>
    <row r="10" spans="2:14" x14ac:dyDescent="0.3">
      <c r="B10" s="72"/>
      <c r="E10" s="52">
        <f>E9/D9-1</f>
        <v>0.15068493150684925</v>
      </c>
      <c r="F10" s="52">
        <f t="shared" ref="F10" si="9">F9/E9-1</f>
        <v>5.6288819875776497E-2</v>
      </c>
      <c r="G10" s="52">
        <f t="shared" ref="G10" si="10">G9/F9-1</f>
        <v>0.48240352811466369</v>
      </c>
      <c r="H10" s="83">
        <v>0.12</v>
      </c>
      <c r="I10" s="52"/>
      <c r="J10" s="52"/>
      <c r="K10" s="52"/>
      <c r="L10" s="94"/>
    </row>
    <row r="11" spans="2:14" x14ac:dyDescent="0.3">
      <c r="B11" s="72" t="s">
        <v>133</v>
      </c>
      <c r="D11" s="15">
        <v>64</v>
      </c>
      <c r="E11" s="15">
        <v>28</v>
      </c>
      <c r="F11" s="15">
        <v>28</v>
      </c>
      <c r="G11" s="15">
        <v>7.4</v>
      </c>
      <c r="H11" s="73">
        <f>G11*(1+$H$12)</f>
        <v>8.14</v>
      </c>
      <c r="I11" s="73">
        <f>H11*(1+$H$12)</f>
        <v>8.9540000000000006</v>
      </c>
      <c r="J11" s="73">
        <f t="shared" ref="J11:L11" si="11">I11*(1+$H$12)</f>
        <v>9.849400000000001</v>
      </c>
      <c r="K11" s="73">
        <f t="shared" si="11"/>
        <v>10.834340000000003</v>
      </c>
      <c r="L11" s="74">
        <f t="shared" si="11"/>
        <v>11.917774000000003</v>
      </c>
    </row>
    <row r="12" spans="2:14" ht="15" thickBot="1" x14ac:dyDescent="0.35">
      <c r="B12" s="95"/>
      <c r="C12" s="96"/>
      <c r="D12" s="96"/>
      <c r="E12" s="97">
        <f>E11/D11-1</f>
        <v>-0.5625</v>
      </c>
      <c r="F12" s="97">
        <f t="shared" ref="F12" si="12">F11/E11-1</f>
        <v>0</v>
      </c>
      <c r="G12" s="97">
        <f t="shared" ref="G12" si="13">G11/F11-1</f>
        <v>-0.73571428571428577</v>
      </c>
      <c r="H12" s="98">
        <v>0.1</v>
      </c>
      <c r="I12" s="97"/>
      <c r="J12" s="97"/>
      <c r="K12" s="97"/>
      <c r="L12" s="99"/>
    </row>
    <row r="13" spans="2:14" ht="4.95" customHeight="1" x14ac:dyDescent="0.3"/>
    <row r="14" spans="2:14" x14ac:dyDescent="0.3">
      <c r="B14" s="1" t="s">
        <v>134</v>
      </c>
      <c r="D14" s="19">
        <f>'P&amp;L'!C21</f>
        <v>2038</v>
      </c>
      <c r="E14" s="19">
        <f>'P&amp;L'!D21</f>
        <v>2440</v>
      </c>
      <c r="F14" s="19">
        <f>'P&amp;L'!E21</f>
        <v>2051.1799999999998</v>
      </c>
      <c r="G14" s="19">
        <f>'P&amp;L'!F21</f>
        <v>2639.9</v>
      </c>
      <c r="H14" s="100">
        <f>G14*(1+$H$15)</f>
        <v>2816.3284353492909</v>
      </c>
      <c r="I14" s="100">
        <f t="shared" ref="I14:L14" si="14">H14*(1+$H$15)</f>
        <v>3004.5478449020738</v>
      </c>
      <c r="J14" s="100">
        <f t="shared" si="14"/>
        <v>3205.3462369654685</v>
      </c>
      <c r="K14" s="100">
        <f t="shared" si="14"/>
        <v>3419.5642836113848</v>
      </c>
      <c r="L14" s="100">
        <f t="shared" si="14"/>
        <v>3648.0988402740895</v>
      </c>
    </row>
    <row r="15" spans="2:14" x14ac:dyDescent="0.3">
      <c r="H15" s="101">
        <f>(G14/D14)^(1/4) -1</f>
        <v>6.6831484279438857E-2</v>
      </c>
      <c r="I15" s="49"/>
      <c r="J15" s="49"/>
      <c r="K15" s="49"/>
      <c r="L15" s="49"/>
    </row>
    <row r="16" spans="2:14" ht="4.95" customHeight="1" x14ac:dyDescent="0.3">
      <c r="H16" s="49"/>
      <c r="I16" s="49"/>
      <c r="J16" s="49"/>
      <c r="K16" s="49"/>
      <c r="L16" s="49"/>
    </row>
    <row r="17" spans="2:12" x14ac:dyDescent="0.3">
      <c r="B17" s="49" t="s">
        <v>135</v>
      </c>
      <c r="D17" s="51">
        <f>'P&amp;L'!C10/'P&amp;L'!C3</f>
        <v>0.70098371172969309</v>
      </c>
      <c r="E17" s="51">
        <f>'P&amp;L'!D10/'P&amp;L'!D3</f>
        <v>0.70618587839674596</v>
      </c>
      <c r="F17" s="51">
        <f>'P&amp;L'!E10/'P&amp;L'!E3</f>
        <v>0.69924025852379179</v>
      </c>
      <c r="G17" s="51">
        <f>'P&amp;L'!F10/'P&amp;L'!F3</f>
        <v>0.68044216850925421</v>
      </c>
      <c r="H17" s="102">
        <f>AVERAGE(D17:G17)</f>
        <v>0.69671300428987126</v>
      </c>
      <c r="I17" s="49"/>
      <c r="J17" s="49"/>
      <c r="K17" s="49"/>
      <c r="L17" s="49"/>
    </row>
    <row r="18" spans="2:12" ht="4.95" customHeight="1" x14ac:dyDescent="0.3">
      <c r="H18" s="49"/>
      <c r="I18" s="49"/>
      <c r="J18" s="49"/>
      <c r="K18" s="49"/>
      <c r="L18" s="49"/>
    </row>
    <row r="19" spans="2:12" x14ac:dyDescent="0.3">
      <c r="B19" s="1" t="s">
        <v>136</v>
      </c>
      <c r="D19" s="51">
        <f>'P&amp;L'!C15/'P&amp;L'!C3</f>
        <v>0.19751458340758693</v>
      </c>
      <c r="E19" s="51">
        <f>'P&amp;L'!D15/'P&amp;L'!D3</f>
        <v>0.19820182636448758</v>
      </c>
      <c r="F19" s="51">
        <f>'P&amp;L'!E15/'P&amp;L'!E3</f>
        <v>0.19655999437991756</v>
      </c>
      <c r="G19" s="51">
        <f>'P&amp;L'!F15/'P&amp;L'!F3</f>
        <v>0.19191921347540847</v>
      </c>
      <c r="H19" s="102">
        <f>AVERAGE(D19:G19)</f>
        <v>0.19604890440685013</v>
      </c>
      <c r="I19" s="49"/>
      <c r="J19" s="49"/>
      <c r="K19" s="49"/>
      <c r="L19" s="49"/>
    </row>
    <row r="20" spans="2:12" ht="4.95" customHeight="1" x14ac:dyDescent="0.3">
      <c r="H20" s="49"/>
      <c r="I20" s="49"/>
      <c r="J20" s="49"/>
      <c r="K20" s="49"/>
      <c r="L20" s="49"/>
    </row>
    <row r="21" spans="2:12" x14ac:dyDescent="0.3">
      <c r="B21" s="49" t="s">
        <v>155</v>
      </c>
      <c r="D21" s="51">
        <f>'P&amp;L'!C22/BS!C35</f>
        <v>9.5867064337452068E-2</v>
      </c>
      <c r="E21" s="51">
        <f>'P&amp;L'!D22/BS!D35</f>
        <v>9.05811623246493E-2</v>
      </c>
      <c r="F21" s="51">
        <f>'P&amp;L'!E22/BS!E35</f>
        <v>0.10012434315901875</v>
      </c>
      <c r="G21" s="51">
        <f>'P&amp;L'!F22/BS!F35</f>
        <v>9.2717195309380024E-2</v>
      </c>
      <c r="H21" s="102">
        <f>AVERAGE(D21:G21)</f>
        <v>9.4822441282625042E-2</v>
      </c>
      <c r="I21" s="49"/>
      <c r="J21" s="49"/>
      <c r="K21" s="49"/>
      <c r="L21" s="49"/>
    </row>
    <row r="22" spans="2:12" ht="4.95" customHeight="1" x14ac:dyDescent="0.3">
      <c r="H22" s="49"/>
      <c r="I22" s="49"/>
      <c r="J22" s="49"/>
      <c r="K22" s="49"/>
      <c r="L22" s="49"/>
    </row>
    <row r="23" spans="2:12" x14ac:dyDescent="0.3">
      <c r="B23" s="49" t="s">
        <v>158</v>
      </c>
      <c r="D23" s="51">
        <f>'P&amp;L'!C29/'P&amp;L'!C23</f>
        <v>0.26109340524638391</v>
      </c>
      <c r="E23" s="51">
        <f>'P&amp;L'!D29/'P&amp;L'!D23</f>
        <v>0.2594627259242982</v>
      </c>
      <c r="F23" s="51">
        <f>'P&amp;L'!E29/'P&amp;L'!E23</f>
        <v>0.25823209957994586</v>
      </c>
      <c r="G23" s="51">
        <f>'P&amp;L'!F29/'P&amp;L'!F23</f>
        <v>0.256407201755182</v>
      </c>
      <c r="H23" s="102">
        <v>0.25</v>
      </c>
      <c r="I23" s="49"/>
      <c r="J23" s="49"/>
      <c r="K23" s="49"/>
      <c r="L23" s="49"/>
    </row>
  </sheetData>
  <sheetProtection algorithmName="SHA-512" hashValue="eUiI5vDzUPfPlyfVTw0AckUj87b/yozlJ6BFEZs0KmJXZXAcqWFqSvYnm2k0L7TwWrINih3ANBlIFLiu033PAA==" saltValue="YA0LglSnoMIMk3ikoH/Yw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39D8-905E-40CF-8333-F4BBE0943566}">
  <sheetPr codeName="Sheet8">
    <tabColor theme="9" tint="0.39997558519241921"/>
  </sheetPr>
  <dimension ref="B1:L43"/>
  <sheetViews>
    <sheetView showGridLines="0" zoomScale="80" zoomScaleNormal="78" workbookViewId="0">
      <pane ySplit="1" topLeftCell="A22" activePane="bottomLeft" state="frozen"/>
      <selection pane="bottomLeft" activeCell="G24" sqref="G24"/>
    </sheetView>
  </sheetViews>
  <sheetFormatPr defaultRowHeight="14.4" x14ac:dyDescent="0.3"/>
  <cols>
    <col min="1" max="1" width="2" customWidth="1"/>
    <col min="2" max="2" width="23" bestFit="1" customWidth="1"/>
    <col min="3" max="3" width="6.44140625" customWidth="1"/>
    <col min="4" max="12" width="12.77734375" customWidth="1"/>
    <col min="13" max="13" width="2" customWidth="1"/>
  </cols>
  <sheetData>
    <row r="1" spans="2:12" ht="15" thickBot="1" x14ac:dyDescent="0.35">
      <c r="D1" s="42">
        <f>'P&amp;L'!C1</f>
        <v>44652</v>
      </c>
      <c r="E1" s="42">
        <f>'P&amp;L'!D1</f>
        <v>45017</v>
      </c>
      <c r="F1" s="42">
        <f>'P&amp;L'!E1</f>
        <v>45383</v>
      </c>
      <c r="G1" s="42">
        <f>'P&amp;L'!F1</f>
        <v>45748</v>
      </c>
      <c r="H1" s="43">
        <f>'P&amp;L'!G1</f>
        <v>46113</v>
      </c>
      <c r="I1" s="43">
        <f>'P&amp;L'!H1</f>
        <v>46478</v>
      </c>
      <c r="J1" s="43">
        <f>'P&amp;L'!I1</f>
        <v>46844</v>
      </c>
      <c r="K1" s="43">
        <f>'P&amp;L'!J1</f>
        <v>47209</v>
      </c>
      <c r="L1" s="43">
        <f>'P&amp;L'!K1</f>
        <v>47574</v>
      </c>
    </row>
    <row r="2" spans="2:12" x14ac:dyDescent="0.3">
      <c r="B2" s="250" t="s">
        <v>154</v>
      </c>
      <c r="C2" s="251"/>
      <c r="D2" s="68"/>
      <c r="E2" s="68"/>
      <c r="F2" s="68"/>
      <c r="G2" s="68"/>
      <c r="H2" s="68"/>
      <c r="I2" s="68"/>
      <c r="J2" s="68"/>
      <c r="K2" s="68"/>
      <c r="L2" s="69"/>
    </row>
    <row r="3" spans="2:12" x14ac:dyDescent="0.3">
      <c r="B3" s="70" t="s">
        <v>137</v>
      </c>
      <c r="D3" s="15">
        <v>22502</v>
      </c>
      <c r="E3">
        <f>D5</f>
        <v>24519</v>
      </c>
      <c r="F3">
        <f>E5</f>
        <v>29776</v>
      </c>
      <c r="G3">
        <f>F5</f>
        <v>32453.230000000003</v>
      </c>
      <c r="H3" s="54">
        <f>G5</f>
        <v>35362.870000000003</v>
      </c>
      <c r="I3" s="54">
        <f t="shared" ref="I3:L3" si="0">H5</f>
        <v>40682.541940000003</v>
      </c>
      <c r="J3" s="54">
        <f t="shared" si="0"/>
        <v>46489.648906520008</v>
      </c>
      <c r="K3" s="54">
        <f t="shared" si="0"/>
        <v>52829.089142697208</v>
      </c>
      <c r="L3" s="71">
        <f t="shared" si="0"/>
        <v>59749.924158893205</v>
      </c>
    </row>
    <row r="4" spans="2:12" x14ac:dyDescent="0.3">
      <c r="B4" s="72" t="s">
        <v>138</v>
      </c>
      <c r="D4" s="15">
        <v>2017</v>
      </c>
      <c r="E4" s="15">
        <v>5257</v>
      </c>
      <c r="F4" s="15">
        <v>2676.76</v>
      </c>
      <c r="G4" s="15">
        <v>2909.64</v>
      </c>
      <c r="H4" s="73">
        <f>'P&amp;L'!G$3*$H$8</f>
        <v>5319.6719400000002</v>
      </c>
      <c r="I4" s="73">
        <f>'P&amp;L'!H$3*$H$8</f>
        <v>5807.1069665200021</v>
      </c>
      <c r="J4" s="73">
        <f>'P&amp;L'!I$3*$H$8</f>
        <v>6339.4402361772009</v>
      </c>
      <c r="K4" s="73">
        <f>'P&amp;L'!J$3*$H$8</f>
        <v>6920.8350161959988</v>
      </c>
      <c r="L4" s="74">
        <f>'P&amp;L'!K$3*$H$8</f>
        <v>7555.8438523372288</v>
      </c>
    </row>
    <row r="5" spans="2:12" x14ac:dyDescent="0.3">
      <c r="B5" s="70" t="s">
        <v>139</v>
      </c>
      <c r="D5" s="49">
        <f>SUM(D3:D4)</f>
        <v>24519</v>
      </c>
      <c r="E5" s="49">
        <f>SUM(E3:E4)</f>
        <v>29776</v>
      </c>
      <c r="F5" s="49">
        <f>SUM(F3:F4)+0.47</f>
        <v>32453.230000000003</v>
      </c>
      <c r="G5" s="49">
        <f>SUM(G3:G4)</f>
        <v>35362.870000000003</v>
      </c>
      <c r="H5" s="55">
        <f>SUM(H3:H4)</f>
        <v>40682.541940000003</v>
      </c>
      <c r="I5" s="55">
        <f t="shared" ref="I5:L5" si="1">SUM(I3:I4)</f>
        <v>46489.648906520008</v>
      </c>
      <c r="J5" s="55">
        <f t="shared" si="1"/>
        <v>52829.089142697208</v>
      </c>
      <c r="K5" s="55">
        <f t="shared" si="1"/>
        <v>59749.924158893205</v>
      </c>
      <c r="L5" s="75">
        <f t="shared" si="1"/>
        <v>67305.768011230437</v>
      </c>
    </row>
    <row r="6" spans="2:12" x14ac:dyDescent="0.3">
      <c r="B6" s="72" t="s">
        <v>140</v>
      </c>
      <c r="D6" s="15">
        <v>14132</v>
      </c>
      <c r="E6" s="50">
        <f>D6+SUM(E19,E20)-10-241-399</f>
        <v>16448</v>
      </c>
      <c r="F6" s="50">
        <f>E6+SUM(F19,F20)-416.93-13.1-270.51</f>
        <v>19347.800000000003</v>
      </c>
      <c r="G6" s="50">
        <f>F6+SUM(G19,G20)-330.26-608.63</f>
        <v>22166.170000000006</v>
      </c>
      <c r="H6" s="76">
        <f>G6+SUM(H21)</f>
        <v>26421.854949032291</v>
      </c>
      <c r="I6" s="76">
        <f>H6+SUM(I21)</f>
        <v>31300.221323750691</v>
      </c>
      <c r="J6" s="76">
        <f>I6+SUM(J21)</f>
        <v>36858.337821382665</v>
      </c>
      <c r="K6" s="76">
        <f>J6+SUM(K21)</f>
        <v>43158.531353932602</v>
      </c>
      <c r="L6" s="77">
        <f>K6+SUM(L21)</f>
        <v>50268.874806130545</v>
      </c>
    </row>
    <row r="7" spans="2:12" x14ac:dyDescent="0.3">
      <c r="B7" s="70" t="s">
        <v>141</v>
      </c>
      <c r="C7" s="49"/>
      <c r="D7" s="78">
        <f t="shared" ref="D7:I7" si="2">D5-D6</f>
        <v>10387</v>
      </c>
      <c r="E7" s="78">
        <f t="shared" si="2"/>
        <v>13328</v>
      </c>
      <c r="F7" s="78">
        <f t="shared" si="2"/>
        <v>13105.43</v>
      </c>
      <c r="G7" s="78">
        <f t="shared" si="2"/>
        <v>13196.699999999997</v>
      </c>
      <c r="H7" s="79">
        <f t="shared" si="2"/>
        <v>14260.686990967712</v>
      </c>
      <c r="I7" s="79">
        <f t="shared" si="2"/>
        <v>15189.427582769316</v>
      </c>
      <c r="J7" s="79">
        <f t="shared" ref="J7:L7" si="3">J5-J6</f>
        <v>15970.751321314543</v>
      </c>
      <c r="K7" s="79">
        <f t="shared" si="3"/>
        <v>16591.392804960604</v>
      </c>
      <c r="L7" s="80">
        <f t="shared" si="3"/>
        <v>17036.893205099892</v>
      </c>
    </row>
    <row r="8" spans="2:12" x14ac:dyDescent="0.3">
      <c r="B8" s="70" t="s">
        <v>151</v>
      </c>
      <c r="D8" s="52">
        <f>D4/'P&amp;L'!C$3</f>
        <v>1.1981561345356476E-2</v>
      </c>
      <c r="E8" s="52">
        <f>E4/'P&amp;L'!D$3</f>
        <v>2.6464162379307914E-2</v>
      </c>
      <c r="F8" s="52">
        <f>F4/'P&amp;L'!E$3</f>
        <v>1.2536343199700263E-2</v>
      </c>
      <c r="G8" s="52">
        <f>G4/'P&amp;L'!F$3</f>
        <v>1.1941081079794429E-2</v>
      </c>
      <c r="H8" s="81">
        <v>0.02</v>
      </c>
      <c r="L8" s="82"/>
    </row>
    <row r="9" spans="2:12" ht="4.95" customHeight="1" x14ac:dyDescent="0.3">
      <c r="B9" s="70"/>
      <c r="E9" s="50"/>
      <c r="L9" s="82"/>
    </row>
    <row r="10" spans="2:12" x14ac:dyDescent="0.3">
      <c r="B10" s="248" t="s">
        <v>152</v>
      </c>
      <c r="C10" s="249"/>
      <c r="L10" s="82"/>
    </row>
    <row r="11" spans="2:12" x14ac:dyDescent="0.3">
      <c r="B11" s="72" t="s">
        <v>146</v>
      </c>
      <c r="D11" s="15">
        <v>279</v>
      </c>
      <c r="E11">
        <f>D13</f>
        <v>321</v>
      </c>
      <c r="F11" s="50">
        <f>E13</f>
        <v>370</v>
      </c>
      <c r="G11" s="50">
        <f>F13</f>
        <v>386.49</v>
      </c>
      <c r="H11" s="76">
        <f t="shared" ref="H11:L11" si="4">G13</f>
        <v>437.68</v>
      </c>
      <c r="I11" s="76">
        <f t="shared" si="4"/>
        <v>489.77778734370645</v>
      </c>
      <c r="J11" s="76">
        <f t="shared" si="4"/>
        <v>546.64923115381384</v>
      </c>
      <c r="K11" s="76">
        <f t="shared" si="4"/>
        <v>608.73403883135188</v>
      </c>
      <c r="L11" s="77">
        <f t="shared" si="4"/>
        <v>676.51269040636907</v>
      </c>
    </row>
    <row r="12" spans="2:12" x14ac:dyDescent="0.3">
      <c r="B12" s="72" t="s">
        <v>147</v>
      </c>
      <c r="D12" s="15">
        <f>52-10</f>
        <v>42</v>
      </c>
      <c r="E12" s="15">
        <v>49</v>
      </c>
      <c r="F12" s="15">
        <f>27.8-0.8-11+0.49</f>
        <v>16.489999999999998</v>
      </c>
      <c r="G12" s="15">
        <f>(57.73-0.09)-6.45</f>
        <v>51.189999999999991</v>
      </c>
      <c r="H12" s="73">
        <f>'P&amp;L'!G$3*rBS!$H$16</f>
        <v>52.097787343706415</v>
      </c>
      <c r="I12" s="73">
        <f>'P&amp;L'!H3*rBS!$H$16</f>
        <v>56.871443810107415</v>
      </c>
      <c r="J12" s="73">
        <f>'P&amp;L'!I3*rBS!$H$16</f>
        <v>62.084807677538059</v>
      </c>
      <c r="K12" s="73">
        <f>'P&amp;L'!J3*rBS!$H$16</f>
        <v>67.77865157501725</v>
      </c>
      <c r="L12" s="74">
        <f>'P&amp;L'!K3*rBS!$H$16</f>
        <v>73.997560500190616</v>
      </c>
    </row>
    <row r="13" spans="2:12" x14ac:dyDescent="0.3">
      <c r="B13" s="70" t="s">
        <v>148</v>
      </c>
      <c r="C13" s="49"/>
      <c r="D13" s="49">
        <f>SUM(D11:D12)</f>
        <v>321</v>
      </c>
      <c r="E13" s="49">
        <f>SUM(E11:E12)</f>
        <v>370</v>
      </c>
      <c r="F13" s="78">
        <f>SUM(F11:F12)</f>
        <v>386.49</v>
      </c>
      <c r="G13" s="78">
        <f>SUM(G11:G12)</f>
        <v>437.68</v>
      </c>
      <c r="H13" s="79">
        <f t="shared" ref="H13:L13" si="5">SUM(H11:H12)</f>
        <v>489.77778734370645</v>
      </c>
      <c r="I13" s="79">
        <f t="shared" si="5"/>
        <v>546.64923115381384</v>
      </c>
      <c r="J13" s="79">
        <f t="shared" si="5"/>
        <v>608.73403883135188</v>
      </c>
      <c r="K13" s="79">
        <f t="shared" si="5"/>
        <v>676.51269040636907</v>
      </c>
      <c r="L13" s="80">
        <f t="shared" si="5"/>
        <v>750.51025090655969</v>
      </c>
    </row>
    <row r="14" spans="2:12" x14ac:dyDescent="0.3">
      <c r="B14" s="72" t="s">
        <v>149</v>
      </c>
      <c r="D14" s="15">
        <v>233</v>
      </c>
      <c r="E14" s="50">
        <f>D14+E24</f>
        <v>271</v>
      </c>
      <c r="F14" s="50">
        <f>E14+F24-10.95+0.03</f>
        <v>303.43</v>
      </c>
      <c r="G14" s="50">
        <f>F14+G24-6.45</f>
        <v>343.29</v>
      </c>
      <c r="H14" s="76">
        <f>G14+H24</f>
        <v>392.85858659230126</v>
      </c>
      <c r="I14" s="76">
        <f>H14+I24</f>
        <v>448.25110484386909</v>
      </c>
      <c r="J14" s="76">
        <f>I14+J24</f>
        <v>510.00131757277671</v>
      </c>
      <c r="K14" s="76">
        <f>J14+K24</f>
        <v>578.69216761475548</v>
      </c>
      <c r="L14" s="77">
        <f>K14+L24</f>
        <v>654.96033981724565</v>
      </c>
    </row>
    <row r="15" spans="2:12" x14ac:dyDescent="0.3">
      <c r="B15" s="70" t="s">
        <v>150</v>
      </c>
      <c r="C15" s="49"/>
      <c r="D15" s="78">
        <f t="shared" ref="D15:I15" si="6">D13-D14</f>
        <v>88</v>
      </c>
      <c r="E15" s="78">
        <f t="shared" si="6"/>
        <v>99</v>
      </c>
      <c r="F15" s="78">
        <f t="shared" si="6"/>
        <v>83.06</v>
      </c>
      <c r="G15" s="78">
        <f t="shared" si="6"/>
        <v>94.389999999999986</v>
      </c>
      <c r="H15" s="79">
        <f t="shared" si="6"/>
        <v>96.919200751405185</v>
      </c>
      <c r="I15" s="79">
        <f t="shared" si="6"/>
        <v>98.398126309944757</v>
      </c>
      <c r="J15" s="79">
        <f t="shared" ref="J15:L15" si="7">J13-J14</f>
        <v>98.732721258575168</v>
      </c>
      <c r="K15" s="79">
        <f t="shared" si="7"/>
        <v>97.820522791613598</v>
      </c>
      <c r="L15" s="80">
        <f t="shared" si="7"/>
        <v>95.549911089314037</v>
      </c>
    </row>
    <row r="16" spans="2:12" x14ac:dyDescent="0.3">
      <c r="B16" s="70" t="s">
        <v>151</v>
      </c>
      <c r="D16" s="52">
        <f>D12/'P&amp;L'!C$3</f>
        <v>2.4949210535695193E-4</v>
      </c>
      <c r="E16" s="52">
        <f>E12/'P&amp;L'!D$3</f>
        <v>2.4666995559940801E-4</v>
      </c>
      <c r="F16" s="52">
        <f>F12/'P&amp;L'!E$3</f>
        <v>7.7229299363057322E-5</v>
      </c>
      <c r="G16" s="52">
        <f>G12/'P&amp;L'!F$3</f>
        <v>2.1008232649904346E-4</v>
      </c>
      <c r="H16" s="81">
        <f>AVERAGE(D16:G16)</f>
        <v>1.9586842170461516E-4</v>
      </c>
      <c r="L16" s="82"/>
    </row>
    <row r="17" spans="2:12" ht="4.95" customHeight="1" x14ac:dyDescent="0.3">
      <c r="B17" s="72"/>
      <c r="L17" s="82"/>
    </row>
    <row r="18" spans="2:12" x14ac:dyDescent="0.3">
      <c r="B18" s="252" t="s">
        <v>142</v>
      </c>
      <c r="C18" s="247"/>
      <c r="L18" s="82"/>
    </row>
    <row r="19" spans="2:12" x14ac:dyDescent="0.3">
      <c r="B19" s="72" t="s">
        <v>143</v>
      </c>
      <c r="D19" s="15">
        <v>2015</v>
      </c>
      <c r="E19" s="15">
        <v>2350</v>
      </c>
      <c r="F19" s="15">
        <v>2829.52</v>
      </c>
      <c r="G19" s="15">
        <v>2869.38</v>
      </c>
      <c r="L19" s="82"/>
    </row>
    <row r="20" spans="2:12" x14ac:dyDescent="0.3">
      <c r="B20" s="72" t="s">
        <v>144</v>
      </c>
      <c r="D20" s="15">
        <v>536</v>
      </c>
      <c r="E20" s="15">
        <v>616</v>
      </c>
      <c r="F20" s="15">
        <v>770.82</v>
      </c>
      <c r="G20" s="15">
        <v>887.88</v>
      </c>
      <c r="L20" s="82"/>
    </row>
    <row r="21" spans="2:12" x14ac:dyDescent="0.3">
      <c r="B21" s="72" t="s">
        <v>153</v>
      </c>
      <c r="D21" s="78">
        <f>SUM(D19:D20)</f>
        <v>2551</v>
      </c>
      <c r="E21" s="78">
        <f t="shared" ref="E21:F21" si="8">SUM(E19:E20)</f>
        <v>2966</v>
      </c>
      <c r="F21" s="78">
        <f t="shared" si="8"/>
        <v>3600.34</v>
      </c>
      <c r="G21" s="78">
        <f>SUM(G19:G20)</f>
        <v>3757.26</v>
      </c>
      <c r="H21" s="73">
        <f>AVERAGE(G5:H5)*$H$22</f>
        <v>4255.6849490322857</v>
      </c>
      <c r="I21" s="73">
        <f>AVERAGE(H5:I5)*$H$22</f>
        <v>4878.3663747184</v>
      </c>
      <c r="J21" s="73">
        <f>AVERAGE(I5:J5)*$H$22</f>
        <v>5558.1164976319778</v>
      </c>
      <c r="K21" s="73">
        <f>AVERAGE(J5:K5)*$H$22</f>
        <v>6300.1935325499371</v>
      </c>
      <c r="L21" s="74">
        <f>AVERAGE(K5:L5)*$H$22</f>
        <v>7110.3434521979443</v>
      </c>
    </row>
    <row r="22" spans="2:12" x14ac:dyDescent="0.3">
      <c r="B22" s="72"/>
      <c r="D22" s="15"/>
      <c r="E22" s="52">
        <f>E21/AVERAGE(D5:E5)</f>
        <v>0.10925499585597201</v>
      </c>
      <c r="F22" s="52">
        <f>F21/AVERAGE(E5:F5)</f>
        <v>0.11571218220119388</v>
      </c>
      <c r="G22" s="52">
        <f>G21/AVERAGE(F5:G5)</f>
        <v>0.11080731566692864</v>
      </c>
      <c r="H22" s="81">
        <f>AVERAGE(E22:G22)</f>
        <v>0.11192483124136483</v>
      </c>
      <c r="L22" s="82"/>
    </row>
    <row r="23" spans="2:12" ht="4.95" customHeight="1" x14ac:dyDescent="0.3">
      <c r="B23" s="72"/>
      <c r="D23" s="15"/>
      <c r="E23" s="52"/>
      <c r="F23" s="52"/>
      <c r="G23" s="52"/>
      <c r="H23" s="83"/>
      <c r="L23" s="82"/>
    </row>
    <row r="24" spans="2:12" x14ac:dyDescent="0.3">
      <c r="B24" s="72" t="s">
        <v>145</v>
      </c>
      <c r="D24" s="15">
        <v>33</v>
      </c>
      <c r="E24" s="15">
        <v>38</v>
      </c>
      <c r="F24" s="15">
        <v>43.35</v>
      </c>
      <c r="G24" s="15">
        <v>46.31</v>
      </c>
      <c r="H24" s="73">
        <f>AVERAGE(G13:H13)*$H$25</f>
        <v>49.568586592301259</v>
      </c>
      <c r="I24" s="73">
        <f>AVERAGE(H13:I13)*$H$25</f>
        <v>55.3925182515678</v>
      </c>
      <c r="J24" s="73">
        <f>AVERAGE(I13:J13)*$H$25</f>
        <v>61.750212728907648</v>
      </c>
      <c r="K24" s="73">
        <f>AVERAGE(J13:K13)*$H$25</f>
        <v>68.69085004197872</v>
      </c>
      <c r="L24" s="74">
        <f>AVERAGE(K13:L13)*$H$25</f>
        <v>76.268172202490192</v>
      </c>
    </row>
    <row r="25" spans="2:12" x14ac:dyDescent="0.3">
      <c r="B25" s="72"/>
      <c r="D25" s="52">
        <f>D24/D13</f>
        <v>0.10280373831775701</v>
      </c>
      <c r="E25" s="52">
        <f>E24/E13</f>
        <v>0.10270270270270271</v>
      </c>
      <c r="F25" s="52">
        <f>F24/F13</f>
        <v>0.1121633159978266</v>
      </c>
      <c r="G25" s="52">
        <f>G24/G13</f>
        <v>0.10580789617985743</v>
      </c>
      <c r="H25" s="81">
        <f>AVERAGE(E25:G25)</f>
        <v>0.1068913049601289</v>
      </c>
      <c r="L25" s="82"/>
    </row>
    <row r="26" spans="2:12" ht="15" thickBot="1" x14ac:dyDescent="0.35">
      <c r="B26" s="85" t="s">
        <v>177</v>
      </c>
      <c r="C26" s="86"/>
      <c r="D26" s="86">
        <f>'P&amp;L'!C18</f>
        <v>2584</v>
      </c>
      <c r="E26" s="86">
        <f>'P&amp;L'!D18</f>
        <v>3004</v>
      </c>
      <c r="F26" s="86">
        <f>'P&amp;L'!E18</f>
        <v>3643.69</v>
      </c>
      <c r="G26" s="86">
        <f>'P&amp;L'!F18</f>
        <v>3803.57</v>
      </c>
      <c r="H26" s="87">
        <f>H24+H21</f>
        <v>4305.2535356245871</v>
      </c>
      <c r="I26" s="87">
        <f t="shared" ref="I26:L26" si="9">I24+I21</f>
        <v>4933.7588929699677</v>
      </c>
      <c r="J26" s="87">
        <f t="shared" si="9"/>
        <v>5619.8667103608859</v>
      </c>
      <c r="K26" s="87">
        <f t="shared" si="9"/>
        <v>6368.8843825919157</v>
      </c>
      <c r="L26" s="88">
        <f t="shared" si="9"/>
        <v>7186.6116244004343</v>
      </c>
    </row>
    <row r="28" spans="2:12" x14ac:dyDescent="0.3">
      <c r="B28" s="247" t="s">
        <v>159</v>
      </c>
      <c r="C28" s="247"/>
      <c r="D28">
        <f>BS!C4</f>
        <v>1024</v>
      </c>
      <c r="E28">
        <f>BS!D4</f>
        <v>243</v>
      </c>
      <c r="F28">
        <f>BS!E4</f>
        <v>242.05</v>
      </c>
      <c r="G28">
        <f>BS!F4</f>
        <v>753.12</v>
      </c>
    </row>
    <row r="29" spans="2:12" x14ac:dyDescent="0.3">
      <c r="D29" s="52">
        <f>D28/D7</f>
        <v>9.8584769423317606E-2</v>
      </c>
      <c r="E29" s="52">
        <f>E28/E7</f>
        <v>1.8232292917166867E-2</v>
      </c>
      <c r="F29" s="52">
        <f>F28/F7</f>
        <v>1.8469443581782513E-2</v>
      </c>
      <c r="G29" s="52">
        <f>G28/G7</f>
        <v>5.7068812657709897E-2</v>
      </c>
      <c r="H29" s="89">
        <f>AVERAGE(E29:G29)</f>
        <v>3.1256849718886426E-2</v>
      </c>
      <c r="I29" s="49"/>
      <c r="J29" s="49"/>
      <c r="K29" s="49"/>
      <c r="L29" s="49"/>
    </row>
    <row r="30" spans="2:12" ht="4.95" customHeight="1" x14ac:dyDescent="0.3">
      <c r="D30" s="52"/>
      <c r="E30" s="52"/>
      <c r="F30" s="52"/>
      <c r="G30" s="52"/>
      <c r="H30" s="90"/>
      <c r="I30" s="49"/>
      <c r="J30" s="49"/>
      <c r="K30" s="49"/>
      <c r="L30" s="49"/>
    </row>
    <row r="31" spans="2:12" x14ac:dyDescent="0.3">
      <c r="B31" s="247" t="s">
        <v>176</v>
      </c>
      <c r="C31" s="247"/>
      <c r="D31">
        <f>BS!C6</f>
        <v>6</v>
      </c>
      <c r="E31">
        <f>BS!D6</f>
        <v>3</v>
      </c>
      <c r="F31">
        <f>BS!E6</f>
        <v>2.4900000000000002</v>
      </c>
      <c r="G31">
        <f>BS!F6</f>
        <v>0</v>
      </c>
      <c r="H31" s="90"/>
      <c r="I31" s="49"/>
      <c r="J31" s="49"/>
      <c r="K31" s="49"/>
      <c r="L31" s="49"/>
    </row>
    <row r="32" spans="2:12" x14ac:dyDescent="0.3">
      <c r="D32" s="52">
        <f>D31/D15</f>
        <v>6.8181818181818177E-2</v>
      </c>
      <c r="E32" s="52">
        <f>E31/E15</f>
        <v>3.0303030303030304E-2</v>
      </c>
      <c r="F32" s="52">
        <f>F31/F15</f>
        <v>2.9978328918853842E-2</v>
      </c>
      <c r="G32" s="52">
        <f>G31/G15</f>
        <v>0</v>
      </c>
      <c r="H32" s="89">
        <f>AVERAGE(E32:G32)</f>
        <v>2.0093786407294714E-2</v>
      </c>
      <c r="I32" s="49"/>
      <c r="J32" s="49"/>
      <c r="K32" s="49"/>
      <c r="L32" s="49"/>
    </row>
    <row r="33" spans="2:12" ht="4.95" customHeight="1" x14ac:dyDescent="0.3">
      <c r="D33" s="52"/>
      <c r="E33" s="52"/>
      <c r="F33" s="52"/>
      <c r="G33" s="52"/>
      <c r="H33" s="89"/>
      <c r="I33" s="49"/>
      <c r="J33" s="49"/>
      <c r="K33" s="49"/>
      <c r="L33" s="49"/>
    </row>
    <row r="34" spans="2:12" x14ac:dyDescent="0.3">
      <c r="B34" s="247" t="s">
        <v>160</v>
      </c>
      <c r="C34" s="247"/>
      <c r="D34">
        <f>BS!C16</f>
        <v>24094</v>
      </c>
      <c r="E34">
        <f>BS!D16</f>
        <v>26410</v>
      </c>
      <c r="F34">
        <f>BS!E16</f>
        <v>23974.18</v>
      </c>
      <c r="G34">
        <f>BS!F16</f>
        <v>30314.55</v>
      </c>
      <c r="H34" s="49"/>
      <c r="I34" s="49"/>
      <c r="J34" s="49"/>
      <c r="K34" s="49"/>
      <c r="L34" s="49"/>
    </row>
    <row r="35" spans="2:12" x14ac:dyDescent="0.3">
      <c r="D35" s="52">
        <f>D34/'P&amp;L'!C3</f>
        <v>0.14312530443977142</v>
      </c>
      <c r="E35" s="52">
        <f>E34/'P&amp;L'!D3</f>
        <v>0.1329500719873544</v>
      </c>
      <c r="F35" s="52">
        <f>F34/'P&amp;L'!E3</f>
        <v>0.11228072311727239</v>
      </c>
      <c r="G35" s="52">
        <f>G34/'P&amp;L'!F3</f>
        <v>0.12441006428543815</v>
      </c>
      <c r="H35" s="89">
        <f>AVERAGE(E35:G35)</f>
        <v>0.12321361979668831</v>
      </c>
      <c r="I35" s="49"/>
      <c r="J35" s="49"/>
      <c r="K35" s="49"/>
      <c r="L35" s="49"/>
    </row>
    <row r="36" spans="2:12" ht="4.95" customHeight="1" x14ac:dyDescent="0.3">
      <c r="H36" s="49"/>
      <c r="I36" s="49"/>
      <c r="J36" s="49"/>
      <c r="K36" s="49"/>
      <c r="L36" s="49"/>
    </row>
    <row r="37" spans="2:12" x14ac:dyDescent="0.3">
      <c r="B37" s="247" t="s">
        <v>156</v>
      </c>
      <c r="C37" s="247"/>
      <c r="H37" s="49"/>
      <c r="I37" s="49"/>
      <c r="J37" s="49"/>
      <c r="K37" s="49"/>
      <c r="L37" s="49"/>
    </row>
    <row r="38" spans="2:12" x14ac:dyDescent="0.3">
      <c r="B38" t="s">
        <v>161</v>
      </c>
      <c r="D38">
        <f>BS!C35</f>
        <v>2347</v>
      </c>
      <c r="E38">
        <f>BS!D35</f>
        <v>2495</v>
      </c>
      <c r="F38">
        <f>BS!E35</f>
        <v>2846.96</v>
      </c>
      <c r="G38">
        <f>BS!F35</f>
        <v>3305.32</v>
      </c>
      <c r="H38" s="55">
        <f>G38</f>
        <v>3305.32</v>
      </c>
      <c r="I38" s="55">
        <f t="shared" ref="I38:L38" si="10">H38</f>
        <v>3305.32</v>
      </c>
      <c r="J38" s="55">
        <f t="shared" si="10"/>
        <v>3305.32</v>
      </c>
      <c r="K38" s="55">
        <f t="shared" si="10"/>
        <v>3305.32</v>
      </c>
      <c r="L38" s="55">
        <f t="shared" si="10"/>
        <v>3305.32</v>
      </c>
    </row>
    <row r="39" spans="2:12" x14ac:dyDescent="0.3">
      <c r="B39" t="s">
        <v>162</v>
      </c>
      <c r="D39">
        <f>BS!C42</f>
        <v>561</v>
      </c>
      <c r="E39">
        <f>BS!D42</f>
        <v>690</v>
      </c>
      <c r="F39">
        <f>BS!E42</f>
        <v>852.59</v>
      </c>
      <c r="G39">
        <f>BS!F42</f>
        <v>972.96</v>
      </c>
      <c r="H39" s="91"/>
      <c r="I39" s="91"/>
      <c r="J39" s="91"/>
      <c r="K39" s="91"/>
      <c r="L39" s="91"/>
    </row>
    <row r="40" spans="2:12" x14ac:dyDescent="0.3">
      <c r="B40" t="s">
        <v>157</v>
      </c>
      <c r="D40">
        <f>SUM(D38:D39)</f>
        <v>2908</v>
      </c>
      <c r="E40">
        <f t="shared" ref="E40:G40" si="11">SUM(E38:E39)</f>
        <v>3185</v>
      </c>
      <c r="F40">
        <f t="shared" si="11"/>
        <v>3699.55</v>
      </c>
      <c r="G40">
        <f t="shared" si="11"/>
        <v>4278.2800000000007</v>
      </c>
      <c r="H40" s="55">
        <f t="shared" ref="H40" si="12">SUM(H38:H39)</f>
        <v>3305.32</v>
      </c>
      <c r="I40" s="55">
        <f t="shared" ref="I40" si="13">SUM(I38:I39)</f>
        <v>3305.32</v>
      </c>
      <c r="J40" s="55">
        <f t="shared" ref="J40" si="14">SUM(J38:J39)</f>
        <v>3305.32</v>
      </c>
      <c r="K40" s="55">
        <f t="shared" ref="K40" si="15">SUM(K38:K39)</f>
        <v>3305.32</v>
      </c>
      <c r="L40" s="55">
        <f t="shared" ref="L40" si="16">SUM(L38:L39)</f>
        <v>3305.32</v>
      </c>
    </row>
    <row r="41" spans="2:12" ht="4.95" customHeight="1" x14ac:dyDescent="0.3">
      <c r="H41" s="49"/>
      <c r="I41" s="49"/>
      <c r="J41" s="49"/>
      <c r="K41" s="49"/>
      <c r="L41" s="49"/>
    </row>
    <row r="42" spans="2:12" x14ac:dyDescent="0.3">
      <c r="B42" s="247" t="s">
        <v>164</v>
      </c>
      <c r="C42" s="247"/>
      <c r="E42" s="57">
        <f>AVERAGE(BS!C18:F18)/('P&amp;L'!D3/365)</f>
        <v>32.3333855199702</v>
      </c>
      <c r="F42" s="57">
        <f>AVERAGE(BS!D18:E18)/('P&amp;L'!E3/365)</f>
        <v>28.176052945859873</v>
      </c>
      <c r="G42" s="57">
        <f>AVERAGE(BS!E18:F18)/('P&amp;L'!F3/365)</f>
        <v>31.143813931162764</v>
      </c>
      <c r="H42" s="55">
        <f>AVERAGE(E42:G42)</f>
        <v>30.551084132330946</v>
      </c>
      <c r="I42" s="49"/>
      <c r="J42" s="92"/>
      <c r="K42" s="49"/>
      <c r="L42" s="49"/>
    </row>
    <row r="43" spans="2:12" x14ac:dyDescent="0.3">
      <c r="B43" s="247" t="s">
        <v>163</v>
      </c>
      <c r="C43" s="247"/>
      <c r="E43" s="57">
        <f>AVERAGE(BS!C43:D43)/('P&amp;L'!D10/365)</f>
        <v>74.472166579935987</v>
      </c>
      <c r="F43" s="57">
        <f>AVERAGE(BS!D43:E43)/('P&amp;L'!E10/365)</f>
        <v>74.582619175739211</v>
      </c>
      <c r="G43" s="57">
        <f>AVERAGE(BS!E43:F43)/('P&amp;L'!F10/365)</f>
        <v>69.814773299152591</v>
      </c>
      <c r="H43" s="55">
        <f>AVERAGE(E43:G43)</f>
        <v>72.956519684942592</v>
      </c>
      <c r="I43" s="49"/>
      <c r="J43" s="92"/>
      <c r="K43" s="49"/>
      <c r="L43" s="49"/>
    </row>
  </sheetData>
  <sheetProtection algorithmName="SHA-512" hashValue="VkTsi5py68qzKTh8W8Al+oDpDXDZ8oHDLlNmyafB2EBbUPdIvfeuw8AyrFOH8z1grOmuZ160KCY0NzaIeTY5Zg==" saltValue="P3JHoJhuz7J2zdrtPLBYVQ==" spinCount="100000" sheet="1" objects="1" scenarios="1"/>
  <mergeCells count="9">
    <mergeCell ref="B42:C42"/>
    <mergeCell ref="B43:C43"/>
    <mergeCell ref="B10:C10"/>
    <mergeCell ref="B2:C2"/>
    <mergeCell ref="B18:C18"/>
    <mergeCell ref="B37:C37"/>
    <mergeCell ref="B28:C28"/>
    <mergeCell ref="B34:C34"/>
    <mergeCell ref="B31:C31"/>
  </mergeCells>
  <pageMargins left="0.7" right="0.7" top="0.75" bottom="0.75" header="0.3" footer="0.3"/>
  <pageSetup orientation="portrait" r:id="rId1"/>
  <ignoredErrors>
    <ignoredError sqref="F42:G42 E43:G4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23BB-6455-4E6A-931C-207C3BD54708}">
  <sheetPr codeName="Sheet9">
    <tabColor theme="9" tint="0.59999389629810485"/>
  </sheetPr>
  <dimension ref="A1:L24"/>
  <sheetViews>
    <sheetView showGridLines="0" zoomScale="99" workbookViewId="0">
      <selection activeCell="L23" sqref="L23"/>
    </sheetView>
  </sheetViews>
  <sheetFormatPr defaultRowHeight="14.4" x14ac:dyDescent="0.3"/>
  <cols>
    <col min="1" max="1" width="2" customWidth="1"/>
    <col min="2" max="2" width="16.77734375" bestFit="1" customWidth="1"/>
    <col min="3" max="3" width="11.109375" bestFit="1" customWidth="1"/>
    <col min="4" max="4" width="9.6640625" bestFit="1" customWidth="1"/>
    <col min="5" max="5" width="10.5546875" customWidth="1"/>
    <col min="6" max="6" width="12.6640625" customWidth="1"/>
    <col min="7" max="7" width="9.6640625" bestFit="1" customWidth="1"/>
    <col min="8" max="8" width="11.109375" bestFit="1" customWidth="1"/>
    <col min="9" max="10" width="9" bestFit="1" customWidth="1"/>
    <col min="12" max="12" width="9" bestFit="1" customWidth="1"/>
  </cols>
  <sheetData>
    <row r="1" spans="1:12" x14ac:dyDescent="0.3">
      <c r="C1" s="14">
        <f>EDATE('P&amp;L'!F1,12)</f>
        <v>46113</v>
      </c>
      <c r="D1" s="14">
        <f>EDATE(C1,12)</f>
        <v>46478</v>
      </c>
      <c r="E1" s="14">
        <f>EDATE(D1,12)</f>
        <v>46844</v>
      </c>
      <c r="F1" s="14">
        <f>EDATE(E1,12)</f>
        <v>47209</v>
      </c>
      <c r="G1" s="14">
        <f>EDATE(F1,12)</f>
        <v>47574</v>
      </c>
      <c r="H1" s="103" t="s">
        <v>178</v>
      </c>
    </row>
    <row r="2" spans="1:12" s="105" customFormat="1" ht="4.2" x14ac:dyDescent="0.15">
      <c r="A2" s="104"/>
      <c r="B2" s="104"/>
      <c r="C2" s="105">
        <v>1</v>
      </c>
      <c r="D2" s="105">
        <v>2</v>
      </c>
      <c r="E2" s="105">
        <v>3</v>
      </c>
      <c r="F2" s="105">
        <v>4</v>
      </c>
      <c r="G2" s="105">
        <v>5</v>
      </c>
    </row>
    <row r="3" spans="1:12" s="23" customFormat="1" x14ac:dyDescent="0.3">
      <c r="A3"/>
      <c r="B3" t="s">
        <v>126</v>
      </c>
      <c r="C3" s="23">
        <f>'P&amp;L'!G19</f>
        <v>24218.319724635883</v>
      </c>
      <c r="D3" s="23">
        <f>'P&amp;L'!H19</f>
        <v>26203.394461208885</v>
      </c>
      <c r="E3" s="23">
        <f>'P&amp;L'!I19</f>
        <v>28371.606832581554</v>
      </c>
      <c r="F3" s="23">
        <f>'P&amp;L'!J19</f>
        <v>30739.972485495804</v>
      </c>
      <c r="G3" s="23">
        <f>'P&amp;L'!K19</f>
        <v>33327.102021112354</v>
      </c>
      <c r="J3" s="54" t="s">
        <v>175</v>
      </c>
      <c r="K3" s="54"/>
      <c r="L3" s="64">
        <v>0.05</v>
      </c>
    </row>
    <row r="4" spans="1:12" s="23" customFormat="1" ht="15" thickBot="1" x14ac:dyDescent="0.35">
      <c r="A4"/>
      <c r="B4" t="s">
        <v>166</v>
      </c>
      <c r="C4" s="61">
        <f>rdcf!C3*(1-'rP&amp;L'!$H$23)</f>
        <v>18163.739793476911</v>
      </c>
      <c r="D4" s="61">
        <f>rdcf!D3*(1-'rP&amp;L'!$H$23)</f>
        <v>19652.545845906665</v>
      </c>
      <c r="E4" s="61">
        <f>rdcf!E3*(1-'rP&amp;L'!$H$23)</f>
        <v>21278.705124436165</v>
      </c>
      <c r="F4" s="61">
        <f>rdcf!F3*(1-'rP&amp;L'!$H$23)</f>
        <v>23054.979364121853</v>
      </c>
      <c r="G4" s="61">
        <f>rdcf!G3*(1-'rP&amp;L'!$H$23)</f>
        <v>24995.326515834266</v>
      </c>
      <c r="J4" s="54" t="s">
        <v>170</v>
      </c>
      <c r="K4" s="54"/>
      <c r="L4" s="53">
        <f>WACC!D21</f>
        <v>0.12709048296966538</v>
      </c>
    </row>
    <row r="5" spans="1:12" s="23" customFormat="1" x14ac:dyDescent="0.3">
      <c r="A5"/>
      <c r="B5" t="s">
        <v>142</v>
      </c>
      <c r="C5" s="23">
        <f>'P&amp;L'!G18</f>
        <v>4305.2535356245871</v>
      </c>
      <c r="D5" s="23">
        <f>'P&amp;L'!H18</f>
        <v>4933.7588929699677</v>
      </c>
      <c r="E5" s="23">
        <f>'P&amp;L'!I18</f>
        <v>5619.8667103608859</v>
      </c>
      <c r="F5" s="23">
        <f>'P&amp;L'!J18</f>
        <v>6368.8843825919157</v>
      </c>
      <c r="G5" s="23">
        <f>'P&amp;L'!K18</f>
        <v>7186.6116244004343</v>
      </c>
    </row>
    <row r="6" spans="1:12" s="23" customFormat="1" x14ac:dyDescent="0.3">
      <c r="A6"/>
      <c r="B6" t="s">
        <v>167</v>
      </c>
      <c r="C6" s="23">
        <f>SUM(CFS!G25:G35)</f>
        <v>6977.9243111859578</v>
      </c>
      <c r="D6" s="23">
        <f>SUM(CFS!H25:H35)</f>
        <v>-9731.0160343720127</v>
      </c>
      <c r="E6" s="23">
        <f>SUM(CFS!I25:I35)</f>
        <v>6406.086331812061</v>
      </c>
      <c r="F6" s="23">
        <f>SUM(CFS!J25:J35)</f>
        <v>-10037.296137025929</v>
      </c>
      <c r="G6" s="23">
        <f>SUM(CFS!K25:K35)</f>
        <v>6071.4039218718463</v>
      </c>
    </row>
    <row r="7" spans="1:12" s="23" customFormat="1" x14ac:dyDescent="0.3">
      <c r="A7"/>
      <c r="B7" t="s">
        <v>168</v>
      </c>
      <c r="C7" s="23">
        <f>-(rBS!H4+rBS!H12)</f>
        <v>-5371.769727343707</v>
      </c>
      <c r="D7" s="23">
        <f>-(rBS!I4+rBS!I12)</f>
        <v>-5863.9784103301099</v>
      </c>
      <c r="E7" s="23">
        <f>-(rBS!J4+rBS!J12)</f>
        <v>-6401.5250438547391</v>
      </c>
      <c r="F7" s="23">
        <f>-(rBS!K4+rBS!K12)</f>
        <v>-6988.6136677710165</v>
      </c>
      <c r="G7" s="23">
        <f>-(rBS!L4+rBS!L12)</f>
        <v>-7629.8414128374197</v>
      </c>
    </row>
    <row r="8" spans="1:12" s="23" customFormat="1" ht="4.95" customHeight="1" x14ac:dyDescent="0.3">
      <c r="A8"/>
    </row>
    <row r="9" spans="1:12" s="23" customFormat="1" x14ac:dyDescent="0.3">
      <c r="A9"/>
      <c r="B9" s="62" t="s">
        <v>169</v>
      </c>
      <c r="C9" s="63">
        <f>SUM(C4:C7)</f>
        <v>24075.147912943747</v>
      </c>
      <c r="D9" s="63">
        <f>SUM(D4:D7)</f>
        <v>8991.3102941745092</v>
      </c>
      <c r="E9" s="63">
        <f>SUM(E4:E7)</f>
        <v>26903.133122754371</v>
      </c>
      <c r="F9" s="63">
        <f>SUM(F4:F7)</f>
        <v>12397.953941916821</v>
      </c>
      <c r="G9" s="63">
        <f>SUM(G4:G7)</f>
        <v>30623.500649269125</v>
      </c>
      <c r="H9" s="63">
        <f>G9*(1+L3)/(L4-L3)</f>
        <v>417103.05141537695</v>
      </c>
    </row>
    <row r="10" spans="1:12" s="23" customFormat="1" ht="4.95" customHeight="1" thickBot="1" x14ac:dyDescent="0.35">
      <c r="A10"/>
      <c r="B10"/>
    </row>
    <row r="11" spans="1:12" s="23" customFormat="1" ht="15" thickBot="1" x14ac:dyDescent="0.35">
      <c r="A11"/>
      <c r="B11" s="35" t="s">
        <v>179</v>
      </c>
      <c r="C11" s="106">
        <f>PV($L$4,C2,,-C9)</f>
        <v>21360.439358435884</v>
      </c>
      <c r="D11" s="106">
        <f>PV($L$4,D2,,-D9)</f>
        <v>7077.9162628498807</v>
      </c>
      <c r="E11" s="106">
        <f>PV($L$4,E2,,-E9)</f>
        <v>18789.988427923519</v>
      </c>
      <c r="F11" s="106">
        <f>PV($L$4,F2,,-F9)</f>
        <v>7682.7179222082996</v>
      </c>
      <c r="G11" s="106">
        <f>PV($L$4,G2,,-G9)</f>
        <v>16836.853039760495</v>
      </c>
      <c r="H11" s="106">
        <f>PV($L$4,G2,,-H9)</f>
        <v>229323.97114057487</v>
      </c>
    </row>
    <row r="12" spans="1:12" s="23" customFormat="1" ht="4.95" customHeight="1" x14ac:dyDescent="0.3">
      <c r="A12"/>
      <c r="B12"/>
    </row>
    <row r="13" spans="1:12" s="23" customFormat="1" x14ac:dyDescent="0.3">
      <c r="A13"/>
      <c r="B13" t="s">
        <v>171</v>
      </c>
      <c r="C13" s="23">
        <f>SUM(C11:H11)</f>
        <v>301071.88615175296</v>
      </c>
      <c r="E13" s="253" t="s">
        <v>210</v>
      </c>
      <c r="F13" s="254"/>
      <c r="G13" s="254"/>
      <c r="H13" s="254"/>
      <c r="I13" s="254"/>
      <c r="J13" s="254"/>
    </row>
    <row r="14" spans="1:12" s="23" customFormat="1" ht="4.95" customHeight="1" x14ac:dyDescent="0.3">
      <c r="A14"/>
      <c r="E14"/>
      <c r="F14"/>
      <c r="G14"/>
      <c r="H14"/>
      <c r="I14"/>
    </row>
    <row r="15" spans="1:12" s="23" customFormat="1" ht="15.6" x14ac:dyDescent="0.3">
      <c r="A15"/>
      <c r="B15" t="s">
        <v>156</v>
      </c>
      <c r="C15" s="23">
        <f>BS!F35+BS!F42</f>
        <v>4278.2800000000007</v>
      </c>
      <c r="E15"/>
      <c r="F15"/>
      <c r="G15" s="255" t="s">
        <v>170</v>
      </c>
      <c r="H15" s="256"/>
      <c r="I15" s="256"/>
      <c r="J15" s="257"/>
    </row>
    <row r="16" spans="1:12" s="23" customFormat="1" x14ac:dyDescent="0.3">
      <c r="A16"/>
      <c r="B16" t="s">
        <v>172</v>
      </c>
      <c r="C16" s="23">
        <f>BS!F19</f>
        <v>37414.73000000001</v>
      </c>
      <c r="E16" s="258" t="s">
        <v>175</v>
      </c>
      <c r="F16" s="158">
        <f>C18</f>
        <v>492.37172886040565</v>
      </c>
      <c r="G16" s="145">
        <v>0.11</v>
      </c>
      <c r="H16" s="146">
        <v>0.12709999999999999</v>
      </c>
      <c r="I16" s="146">
        <v>0.13</v>
      </c>
      <c r="J16" s="147">
        <v>0.14000000000000001</v>
      </c>
    </row>
    <row r="17" spans="1:10" s="23" customFormat="1" x14ac:dyDescent="0.3">
      <c r="A17"/>
      <c r="B17" t="s">
        <v>173</v>
      </c>
      <c r="C17" s="23">
        <f>C13-C15+C16</f>
        <v>334208.33615175297</v>
      </c>
      <c r="E17" s="259"/>
      <c r="F17" s="148">
        <v>0.04</v>
      </c>
      <c r="G17" s="149">
        <f t="dataTable" ref="G17:J20" dt2D="1" dtr="1" r1="L4" r2="L3"/>
        <v>557.0973024557444</v>
      </c>
      <c r="H17" s="149">
        <v>450.68300685618703</v>
      </c>
      <c r="I17" s="149">
        <v>436.70167385204974</v>
      </c>
      <c r="J17" s="150">
        <v>394.81373346494826</v>
      </c>
    </row>
    <row r="18" spans="1:10" s="23" customFormat="1" x14ac:dyDescent="0.3">
      <c r="A18"/>
      <c r="B18" t="s">
        <v>174</v>
      </c>
      <c r="C18" s="65">
        <f>(C17*1000000)/'P&amp;L'!K52</f>
        <v>492.37172886040565</v>
      </c>
      <c r="E18" s="259"/>
      <c r="F18" s="148">
        <v>0.05</v>
      </c>
      <c r="G18" s="149">
        <v>627.85756884035004</v>
      </c>
      <c r="H18" s="151">
        <v>492.31319106002161</v>
      </c>
      <c r="I18" s="149">
        <v>475.1329135852763</v>
      </c>
      <c r="J18" s="150">
        <v>424.49406514766099</v>
      </c>
    </row>
    <row r="19" spans="1:10" s="23" customFormat="1" x14ac:dyDescent="0.3">
      <c r="A19"/>
      <c r="B19"/>
      <c r="E19" s="259"/>
      <c r="F19" s="148">
        <v>0.06</v>
      </c>
      <c r="G19" s="149">
        <v>726.92194177879787</v>
      </c>
      <c r="H19" s="149">
        <v>546.35177592073705</v>
      </c>
      <c r="I19" s="149">
        <v>524.54450752799607</v>
      </c>
      <c r="J19" s="150">
        <v>461.59447975105172</v>
      </c>
    </row>
    <row r="20" spans="1:10" s="23" customFormat="1" x14ac:dyDescent="0.3">
      <c r="A20"/>
      <c r="B20"/>
      <c r="E20" s="260"/>
      <c r="F20" s="152">
        <v>7.0000000000000007E-2</v>
      </c>
      <c r="G20" s="153">
        <v>875.51850118646962</v>
      </c>
      <c r="H20" s="153">
        <v>619.31806125806042</v>
      </c>
      <c r="I20" s="153">
        <v>590.42663278495604</v>
      </c>
      <c r="J20" s="154">
        <v>509.29501281255421</v>
      </c>
    </row>
    <row r="21" spans="1:10" s="23" customFormat="1" ht="4.95" customHeight="1" x14ac:dyDescent="0.3">
      <c r="A21"/>
      <c r="B21"/>
      <c r="E21"/>
      <c r="F21"/>
      <c r="G21"/>
      <c r="H21"/>
      <c r="I21"/>
      <c r="J21"/>
    </row>
    <row r="22" spans="1:10" s="23" customFormat="1" x14ac:dyDescent="0.3">
      <c r="A22"/>
      <c r="B22"/>
      <c r="E22"/>
      <c r="F22" s="155" t="s">
        <v>211</v>
      </c>
      <c r="G22"/>
      <c r="H22"/>
      <c r="I22"/>
      <c r="J22" s="153">
        <v>1561.01</v>
      </c>
    </row>
    <row r="23" spans="1:10" s="23" customFormat="1" ht="4.95" customHeight="1" x14ac:dyDescent="0.3">
      <c r="A23"/>
      <c r="B23"/>
      <c r="E23"/>
      <c r="F23"/>
      <c r="G23" s="156"/>
      <c r="H23" s="156"/>
      <c r="I23" s="156"/>
      <c r="J23"/>
    </row>
    <row r="24" spans="1:10" s="23" customFormat="1" ht="15" thickBot="1" x14ac:dyDescent="0.35">
      <c r="A24"/>
      <c r="B24"/>
      <c r="E24"/>
      <c r="F24" s="86" t="s">
        <v>212</v>
      </c>
      <c r="G24" s="84"/>
      <c r="H24" s="86"/>
      <c r="I24" s="86"/>
      <c r="J24" s="157">
        <f>J22/C15</f>
        <v>0.36486859205101108</v>
      </c>
    </row>
  </sheetData>
  <sheetProtection algorithmName="SHA-512" hashValue="K4LOT9MJZY0EE3G45z8SPgiIF6t10Jz4K7EkA7QtxMdJ0YAJiHYjno1UkZX2VhDOSh6w9TCEtHaJ1QGRbrC5bw==" saltValue="M8opNVLyN1NiSN5HzUGG/g==" spinCount="100000" sheet="1" objects="1" scenarios="1"/>
  <mergeCells count="3">
    <mergeCell ref="E13:J13"/>
    <mergeCell ref="G15:J15"/>
    <mergeCell ref="E16:E2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P&amp;L</vt:lpstr>
      <vt:lpstr>BS</vt:lpstr>
      <vt:lpstr>CFS</vt:lpstr>
      <vt:lpstr>DCF</vt:lpstr>
      <vt:lpstr>WACC</vt:lpstr>
      <vt:lpstr>rP&amp;L</vt:lpstr>
      <vt:lpstr>rBS</vt:lpstr>
      <vt:lpstr>rdcf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lakha</dc:creator>
  <cp:lastModifiedBy>kamal lakha</cp:lastModifiedBy>
  <dcterms:created xsi:type="dcterms:W3CDTF">2025-11-21T06:21:25Z</dcterms:created>
  <dcterms:modified xsi:type="dcterms:W3CDTF">2026-06-22T05:19:14Z</dcterms:modified>
</cp:coreProperties>
</file>